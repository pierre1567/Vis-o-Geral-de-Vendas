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s 2021" sheetId="1" r:id="rId4"/>
    <sheet state="visible" name="Orçamentos 2022" sheetId="2" r:id="rId5"/>
    <sheet state="visible" name="Planilha1" sheetId="3" r:id="rId6"/>
    <sheet state="visible" name="Orçamento 2023" sheetId="4" r:id="rId7"/>
    <sheet state="visible" name="Controle de pedidos" sheetId="5" r:id="rId8"/>
    <sheet state="visible" name="Pedidos US" sheetId="6" r:id="rId9"/>
    <sheet state="visible" name="OC-2474-3172 ES" sheetId="7" r:id="rId10"/>
    <sheet state="visible" name="Pedidos OF" sheetId="8" r:id="rId11"/>
  </sheets>
  <definedNames>
    <definedName hidden="1" localSheetId="1" name="_xlnm._FilterDatabase">'Orçamentos 2022'!$A$1:$Z$43</definedName>
    <definedName hidden="1" localSheetId="2" name="_xlnm._FilterDatabase">Planilha1!$B$2:$O$880</definedName>
    <definedName hidden="1" localSheetId="3" name="_xlnm._FilterDatabase">'Orçamento 2023'!$A$1:$V$741</definedName>
    <definedName hidden="1" localSheetId="5" name="_xlnm._FilterDatabase">'Pedidos US'!$A$1:$F$81</definedName>
    <definedName hidden="1" localSheetId="6" name="_xlnm._FilterDatabase">'OC-2474-3172 ES'!$A$1:$Z$62</definedName>
    <definedName hidden="1" localSheetId="7" name="_xlnm._FilterDatabase">'Pedidos OF'!$A$1:$G$7</definedName>
  </definedNames>
  <calcPr/>
  <extLst>
    <ext uri="GoogleSheetsCustomDataVersion2">
      <go:sheetsCustomData xmlns:go="http://customooxmlschemas.google.com/" r:id="rId12" roundtripDataChecksum="4DGydzyBdhvrnoNKKjivYMzsJ+mQAZPidHiEKjBtlc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51">
      <text>
        <t xml:space="preserve">======
ID#AAAA6yT0EHA
caio guasti    (2022-06-23 17:48:11)
Falta enviar 2</t>
      </text>
    </comment>
  </commentList>
  <extLst>
    <ext uri="GoogleSheetsCustomDataVersion2">
      <go:sheetsCustomData xmlns:go="http://customooxmlschemas.google.com/" r:id="rId1" roundtripDataSignature="AMtx7mgva+Zu86oMQu4sNmWlAkxPx+w5N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67">
      <text>
        <t xml:space="preserve">======
ID#AAAA6yT0EGs
caio guasti    (2022-08-23 11:48:25)
Foi feita uma NF de devolução da Suzano e uma NF de entrada 1895, criado o orç 2183 para faturar novamente</t>
      </text>
    </comment>
    <comment authorId="0" ref="K167">
      <text>
        <t xml:space="preserve">======
ID#AAAA6yT0EHc
caio guasti    (2022-08-23 11:48:25)
NF entrada 1895</t>
      </text>
    </comment>
    <comment authorId="0" ref="I185">
      <text>
        <t xml:space="preserve">======
ID#AAAA6yT0EGU
caio guasti    (2022-08-23 11:48:25)
com recap</t>
      </text>
    </comment>
    <comment authorId="0" ref="D311">
      <text>
        <t xml:space="preserve">======
ID#AAAA6yT0EHI
caio guasti    (2022-06-23 17:48:11)
ganho por ter em estoque</t>
      </text>
    </comment>
    <comment authorId="0" ref="D107">
      <text>
        <t xml:space="preserve">======
ID#AAAA6yT0EGc
caio guasti    (2022-06-23 17:48:11)
Cotado graxa da SKF</t>
      </text>
    </comment>
    <comment authorId="0" ref="D432">
      <text>
        <t xml:space="preserve">======
ID#AAAA6yT0EGw
caio guasti    (2022-06-23 17:48:11)
ganhou por ter em estoque</t>
      </text>
    </comment>
    <comment authorId="0" ref="D81">
      <text>
        <t xml:space="preserve">======
ID#AAAA6yT0EHo
caio guasti    (2022-06-23 17:48:11)
Cotado graxa da Cherteston</t>
      </text>
    </comment>
    <comment authorId="0" ref="B461">
      <text>
        <t xml:space="preserve">======
ID#AAAA6yT0EGM
caio guasti    (2022-06-23 17:48:11)
ALTERAR CNPJ P/ SUZANO BELEM-PA</t>
      </text>
    </comment>
  </commentList>
  <extLst>
    <ext uri="GoogleSheetsCustomDataVersion2">
      <go:sheetsCustomData xmlns:go="http://customooxmlschemas.google.com/" r:id="rId1" roundtripDataSignature="AMtx7miW3pGJhiRqDOdufcnRX+gTGl5rFg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======
ID#AAAA6yT0EHQ
Servilub    (2023-03-23 13:42:45)
23/08</t>
      </text>
    </comment>
    <comment authorId="0" ref="B3">
      <text>
        <t xml:space="preserve">======
ID#AAAA6yT0EGk
Servilub    (2023-03-23 13:42:45)
29/08</t>
      </text>
    </comment>
    <comment authorId="0" ref="B58">
      <text>
        <t xml:space="preserve">======
ID#AAAA6yT0EG4
Servilub    (2023-03-23 13:42:45)
28/10</t>
      </text>
    </comment>
    <comment authorId="0" ref="B26">
      <text>
        <t xml:space="preserve">======
ID#AAAA6yT0EHk
Servilub    (2023-03-23 13:42:45)
25/11</t>
      </text>
    </comment>
    <comment authorId="0" ref="B10">
      <text>
        <t xml:space="preserve">======
ID#AAAA6yT0EGI
Servilub    (2023-03-23 13:42:45)
08/09</t>
      </text>
    </comment>
    <comment authorId="0" ref="B27">
      <text>
        <t xml:space="preserve">======
ID#AAAA6yT0EHs
Servilub    (2023-03-23 13:42:45)
05/12</t>
      </text>
    </comment>
    <comment authorId="0" ref="B9">
      <text>
        <t xml:space="preserve">======
ID#AAAA6yT0EGY
Servilub    (2023-03-23 13:42:45)
29/08</t>
      </text>
    </comment>
    <comment authorId="0" ref="B39">
      <text>
        <t xml:space="preserve">======
ID#AAAA6yT0EHE
caio guasti    (2022-08-23 11:48:25)
06/07</t>
      </text>
    </comment>
    <comment authorId="0" ref="B4">
      <text>
        <t xml:space="preserve">======
ID#AAAA6yT0EGo
caio guasti    (2022-08-23 11:48:25)
19/08</t>
      </text>
    </comment>
    <comment authorId="0" ref="B42">
      <text>
        <t xml:space="preserve">======
ID#AAAA6yT0EHY
caio guasti    (2022-08-23 11:48:25)
08/08</t>
      </text>
    </comment>
    <comment authorId="0" ref="B43">
      <text>
        <t xml:space="preserve">======
ID#AAAA6yT0EG8
caio guasti    (2022-08-23 11:48:25)
08/08</t>
      </text>
    </comment>
    <comment authorId="0" ref="C169">
      <text>
        <t xml:space="preserve">======
ID#AAAA6yT0EGg
caio guasti    (2022-06-23 17:48:11)
solicitado nacional  Milano</t>
      </text>
    </comment>
    <comment authorId="0" ref="B41">
      <text>
        <t xml:space="preserve">======
ID#AAAA6yT0EG0
caio guasti    (2022-06-23 17:48:11)
13/05</t>
      </text>
    </comment>
    <comment authorId="0" ref="C170">
      <text>
        <t xml:space="preserve">======
ID#AAAA6yT0EHM
caio guasti    (2022-06-23 17:48:11)
Comprado da Milano</t>
      </text>
    </comment>
    <comment authorId="0" ref="B37">
      <text>
        <t xml:space="preserve">======
ID#AAAA6yT0EHU
caio guasti    (2022-06-23 17:48:11)
10/06</t>
      </text>
    </comment>
  </commentList>
  <extLst>
    <ext uri="GoogleSheetsCustomDataVersion2">
      <go:sheetsCustomData xmlns:go="http://customooxmlschemas.google.com/" r:id="rId1" roundtripDataSignature="AMtx7mjIW7hhIRCZvDHq0x8wwLsUjuYtEQ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7">
      <text>
        <t xml:space="preserve">======
ID#AAAA6yT0EHg
Servilub    (2023-03-23 13:42:45)
2 un atender CMPC</t>
      </text>
    </comment>
    <comment authorId="0" ref="B4">
      <text>
        <t xml:space="preserve">======
ID#AAAA6yT0EGQ
Servilub    (2023-03-23 13:42:45)
Entrar na OC 2421</t>
      </text>
    </comment>
  </commentList>
  <extLst>
    <ext uri="GoogleSheetsCustomDataVersion2">
      <go:sheetsCustomData xmlns:go="http://customooxmlschemas.google.com/" r:id="rId1" roundtripDataSignature="AMtx7mj/j6deTocN2p8Vz3GJOwET/0EGFA=="/>
    </ext>
  </extLst>
</comments>
</file>

<file path=xl/sharedStrings.xml><?xml version="1.0" encoding="utf-8"?>
<sst xmlns="http://schemas.openxmlformats.org/spreadsheetml/2006/main" count="12278" uniqueCount="3153">
  <si>
    <t xml:space="preserve">DATA </t>
  </si>
  <si>
    <t>ORÇ</t>
  </si>
  <si>
    <t xml:space="preserve">CLIENTE </t>
  </si>
  <si>
    <t>DESCRIÇÃO</t>
  </si>
  <si>
    <t>QUANT</t>
  </si>
  <si>
    <t xml:space="preserve">VALOR ORÇ </t>
  </si>
  <si>
    <t xml:space="preserve">STATUS </t>
  </si>
  <si>
    <t xml:space="preserve">OBSERVAÇÃO </t>
  </si>
  <si>
    <t>WCL</t>
  </si>
  <si>
    <t xml:space="preserve">VALOR FATURADO </t>
  </si>
  <si>
    <t>DATA DE EMISSÃO</t>
  </si>
  <si>
    <t xml:space="preserve">NF </t>
  </si>
  <si>
    <t>PEDIDO DE COMPRA</t>
  </si>
  <si>
    <t>PREVISÃO DO FATURAMENTO</t>
  </si>
  <si>
    <t xml:space="preserve">PREVISÃO DE RECEBIMENTO </t>
  </si>
  <si>
    <t>Controle de orçamentos 2021</t>
  </si>
  <si>
    <t>GENERAL MOTORS</t>
  </si>
  <si>
    <t>2 INJETORES DE OLEO SKF</t>
  </si>
  <si>
    <t xml:space="preserve">Não enviado </t>
  </si>
  <si>
    <t>VERACEL</t>
  </si>
  <si>
    <t>LUVA 11651070</t>
  </si>
  <si>
    <t xml:space="preserve">FATURADO </t>
  </si>
  <si>
    <t>ANILHA 12643010</t>
  </si>
  <si>
    <t>TERMINAL 12643010</t>
  </si>
  <si>
    <t>MANGUEIRA 11650070</t>
  </si>
  <si>
    <t>PETROBRAS</t>
  </si>
  <si>
    <t xml:space="preserve">ADITIVO P/ COMBUSTIVEL DIESEL </t>
  </si>
  <si>
    <t xml:space="preserve">PERDEU </t>
  </si>
  <si>
    <t>SUZANO TL</t>
  </si>
  <si>
    <t xml:space="preserve">ROTAMETRO FL15-04-R-CAN </t>
  </si>
  <si>
    <t>28197.55</t>
  </si>
  <si>
    <t xml:space="preserve">ROLAMENTO FL15-08-R-CAN </t>
  </si>
  <si>
    <t>43174.92</t>
  </si>
  <si>
    <t xml:space="preserve">PINO GRAXEIRO RETO </t>
  </si>
  <si>
    <t>SPEED SERVIÇOS</t>
  </si>
  <si>
    <t xml:space="preserve">CAIXA SNHL 511 </t>
  </si>
  <si>
    <t>ANEIS DE BLOQUEIO FRB 100/9.5</t>
  </si>
  <si>
    <t>ROLAMENTO 22211</t>
  </si>
  <si>
    <t>BUCHA DE FIXAÇÃO H311</t>
  </si>
  <si>
    <t xml:space="preserve">SUZANO </t>
  </si>
  <si>
    <t>10 BOMBAS BOZZA 8020 G3</t>
  </si>
  <si>
    <t xml:space="preserve"> DOSADOR 11 SS 12386660</t>
  </si>
  <si>
    <t>TECNOPRESS</t>
  </si>
  <si>
    <t xml:space="preserve">KIT REPARO PROPULSORA MOD.83513 </t>
  </si>
  <si>
    <t>SUZANO</t>
  </si>
  <si>
    <t>DOSADOR 12386660</t>
  </si>
  <si>
    <t>GARTEC</t>
  </si>
  <si>
    <t>K7 600-26877-2</t>
  </si>
  <si>
    <t>VALVULA DE ALIVIO 624-28892-1</t>
  </si>
  <si>
    <t>DISTRIBUIDOR 619-26646-2</t>
  </si>
  <si>
    <t>CONECTOR MACHO RETO 504-30344-4S</t>
  </si>
  <si>
    <t>BUJÃO 303-17499-3</t>
  </si>
  <si>
    <t xml:space="preserve">BOMBA P203 </t>
  </si>
  <si>
    <t>CMPC</t>
  </si>
  <si>
    <t>ELEMENTO DE BOMBA 11771002</t>
  </si>
  <si>
    <t>BRASCELL</t>
  </si>
  <si>
    <t>PAINEIS INOX</t>
  </si>
  <si>
    <t>17889.74</t>
  </si>
  <si>
    <t>ABASTECEDOR 81834</t>
  </si>
  <si>
    <t>PLACA ST 103 MULTILUB 11500700</t>
  </si>
  <si>
    <t>SULATECH</t>
  </si>
  <si>
    <t>SISTEMA PROFLEX SKF</t>
  </si>
  <si>
    <t>MULTILUBE 12389914</t>
  </si>
  <si>
    <t>42442.65</t>
  </si>
  <si>
    <t>MULTILUBE 12389918</t>
  </si>
  <si>
    <t>40389.75</t>
  </si>
  <si>
    <t>JPW</t>
  </si>
  <si>
    <t>LISTA DE ITENS</t>
  </si>
  <si>
    <t>INTERNATIONAL PAPER</t>
  </si>
  <si>
    <t>LUBRIFICADOR BRASFORT</t>
  </si>
  <si>
    <t>LUBRIN</t>
  </si>
  <si>
    <t xml:space="preserve">MEDIDOR DE VAZÃO DE GRAXA </t>
  </si>
  <si>
    <t xml:space="preserve">BOMBA DE LUBRIF </t>
  </si>
  <si>
    <t>DÁBLIO SOLUTION</t>
  </si>
  <si>
    <t>RESERVATORIO PISTOLA TLGB 20-4</t>
  </si>
  <si>
    <t>ELDORADO</t>
  </si>
  <si>
    <t>UNIÃO IGUAL 12643400</t>
  </si>
  <si>
    <t>SOPETRA</t>
  </si>
  <si>
    <t>SISTEMA MONITORAMENTO CMON 4108</t>
  </si>
  <si>
    <t>SISTEMA LUBRIF BR0061-18</t>
  </si>
  <si>
    <t>19342.16</t>
  </si>
  <si>
    <t>SISTEMA LUBRIF BR0061-19</t>
  </si>
  <si>
    <t>22819.95</t>
  </si>
  <si>
    <t>DISTRIBUIDOR VPBM-4-ZY</t>
  </si>
  <si>
    <t>BOMBA KFAS10-W-5-485</t>
  </si>
  <si>
    <t>15421.90</t>
  </si>
  <si>
    <t>SISTEMA DE LUBRIF BR0039-17</t>
  </si>
  <si>
    <t>138573.12</t>
  </si>
  <si>
    <t>BOMBA 12381700</t>
  </si>
  <si>
    <t>18341.68</t>
  </si>
  <si>
    <t>CONECTOR MACHO RETO 12805160</t>
  </si>
  <si>
    <t>CHAVE 12381263</t>
  </si>
  <si>
    <t>FILTRO 12382675</t>
  </si>
  <si>
    <t>BOMBA MPB 12381700</t>
  </si>
  <si>
    <t>55025.04</t>
  </si>
  <si>
    <t>ELE E EU</t>
  </si>
  <si>
    <t>KIT REPARO 241680</t>
  </si>
  <si>
    <t>BOMBA KFG</t>
  </si>
  <si>
    <t>MULTIUTT</t>
  </si>
  <si>
    <t>BOMBAS P203</t>
  </si>
  <si>
    <t>M.SHIMIZU</t>
  </si>
  <si>
    <t>GEROTOR 143-011-161</t>
  </si>
  <si>
    <t>GTXE</t>
  </si>
  <si>
    <t>CABOS 4 PONTAS SKF</t>
  </si>
  <si>
    <t>OMR COMPONENTES</t>
  </si>
  <si>
    <t>BOMBA SKF</t>
  </si>
  <si>
    <t>KIT INJETOR 01-500-0296</t>
  </si>
  <si>
    <t>KIT INJETOR 01-500-0297</t>
  </si>
  <si>
    <t>KIT INJETOR 01-500-0287</t>
  </si>
  <si>
    <t>KIT INJETOR 01-500-0315</t>
  </si>
  <si>
    <t>KIT INJETOR 01-500-0288</t>
  </si>
  <si>
    <t xml:space="preserve">SUPORTE DE MOLA </t>
  </si>
  <si>
    <t>DOSADOR SGA-21-SS 12386760</t>
  </si>
  <si>
    <t>KIT CONDUTTOR 01-500-0290</t>
  </si>
  <si>
    <t>CAPA DO EIXO</t>
  </si>
  <si>
    <t xml:space="preserve">PORCA DO EIXO </t>
  </si>
  <si>
    <t>KIT REPARO 01-500-0315</t>
  </si>
  <si>
    <t>EBERSPAECHER</t>
  </si>
  <si>
    <t>MICRO BOMBA</t>
  </si>
  <si>
    <t>584414.57</t>
  </si>
  <si>
    <t>PISCACNCSERVICE</t>
  </si>
  <si>
    <t>MONITOR DE FLUXO 171-210-051</t>
  </si>
  <si>
    <t>38660.65</t>
  </si>
  <si>
    <t>BRACELL</t>
  </si>
  <si>
    <t xml:space="preserve">ELEMENTO DE BOMBA KFG1.U1 </t>
  </si>
  <si>
    <t>ELEMENTO DE BOMBA KFG1.U2</t>
  </si>
  <si>
    <t>ELEMENTO DE BOMBA KFG1.U4</t>
  </si>
  <si>
    <t xml:space="preserve">DOSADORES </t>
  </si>
  <si>
    <t>103255.96</t>
  </si>
  <si>
    <t>10402.10</t>
  </si>
  <si>
    <t xml:space="preserve">ROLAMENTO </t>
  </si>
  <si>
    <t>3360.00</t>
  </si>
  <si>
    <t>PLACA 12501253</t>
  </si>
  <si>
    <t>PLACA 12501252</t>
  </si>
  <si>
    <t>11778.58</t>
  </si>
  <si>
    <t>CAPA DE PROTEÇÃO 12770850</t>
  </si>
  <si>
    <t>CAPA DE PROTEÇÃO 12770650</t>
  </si>
  <si>
    <t>DISTRIBUIDOR VPBM-4</t>
  </si>
  <si>
    <t>ANILHA 12641040</t>
  </si>
  <si>
    <t>UNIÃO MACHO 12643610</t>
  </si>
  <si>
    <t>PLACA 12384350</t>
  </si>
  <si>
    <t xml:space="preserve">LUBRIN </t>
  </si>
  <si>
    <t xml:space="preserve">MEDIDOR DE GRAXA LAGM 100E </t>
  </si>
  <si>
    <t>14716.44</t>
  </si>
  <si>
    <t>ELEMENTO DE BOMBA KFG</t>
  </si>
  <si>
    <t>TEQUALY</t>
  </si>
  <si>
    <t>ESCOVAS DE LUBRIFICAÇÃO</t>
  </si>
  <si>
    <t>TERMINAL 11650327</t>
  </si>
  <si>
    <t>18128.72</t>
  </si>
  <si>
    <t>LUVA 11651085</t>
  </si>
  <si>
    <t>20643.64</t>
  </si>
  <si>
    <t>9350.40</t>
  </si>
  <si>
    <t>BOMBA MPB</t>
  </si>
  <si>
    <t>80451.12</t>
  </si>
  <si>
    <t>MUCHIUTT</t>
  </si>
  <si>
    <t>ELEMENTO K7 600-26877-2</t>
  </si>
  <si>
    <t>MPB 12381700</t>
  </si>
  <si>
    <t>16910.92</t>
  </si>
  <si>
    <t>KIT INSTALAÇÃO MPB 12381361</t>
  </si>
  <si>
    <t xml:space="preserve">SOPETRA </t>
  </si>
  <si>
    <t>PLACA BASE AL 12383250</t>
  </si>
  <si>
    <t>VGAF 13120460</t>
  </si>
  <si>
    <t>VGAF-1312842</t>
  </si>
  <si>
    <t>16900.00</t>
  </si>
  <si>
    <t xml:space="preserve">VERACEL </t>
  </si>
  <si>
    <t>-</t>
  </si>
  <si>
    <t>BOMBA DE ENGRENAGEM E DISTRIBUIDOR</t>
  </si>
  <si>
    <t>PERDEU</t>
  </si>
  <si>
    <t>DOSADOR 12387610</t>
  </si>
  <si>
    <t>DOSADORES</t>
  </si>
  <si>
    <t>NEPASS</t>
  </si>
  <si>
    <t>MANGUEIRAS DIESEL COM ACESSORIOS</t>
  </si>
  <si>
    <t>TRM SUPPLY</t>
  </si>
  <si>
    <t xml:space="preserve">SUPER REMOVEDOR 338 20 L </t>
  </si>
  <si>
    <t>TECMASTER</t>
  </si>
  <si>
    <t>MEDIDOR DE VAZÃO SKF</t>
  </si>
  <si>
    <t>23606.17</t>
  </si>
  <si>
    <t>ELEMENTO DE BOMBA 11771032</t>
  </si>
  <si>
    <t>RUHRPUMPEN</t>
  </si>
  <si>
    <t>CHESTERTON 725</t>
  </si>
  <si>
    <t>FATURADO</t>
  </si>
  <si>
    <t>CD FILTER H1 E H2 (LISTA DE ITENS)</t>
  </si>
  <si>
    <t xml:space="preserve">LUBRIICADOR LAGD 60/WA2 </t>
  </si>
  <si>
    <t>LUBRIFICADOR LAGD 60/U</t>
  </si>
  <si>
    <t xml:space="preserve">LUBRIFICADOR LAGD 125/U </t>
  </si>
  <si>
    <t xml:space="preserve">LUBRIFICADOR TLMR 201/38 WA2 </t>
  </si>
  <si>
    <t xml:space="preserve">ADAPTADOR 1016402 E </t>
  </si>
  <si>
    <t>MANGUEIRA 8 METROS</t>
  </si>
  <si>
    <t>ARCELOR</t>
  </si>
  <si>
    <t>DISTRIBUIDORES 619-28862-1</t>
  </si>
  <si>
    <t>56000.00</t>
  </si>
  <si>
    <t>MULTILUBE 12389922</t>
  </si>
  <si>
    <t>57291.67</t>
  </si>
  <si>
    <t>TRANSMISSOR 12385333</t>
  </si>
  <si>
    <t>12363.91</t>
  </si>
  <si>
    <t>DOSADOR 12388110</t>
  </si>
  <si>
    <t>15742.92</t>
  </si>
  <si>
    <t>PLACA 12383350</t>
  </si>
  <si>
    <t>PLACA 12383300</t>
  </si>
  <si>
    <t>1166.72</t>
  </si>
  <si>
    <t xml:space="preserve">PLACA 12386350 </t>
  </si>
  <si>
    <t>TORNO CNC</t>
  </si>
  <si>
    <t>BOMBA DE ENGRENAGEM</t>
  </si>
  <si>
    <t>CIFAMAR</t>
  </si>
  <si>
    <t>1062/A</t>
  </si>
  <si>
    <t>BOMBA BOZZA</t>
  </si>
  <si>
    <t>ROLAMENTO</t>
  </si>
  <si>
    <t>16725,.16</t>
  </si>
  <si>
    <t xml:space="preserve">LISTA DE ITENS </t>
  </si>
  <si>
    <t>118825.87</t>
  </si>
  <si>
    <t>BOMBA BOZZA 8522</t>
  </si>
  <si>
    <t>1150A</t>
  </si>
  <si>
    <t>DISTRIBUIDOR 619-26398-2</t>
  </si>
  <si>
    <t>DISTRIBUIDOR 619-26396-2</t>
  </si>
  <si>
    <t>UNIDADE DE BOMBEAMENTO 604-25102-1</t>
  </si>
  <si>
    <t>61620.16</t>
  </si>
  <si>
    <t>ARRUELA W11</t>
  </si>
  <si>
    <t xml:space="preserve">PORCA N11 </t>
  </si>
  <si>
    <t>19920.00</t>
  </si>
  <si>
    <t>22680.00</t>
  </si>
  <si>
    <t>10280.00</t>
  </si>
  <si>
    <t>DOSADOR 12387510</t>
  </si>
  <si>
    <t>SCHOTT</t>
  </si>
  <si>
    <t xml:space="preserve">GRAXA 615 HTG </t>
  </si>
  <si>
    <t>10419.59</t>
  </si>
  <si>
    <t xml:space="preserve">C3 ENGENNHARIA </t>
  </si>
  <si>
    <t>KIT JUNTA 860</t>
  </si>
  <si>
    <t>642/A</t>
  </si>
  <si>
    <t>EXTENSÃO RIGIDA BOZZA 391</t>
  </si>
  <si>
    <t>EXTENSÃO FLEXIVEL 5651</t>
  </si>
  <si>
    <t>MONITOR DE FLUXO 12388180</t>
  </si>
  <si>
    <t xml:space="preserve">GRAXA 2/18 </t>
  </si>
  <si>
    <t xml:space="preserve">GRAXA LGHB 2 </t>
  </si>
  <si>
    <t xml:space="preserve">GRAXA LGEV 2 </t>
  </si>
  <si>
    <t xml:space="preserve">GRAXA LGEM 2 </t>
  </si>
  <si>
    <t>PLACA DE ALIMENTAÇÃO KFG10.U32+486</t>
  </si>
  <si>
    <t>MANGUEIRA 12651232</t>
  </si>
  <si>
    <t>CAIXA DE DERIVAÇÃO 12388192</t>
  </si>
  <si>
    <t>10639.42</t>
  </si>
  <si>
    <t>JAGUAR MINING</t>
  </si>
  <si>
    <t>LISTA DE PEÇAS</t>
  </si>
  <si>
    <t>Não enviado</t>
  </si>
  <si>
    <t>DESENGRAXANTE 274 300 g</t>
  </si>
  <si>
    <t xml:space="preserve">DESENGRAXANTE 274 20 L </t>
  </si>
  <si>
    <t>LUBRIFICANTE 601</t>
  </si>
  <si>
    <t xml:space="preserve">783 ACR HIGH </t>
  </si>
  <si>
    <t>HFERR</t>
  </si>
  <si>
    <t>GRAXA LGHQ</t>
  </si>
  <si>
    <t>ELEEEU</t>
  </si>
  <si>
    <t>FILTROS</t>
  </si>
  <si>
    <t>M.MAI</t>
  </si>
  <si>
    <t>LISTA DE PEÇAS SISTEMA CENT.</t>
  </si>
  <si>
    <t>55834.10</t>
  </si>
  <si>
    <t xml:space="preserve">METALURGICA </t>
  </si>
  <si>
    <t>LUBRIFICANTE 715</t>
  </si>
  <si>
    <t>1812.53</t>
  </si>
  <si>
    <t>1168A</t>
  </si>
  <si>
    <t>DOSADOR 12386710</t>
  </si>
  <si>
    <t>13569.43</t>
  </si>
  <si>
    <t>INDICADOR 12388180</t>
  </si>
  <si>
    <t>20092.08</t>
  </si>
  <si>
    <t>DOSADOR 12386610</t>
  </si>
  <si>
    <t>10870.40</t>
  </si>
  <si>
    <t>PLACAS DO BRASIL</t>
  </si>
  <si>
    <t>SUPER REMOVEDOR 338</t>
  </si>
  <si>
    <t xml:space="preserve"> 274 DESENGRAXANTE</t>
  </si>
  <si>
    <t>KIT JUNTA DE POLIMERO 860</t>
  </si>
  <si>
    <t xml:space="preserve">WHITE MARTINS </t>
  </si>
  <si>
    <t xml:space="preserve">FLANGE A36 24 </t>
  </si>
  <si>
    <t>23897.83</t>
  </si>
  <si>
    <t>JUNTA BORRACHA RF 24 X 1,8</t>
  </si>
  <si>
    <t>VGA CDCM 258</t>
  </si>
  <si>
    <t>SCM</t>
  </si>
  <si>
    <t>BOMBA ALEMITE 325540-2</t>
  </si>
  <si>
    <t>16634.22</t>
  </si>
  <si>
    <t xml:space="preserve">PETROBRAS </t>
  </si>
  <si>
    <t xml:space="preserve">900 GOLDEND </t>
  </si>
  <si>
    <t>TERMINAL PONTA LISA 11650327</t>
  </si>
  <si>
    <t>LUVA 11651080</t>
  </si>
  <si>
    <t>CONECTOR 124010220</t>
  </si>
  <si>
    <t>EURO BRASIL</t>
  </si>
  <si>
    <t>BEAVER-B02-V</t>
  </si>
  <si>
    <t>GW ELÉTRICA</t>
  </si>
  <si>
    <t>LINCOLN 83668</t>
  </si>
  <si>
    <t>GRAXA 615</t>
  </si>
  <si>
    <t xml:space="preserve">LUBRI-CUP VG 250CC </t>
  </si>
  <si>
    <t>SGA-21-SS 12386760</t>
  </si>
  <si>
    <t>40000.00</t>
  </si>
  <si>
    <t>8000.00</t>
  </si>
  <si>
    <t>OCU-5 13607315</t>
  </si>
  <si>
    <t>BOMBA VGKP 13607315</t>
  </si>
  <si>
    <t>65592.16</t>
  </si>
  <si>
    <t>ELEMENTO DE BOMBA KFG1.U0</t>
  </si>
  <si>
    <t xml:space="preserve">UNIDADE DE LUB KFG </t>
  </si>
  <si>
    <t>10822.66</t>
  </si>
  <si>
    <t>VALVULA DE SEGURANÇA</t>
  </si>
  <si>
    <t>TRANSMISSOR DE PRESSÃO 12385331</t>
  </si>
  <si>
    <t>15753.18</t>
  </si>
  <si>
    <t>ESCOVA DE LUBRIFICAÇÃO LAPB 3X7E1</t>
  </si>
  <si>
    <t>ESCOVA 600-232-002</t>
  </si>
  <si>
    <t>10583.92</t>
  </si>
  <si>
    <t>AUTVIX</t>
  </si>
  <si>
    <t>PROTETOR CONTRA UMIDADE 775</t>
  </si>
  <si>
    <t xml:space="preserve">CRM  </t>
  </si>
  <si>
    <t>LISTA DE ITENS DE BOMBEAMENTO</t>
  </si>
  <si>
    <t>IF 103 E BULKHEAD 10MM</t>
  </si>
  <si>
    <t>20735.87</t>
  </si>
  <si>
    <t>TRASMISSOR DE PRESSÃO 11408720</t>
  </si>
  <si>
    <t>FONTE TRANSFORMAD. DE TENSÃO 115/230 V</t>
  </si>
  <si>
    <t>DOSADOR INOX SGA-O11-SS</t>
  </si>
  <si>
    <t>MOTOR ELETRICO CONJUNTO COMPLETO</t>
  </si>
  <si>
    <t>90028.49</t>
  </si>
  <si>
    <t>MODULO DE DOSAGEM SGA-011-SS</t>
  </si>
  <si>
    <t>HHI BRASIL</t>
  </si>
  <si>
    <t>PROTEÇÃO CONTRA FERRUGEM 740</t>
  </si>
  <si>
    <t>PROTEÇÃO CONTRA FERRUGEM 740 3,8 L</t>
  </si>
  <si>
    <t>PROTEÇÃO CONTRA FERRUGEM 740 20L</t>
  </si>
  <si>
    <t>OMR COMPO.</t>
  </si>
  <si>
    <t>01 UNID. VGAA 343-400 22200-ZZ</t>
  </si>
  <si>
    <t xml:space="preserve">PINO GRAXEIRO </t>
  </si>
  <si>
    <t xml:space="preserve">ELE E EU </t>
  </si>
  <si>
    <t>LISTA DE FILTROS</t>
  </si>
  <si>
    <t>BEBIDAS REGGIANI</t>
  </si>
  <si>
    <t>02 ROLAMENTOS NUP211ECJ/C3 SKF OU NSK</t>
  </si>
  <si>
    <t xml:space="preserve">DISTRIBUIDORES </t>
  </si>
  <si>
    <t>18205.95</t>
  </si>
  <si>
    <t>RTE ROLAMENTOS</t>
  </si>
  <si>
    <t>CMXA 75-F-K-SL</t>
  </si>
  <si>
    <t>DOSADOR 620-40022-7</t>
  </si>
  <si>
    <t>NOVAMETA</t>
  </si>
  <si>
    <t>01 UNID. FLUXOSTATO SKF 24-1072-2115</t>
  </si>
  <si>
    <t>USI. ELÉT. ITAIAPU</t>
  </si>
  <si>
    <t>LUBRIFICADOR AUTOMÁTICO SKF</t>
  </si>
  <si>
    <t>EMBALI</t>
  </si>
  <si>
    <t>ROLAMENTO NJ 210 ECP</t>
  </si>
  <si>
    <t>ROLAMENTO QJ 214 N2MA</t>
  </si>
  <si>
    <t>ROLAMENTO NU 2212 ECP</t>
  </si>
  <si>
    <t>ROLAMENTO NU 2214 ECP</t>
  </si>
  <si>
    <t>SISTEMA DE LUBRI. POR PINHÃO</t>
  </si>
  <si>
    <t>USINAS SIDER</t>
  </si>
  <si>
    <t>DISTRIBUIDOR LL/DC-154</t>
  </si>
  <si>
    <t>5616.76</t>
  </si>
  <si>
    <t>COMIL</t>
  </si>
  <si>
    <t>ROLAMENTO 22230 CCK/C3W33</t>
  </si>
  <si>
    <t>15998.00</t>
  </si>
  <si>
    <t>BUCHA FIXAÇÃO H3130</t>
  </si>
  <si>
    <t>02 UNIDADES DE ROLAMENTO 3307A- 2Z SKF</t>
  </si>
  <si>
    <t xml:space="preserve">SERMATER </t>
  </si>
  <si>
    <t>02 BOMBA COLETA DE AMOSTRAS TRICO 5714</t>
  </si>
  <si>
    <t>PISCA CNC SERVICE</t>
  </si>
  <si>
    <t>REVISÃO DO ORÇAMENTO 1087</t>
  </si>
  <si>
    <t>NORSAL</t>
  </si>
  <si>
    <t>02 ROLAMENTOS ROLOS NJ-2317</t>
  </si>
  <si>
    <t>17303.65</t>
  </si>
  <si>
    <t>DOSADOR 12387560</t>
  </si>
  <si>
    <t>20000.00</t>
  </si>
  <si>
    <t>24 SGA-11-ZN 12387560</t>
  </si>
  <si>
    <t>20612.16</t>
  </si>
  <si>
    <t>Treliças.C.O</t>
  </si>
  <si>
    <t>Mancais</t>
  </si>
  <si>
    <t>FLUXOSTATO 24-1072-2115</t>
  </si>
  <si>
    <t>12 DOSER 11 ZN 12387625</t>
  </si>
  <si>
    <t>10061.64</t>
  </si>
  <si>
    <t>DOSADOR 12387625</t>
  </si>
  <si>
    <t>BOMBA MANUAL 60/220L 7802</t>
  </si>
  <si>
    <t xml:space="preserve">1246 A </t>
  </si>
  <si>
    <t>PLACA 11500700</t>
  </si>
  <si>
    <t>graxas suzano imperatriz 72 kg</t>
  </si>
  <si>
    <t>22038.75</t>
  </si>
  <si>
    <t xml:space="preserve">graxas LGEV 2 </t>
  </si>
  <si>
    <t>GRAXA LGEM 2</t>
  </si>
  <si>
    <t>GRAXA 180 Kg</t>
  </si>
  <si>
    <t>RIMAC</t>
  </si>
  <si>
    <t>LUBRIFICADOR TLSD 125/EM2</t>
  </si>
  <si>
    <t>GM SOUTH</t>
  </si>
  <si>
    <t>FILTRO 169-460-185-V57</t>
  </si>
  <si>
    <t>14602.23</t>
  </si>
  <si>
    <t>SISTEMA FIXAÇÃO</t>
  </si>
  <si>
    <t>DISTRIBUIDORES 321-406G7</t>
  </si>
  <si>
    <t>UNIÃ0 IGUAL 12643400</t>
  </si>
  <si>
    <t xml:space="preserve">BOMBA MANUAL LAGF 18 </t>
  </si>
  <si>
    <t>ROLAMENTO FL15-04-R-CAN</t>
  </si>
  <si>
    <t>20195.23</t>
  </si>
  <si>
    <t xml:space="preserve">TRACTORBEL </t>
  </si>
  <si>
    <t xml:space="preserve">LUBRIFICADOR AUTOMATICO </t>
  </si>
  <si>
    <t>INTERN PAPER</t>
  </si>
  <si>
    <t xml:space="preserve">CONTADOR PART- FILTRO OLEO </t>
  </si>
  <si>
    <t xml:space="preserve">SCHOTT Brasil </t>
  </si>
  <si>
    <t xml:space="preserve">GRAXA SINTETICA </t>
  </si>
  <si>
    <t>Engels Marx</t>
  </si>
  <si>
    <t xml:space="preserve">Distribuidor de pré Lubrificação </t>
  </si>
  <si>
    <t>01 pç SGA 11 ZN</t>
  </si>
  <si>
    <t>1270A</t>
  </si>
  <si>
    <t>JT</t>
  </si>
  <si>
    <t>TERMINAL PONTA LISA 432-24162-1</t>
  </si>
  <si>
    <t>TERMINAL 90º 532-30739-1</t>
  </si>
  <si>
    <t>CONECTOR MACHO RETO 233-12270-7</t>
  </si>
  <si>
    <t>LUVA ROSCADA 432-23031-1</t>
  </si>
  <si>
    <t>JOELHO MACHO 223-12485-9</t>
  </si>
  <si>
    <t>UNIÃO DUPLA 223-12482-9</t>
  </si>
  <si>
    <t xml:space="preserve">POSITIVA </t>
  </si>
  <si>
    <t>Rolamento Ø120/65 22213CC  </t>
  </si>
  <si>
    <t>GRAXA LGEV 2</t>
  </si>
  <si>
    <t>27548.10</t>
  </si>
  <si>
    <t xml:space="preserve">BENETECH </t>
  </si>
  <si>
    <t xml:space="preserve">MANCAIS </t>
  </si>
  <si>
    <t>11019.24</t>
  </si>
  <si>
    <t xml:space="preserve">LINK NO EMAIL </t>
  </si>
  <si>
    <t>CONJUNTO DE VEDAÇÃO 241680</t>
  </si>
  <si>
    <t>45475.3</t>
  </si>
  <si>
    <t>TECTEXTIL</t>
  </si>
  <si>
    <t xml:space="preserve">LUBRIFICADOR 601 </t>
  </si>
  <si>
    <t>ABASTECIMENTO  COMBUST BOZZA 5322 PR</t>
  </si>
  <si>
    <t>DMB</t>
  </si>
  <si>
    <t>COMPOSTO GALVANIZAÇÃO 752</t>
  </si>
  <si>
    <t>CAIXA SOBREPOR A500 X L400X P300 X 1MM</t>
  </si>
  <si>
    <t>DOSADOR 12386760</t>
  </si>
  <si>
    <t>DABLIO</t>
  </si>
  <si>
    <t>DISTRIBUIDOR 345-500-22322-ZZ</t>
  </si>
  <si>
    <t>DISTRIBUIDOR 345-400-55555-ZZ</t>
  </si>
  <si>
    <t>DISTRIBUIDOR 343-800-55500-ZZ</t>
  </si>
  <si>
    <t>VALVULA 12386245</t>
  </si>
  <si>
    <t xml:space="preserve">DILEVAL </t>
  </si>
  <si>
    <t>VALVULA RETENÇÃO VD2-102</t>
  </si>
  <si>
    <t>TRACTORBEL</t>
  </si>
  <si>
    <t>UNIÃO MACHO 90º 12643610</t>
  </si>
  <si>
    <t xml:space="preserve">BOMBA DE ENGRENAGEM </t>
  </si>
  <si>
    <r>
      <rPr>
        <rFont val="Calibri"/>
        <color theme="1"/>
        <sz val="11.0"/>
      </rPr>
      <t>RESTRITOR APARAFUSAR   </t>
    </r>
    <r>
      <rPr>
        <rFont val="Calibri"/>
        <color theme="1"/>
        <sz val="11.0"/>
      </rPr>
      <t>VGAD VD2-102</t>
    </r>
  </si>
  <si>
    <t>LUBRIFICADOR LAHD 500</t>
  </si>
  <si>
    <t>FILTRO 11770415</t>
  </si>
  <si>
    <t xml:space="preserve">orç duplicado </t>
  </si>
  <si>
    <t>DOSADOR 12388160</t>
  </si>
  <si>
    <t>PLACA 12383450</t>
  </si>
  <si>
    <t>PLACA 12383500</t>
  </si>
  <si>
    <t>PLACA 12384400</t>
  </si>
  <si>
    <t>PLACA 12384450</t>
  </si>
  <si>
    <t>BRASKM</t>
  </si>
  <si>
    <t>HIGH 783 ACR</t>
  </si>
  <si>
    <t>SHEFFIELD</t>
  </si>
  <si>
    <t>BICO AC 3539-C2</t>
  </si>
  <si>
    <t xml:space="preserve">REGULADOR DE PRESSÃO </t>
  </si>
  <si>
    <t>VALV DIRECIONAL CHV-100 SAFEMATIC</t>
  </si>
  <si>
    <t>CONECTOR 12805410</t>
  </si>
  <si>
    <t xml:space="preserve">CONEXÃO MACHO 1/4 </t>
  </si>
  <si>
    <t>BUJÃO 1/8 12644585</t>
  </si>
  <si>
    <t xml:space="preserve">CONTRUAU </t>
  </si>
  <si>
    <t xml:space="preserve">LUBRIFICANTE 601 </t>
  </si>
  <si>
    <t xml:space="preserve">KIT DE VEDAÇÃO </t>
  </si>
  <si>
    <t xml:space="preserve">declinado </t>
  </si>
  <si>
    <t>Labirinto de alta performacE</t>
  </si>
  <si>
    <t>INTERFACE 11500710</t>
  </si>
  <si>
    <t>4626.67</t>
  </si>
  <si>
    <t>ENGATE 11650650</t>
  </si>
  <si>
    <t>LUBRIFICADOR TLSD 250/HP2</t>
  </si>
  <si>
    <t>LUBRIFICADOR TLSD 125/HP2</t>
  </si>
  <si>
    <t>PLACA 12383400</t>
  </si>
  <si>
    <t>ELEMENTO KFG1.U4</t>
  </si>
  <si>
    <t xml:space="preserve">ARCELOR </t>
  </si>
  <si>
    <t>REPARO GMBH 628-25463-1</t>
  </si>
  <si>
    <t>104630.7</t>
  </si>
  <si>
    <t>VALVULA 505-36089-1</t>
  </si>
  <si>
    <t>41307.84</t>
  </si>
  <si>
    <t>DISTRIBUIDO 619-26473-1</t>
  </si>
  <si>
    <t>15054.19</t>
  </si>
  <si>
    <t>LUBRIFCADOR LAGD 60/WA2</t>
  </si>
  <si>
    <t>80981.00</t>
  </si>
  <si>
    <t>LUBRIFCADOR LAGD 125/WA2</t>
  </si>
  <si>
    <t>102988.79</t>
  </si>
  <si>
    <t>LUBRIFCADOR TLSD 125/WA2</t>
  </si>
  <si>
    <t>110125.00</t>
  </si>
  <si>
    <t>LUBRIFCADOR TLSD 250/WA2</t>
  </si>
  <si>
    <t>117563.0</t>
  </si>
  <si>
    <t>2755.47</t>
  </si>
  <si>
    <t xml:space="preserve">UNIÃO 3/8 BSPT </t>
  </si>
  <si>
    <t xml:space="preserve">TUBO DE AÇO </t>
  </si>
  <si>
    <t xml:space="preserve">UNIÃO 1/4 NPT </t>
  </si>
  <si>
    <t xml:space="preserve">LUBRI-CUP </t>
  </si>
  <si>
    <t>15495.54</t>
  </si>
  <si>
    <t xml:space="preserve">capsula p/armazenamento </t>
  </si>
  <si>
    <t>CONJUNTO VEDAÇÕES 241680</t>
  </si>
  <si>
    <t>MAXILUB 12371101</t>
  </si>
  <si>
    <t>32000.00</t>
  </si>
  <si>
    <t>BOMBA 12375020</t>
  </si>
  <si>
    <t>43277.55</t>
  </si>
  <si>
    <t>KIT INSTALAÇÃO 12381290</t>
  </si>
  <si>
    <t>CENTRAL DE COMANDO 12371041</t>
  </si>
  <si>
    <t>40369.11</t>
  </si>
  <si>
    <t>MANGUEIRA 8/4 11650070</t>
  </si>
  <si>
    <t xml:space="preserve">METALURGICA VALENCIA </t>
  </si>
  <si>
    <t>LUBRIFICANTE SP 715</t>
  </si>
  <si>
    <t xml:space="preserve">METALURGICA VALENCA </t>
  </si>
  <si>
    <t>601-CHAIN DRIVE PIN 3,8 L</t>
  </si>
  <si>
    <t>601-CHAIN DRIVE PIN 20 L</t>
  </si>
  <si>
    <t xml:space="preserve">715G SPRAFLEX GOLD 3,8 L </t>
  </si>
  <si>
    <t>715G SPRAFLEX GOLD 20 L</t>
  </si>
  <si>
    <t>LUBRIFICANTE 601 SP 601</t>
  </si>
  <si>
    <t>LUBRIFICADOR LAGD 60/WA2</t>
  </si>
  <si>
    <t>10136.08</t>
  </si>
  <si>
    <t>LUBRIFICADOR LAGD 125/WA2</t>
  </si>
  <si>
    <t>11979.25</t>
  </si>
  <si>
    <t>DISTRIBUIDOR 619-28865-1</t>
  </si>
  <si>
    <t>21271.08</t>
  </si>
  <si>
    <t xml:space="preserve">BOMBA DE PULVERIZAÇÃO </t>
  </si>
  <si>
    <t>TUBO SEM COSTURA 106-35203-4</t>
  </si>
  <si>
    <t xml:space="preserve">CRCAIXETA </t>
  </si>
  <si>
    <t xml:space="preserve">GRAXEITA CENTRALIZADA LINCOLN </t>
  </si>
  <si>
    <t xml:space="preserve">MAXILUBE IF 105 PLACA BASE 4AL </t>
  </si>
  <si>
    <t>MANGUEIRA 8/4</t>
  </si>
  <si>
    <t>VALVULA 5040</t>
  </si>
  <si>
    <t>BOMBA ARLA 32</t>
  </si>
  <si>
    <t>lubri  cup em service 2-460</t>
  </si>
  <si>
    <t>1423.34</t>
  </si>
  <si>
    <t xml:space="preserve">RADICAL </t>
  </si>
  <si>
    <t xml:space="preserve">PISTOLA DE GRAXA C/ MANGUEIRA FLEXIVEL </t>
  </si>
  <si>
    <t xml:space="preserve">JOELHO PORCA GIRATORIA </t>
  </si>
  <si>
    <t xml:space="preserve">UNIÃO PORCA GIRATORIA </t>
  </si>
  <si>
    <t xml:space="preserve">UNIÃO MACHO </t>
  </si>
  <si>
    <t xml:space="preserve">LL/VPBG-3.51 </t>
  </si>
  <si>
    <t>DOSADOR 12388111</t>
  </si>
  <si>
    <t>DOSADOR 12383450</t>
  </si>
  <si>
    <t>DOSADOR 12383500</t>
  </si>
  <si>
    <t>DOSADOR 12384400</t>
  </si>
  <si>
    <t>DOSADOR 12384450</t>
  </si>
  <si>
    <t>SKF</t>
  </si>
  <si>
    <t>PULVERIZADOR DE COMPRESSÃO</t>
  </si>
  <si>
    <t>TERMINAL PONTA LISA 11650324</t>
  </si>
  <si>
    <t>INVERSOR 632-36501-1</t>
  </si>
  <si>
    <t>39429.04</t>
  </si>
  <si>
    <t>unidade de lub KFG</t>
  </si>
  <si>
    <t>ELKEM</t>
  </si>
  <si>
    <t>BOMBA TLGB 20</t>
  </si>
  <si>
    <t>7019.95</t>
  </si>
  <si>
    <t xml:space="preserve">BOMBA BOZZA 7029-G2 PREMIUN </t>
  </si>
  <si>
    <t>BOMBA LINCOLN 1242</t>
  </si>
  <si>
    <t>2010.72</t>
  </si>
  <si>
    <t>REPARO LINCOLN 628-25463-1</t>
  </si>
  <si>
    <t>VALVULA RETENÇÃO 505-36089-1</t>
  </si>
  <si>
    <t>DISTRIBUIDOR LINCOLN 619-26473-1</t>
  </si>
  <si>
    <t>BOMBA LINCOLN LL/818340</t>
  </si>
  <si>
    <t xml:space="preserve">GANHOU </t>
  </si>
  <si>
    <t>PROPULSORA 339359C1</t>
  </si>
  <si>
    <t>porcas zincadas 12643170</t>
  </si>
  <si>
    <t>DOSADOR 12387460</t>
  </si>
  <si>
    <t xml:space="preserve">MANUT. HIDRAULICA </t>
  </si>
  <si>
    <t>UNIDADE DE LUBRIFICAÇÃO KFG</t>
  </si>
  <si>
    <t>VALVULA Z2FS 6-2-4X/2Q</t>
  </si>
  <si>
    <t>57111.28</t>
  </si>
  <si>
    <t xml:space="preserve">MARCOS </t>
  </si>
  <si>
    <t xml:space="preserve">RADIAL </t>
  </si>
  <si>
    <t>DISTRIBUIDOR VPBG 3 S1</t>
  </si>
  <si>
    <t xml:space="preserve">PISTOLA GRAXA 1077600 H </t>
  </si>
  <si>
    <t xml:space="preserve">ELDORADO </t>
  </si>
  <si>
    <t>LUBRIFICADOR TLSD 125/HQ2</t>
  </si>
  <si>
    <t>26610.9</t>
  </si>
  <si>
    <t xml:space="preserve">GW ELETRICA </t>
  </si>
  <si>
    <t>KIT DE ATUALIZAÇÃO 247953</t>
  </si>
  <si>
    <t>KIT DE ATUALIZAÇÃO 247950</t>
  </si>
  <si>
    <t xml:space="preserve">REDE MONTAGENS </t>
  </si>
  <si>
    <t>COMPOSTO ANTIGRIPANTE 725</t>
  </si>
  <si>
    <t>FLUIDO DE MONTAGEM LHMH 300/5</t>
  </si>
  <si>
    <t xml:space="preserve">THALIA </t>
  </si>
  <si>
    <t>NORTEL</t>
  </si>
  <si>
    <t>LIMPADOR 276 AEROSSOL 250 g</t>
  </si>
  <si>
    <t>GRAXA LGHB 2/180</t>
  </si>
  <si>
    <t>104962.25</t>
  </si>
  <si>
    <t>1365A</t>
  </si>
  <si>
    <t>CONECTOR 932-68LC-1</t>
  </si>
  <si>
    <t>GRAXEIRA RETA ATÉ  05/08</t>
  </si>
  <si>
    <t>PAULA 14:51</t>
  </si>
  <si>
    <t xml:space="preserve">CABO CMSS 932-68CI-SY-5M </t>
  </si>
  <si>
    <t>ATÉ 09/08 (14:21)</t>
  </si>
  <si>
    <t xml:space="preserve">PAULO VINICIUS </t>
  </si>
  <si>
    <t>GRAXA 630 400g</t>
  </si>
  <si>
    <t>MARCOS 08:27</t>
  </si>
  <si>
    <t xml:space="preserve">KIT REPARO MAD 104B </t>
  </si>
  <si>
    <t xml:space="preserve">GRAXEIRA RETA AÇO ZINC BSP </t>
  </si>
  <si>
    <t xml:space="preserve">GABRIEL </t>
  </si>
  <si>
    <t>ATÉ 09/08</t>
  </si>
  <si>
    <t>CELIA 18:20</t>
  </si>
  <si>
    <t>BOMBA LAGG 18M</t>
  </si>
  <si>
    <t xml:space="preserve">BOMBA LAGG 180AE </t>
  </si>
  <si>
    <t>16754.35</t>
  </si>
  <si>
    <t>BOMBA LAGG 50AE</t>
  </si>
  <si>
    <t>10717.02</t>
  </si>
  <si>
    <t>BOMBA 7029 G2</t>
  </si>
  <si>
    <t xml:space="preserve">BOMBA 8522 G3 </t>
  </si>
  <si>
    <t>BOMBA 8020 G3</t>
  </si>
  <si>
    <t>MEDIDOR BZ 2000</t>
  </si>
  <si>
    <t>THALIA 15:55</t>
  </si>
  <si>
    <t xml:space="preserve">LUBRIFICADOR LAGD 125/HB2 </t>
  </si>
  <si>
    <t>LUBRIFICADOR 60/HB2</t>
  </si>
  <si>
    <t>THALIA 15:54</t>
  </si>
  <si>
    <t>BOMBA PNEUMATIC 83668</t>
  </si>
  <si>
    <t>BOMBA LUBRIFICACAO</t>
  </si>
  <si>
    <t>ELTON 09:04</t>
  </si>
  <si>
    <t>PLACA BPSG-02-SS 12384350</t>
  </si>
  <si>
    <t>35652.82</t>
  </si>
  <si>
    <t>28208.46</t>
  </si>
  <si>
    <t>DOSADOR 12386560</t>
  </si>
  <si>
    <t>28246.13</t>
  </si>
  <si>
    <t>ANA PAULA 14:00</t>
  </si>
  <si>
    <t>ATÉ 16/08</t>
  </si>
  <si>
    <t xml:space="preserve">PINO GRAX AI RETO 3/8 POL 25,4MM </t>
  </si>
  <si>
    <t xml:space="preserve">SANDRO </t>
  </si>
  <si>
    <t>GRAXA LUBRIFICANTE LGHB 2/180</t>
  </si>
  <si>
    <t>83943.13</t>
  </si>
  <si>
    <t>BOMBA 83668</t>
  </si>
  <si>
    <t xml:space="preserve">CELIA </t>
  </si>
  <si>
    <t>MMAI</t>
  </si>
  <si>
    <t>RESERVATÓRIO LL/544-31996-1</t>
  </si>
  <si>
    <t xml:space="preserve">FELIPE </t>
  </si>
  <si>
    <t>ELEMENTO 11771002</t>
  </si>
  <si>
    <t>BOMBA DE LUBRIFCAÇÃO 83667</t>
  </si>
  <si>
    <t>4809.51</t>
  </si>
  <si>
    <t xml:space="preserve">ALAN </t>
  </si>
  <si>
    <t>LAOS 62567</t>
  </si>
  <si>
    <t>LAOS 62451</t>
  </si>
  <si>
    <t>LAOS 63618</t>
  </si>
  <si>
    <t>LAOS 66251</t>
  </si>
  <si>
    <t>LAOS 09774</t>
  </si>
  <si>
    <t xml:space="preserve">LEONARDO </t>
  </si>
  <si>
    <t>ANGEL FERRA</t>
  </si>
  <si>
    <t>SENSOR ULTRASSÔNICO  237-11204-8</t>
  </si>
  <si>
    <t>13699.53</t>
  </si>
  <si>
    <t xml:space="preserve">DANIELA </t>
  </si>
  <si>
    <t>MARCOS</t>
  </si>
  <si>
    <t xml:space="preserve">jet comercial </t>
  </si>
  <si>
    <t>MANOMETRO 1077589</t>
  </si>
  <si>
    <t>2002.79</t>
  </si>
  <si>
    <t>CONECTOR 228027 E</t>
  </si>
  <si>
    <t>ACOPLAMENTO 729831 A</t>
  </si>
  <si>
    <t>PINO GRAXEIRO 729832</t>
  </si>
  <si>
    <t xml:space="preserve">JOSÉ MARIA </t>
  </si>
  <si>
    <t>DINAMICA</t>
  </si>
  <si>
    <t>Conjunto Tampa SKF 12381381</t>
  </si>
  <si>
    <t>MATHEUS LUCAS</t>
  </si>
  <si>
    <t xml:space="preserve">ST Metals </t>
  </si>
  <si>
    <t>bomba hidráulica da SFK: THHP 300</t>
  </si>
  <si>
    <t>40536.55</t>
  </si>
  <si>
    <t xml:space="preserve">sergio </t>
  </si>
  <si>
    <t>1398A</t>
  </si>
  <si>
    <t>TRANSFORMADOR 11501000</t>
  </si>
  <si>
    <t xml:space="preserve">BOMBA MANUAL 18 KG- LAGF 18 </t>
  </si>
  <si>
    <t xml:space="preserve">BOMBA MANUAL 8022-R20-G3 </t>
  </si>
  <si>
    <t>klaus 17:44</t>
  </si>
  <si>
    <t>BOMBA DE LUBRIFICAÇÃO DE GRAXA</t>
  </si>
  <si>
    <t xml:space="preserve">WEG </t>
  </si>
  <si>
    <t>LGAF 3E/0.035</t>
  </si>
  <si>
    <t>LGAF 3E/0.5</t>
  </si>
  <si>
    <t>LGAF 3E/30</t>
  </si>
  <si>
    <t>13573.94</t>
  </si>
  <si>
    <t>DANIEL</t>
  </si>
  <si>
    <t>Distribuidor  GMBH 7000384525</t>
  </si>
  <si>
    <t>ANDRE</t>
  </si>
  <si>
    <t xml:space="preserve">DINAMO </t>
  </si>
  <si>
    <t>LUBRIF LGFP2/ SD125</t>
  </si>
  <si>
    <t xml:space="preserve">MARIANA </t>
  </si>
  <si>
    <t>wcl-33612207999261</t>
  </si>
  <si>
    <t xml:space="preserve">FALCERE </t>
  </si>
  <si>
    <t>LUBRIF 24-LAGD 125/WA2</t>
  </si>
  <si>
    <t xml:space="preserve">VGRA CLK-260R-100 428 </t>
  </si>
  <si>
    <t xml:space="preserve">IARA </t>
  </si>
  <si>
    <t>WCL-16373010000361</t>
  </si>
  <si>
    <t>ATÉ 30/08</t>
  </si>
  <si>
    <t>GABRIELA</t>
  </si>
  <si>
    <t xml:space="preserve">SALTH </t>
  </si>
  <si>
    <t>distribuidor 619-25730-2</t>
  </si>
  <si>
    <t>distribuidor 619-26814-1</t>
  </si>
  <si>
    <t>DAIANE</t>
  </si>
  <si>
    <t>ROLAMENTO DE ESFERAS </t>
  </si>
  <si>
    <t>EDILANE</t>
  </si>
  <si>
    <t>DOSADOR 343-444-400-ZZ</t>
  </si>
  <si>
    <t>SORAYA</t>
  </si>
  <si>
    <t>WCL-16333421900361</t>
  </si>
  <si>
    <t xml:space="preserve">NOVA ELETRICA </t>
  </si>
  <si>
    <t>PRESSOSTATO LL/DSD3-A04ON NOA13</t>
  </si>
  <si>
    <t xml:space="preserve">MARCIA </t>
  </si>
  <si>
    <t>CIMED</t>
  </si>
  <si>
    <t>bomba câmara MKU1-KW2-20031+428</t>
  </si>
  <si>
    <t xml:space="preserve">FABIO </t>
  </si>
  <si>
    <t>BOMBA 644-41030-4</t>
  </si>
  <si>
    <t>EU E ELE</t>
  </si>
  <si>
    <t xml:space="preserve">RUY </t>
  </si>
  <si>
    <t>CONEXÃO ATÉ 02/09</t>
  </si>
  <si>
    <t xml:space="preserve">ANA PAULA </t>
  </si>
  <si>
    <t xml:space="preserve">KLABIN </t>
  </si>
  <si>
    <t>LL/12501270</t>
  </si>
  <si>
    <t xml:space="preserve">ANDRE </t>
  </si>
  <si>
    <t>REGULADOR EXIMPORT  CE17371.000</t>
  </si>
  <si>
    <t xml:space="preserve">ANDREA </t>
  </si>
  <si>
    <t>BALL</t>
  </si>
  <si>
    <t>VALVULA 242787</t>
  </si>
  <si>
    <t>VALVULA 241768</t>
  </si>
  <si>
    <t>COPO DE VALVULA 244802</t>
  </si>
  <si>
    <t xml:space="preserve">VITORIA </t>
  </si>
  <si>
    <t>JDF</t>
  </si>
  <si>
    <t>BOMBA QLS401 SSV</t>
  </si>
  <si>
    <t xml:space="preserve">CLAUDIA </t>
  </si>
  <si>
    <t xml:space="preserve">BOMBA ALEMITE 339359 </t>
  </si>
  <si>
    <t>PROPUSSORA PNEUM</t>
  </si>
  <si>
    <t xml:space="preserve">BOMBA MANUAL </t>
  </si>
  <si>
    <t>CARRETEL 8560.103</t>
  </si>
  <si>
    <t>1424A</t>
  </si>
  <si>
    <t>BOMBA MANUAL 32065</t>
  </si>
  <si>
    <t>177-300-113</t>
  </si>
  <si>
    <t xml:space="preserve">SORAYA </t>
  </si>
  <si>
    <t>WCL-64197042021361</t>
  </si>
  <si>
    <t>RADIAL</t>
  </si>
  <si>
    <t>DISTRIBUIDOR 619-25730-2</t>
  </si>
  <si>
    <t>DISTRIBUIDOR 619-27825-1</t>
  </si>
  <si>
    <t>GRAXEIRA 1/8</t>
  </si>
  <si>
    <t>WCL-35698208551361</t>
  </si>
  <si>
    <t>KIT DE VEDAÇÃO ...</t>
  </si>
  <si>
    <t>58626.39</t>
  </si>
  <si>
    <t xml:space="preserve">EWERTON </t>
  </si>
  <si>
    <t xml:space="preserve">METALURG VALENCA </t>
  </si>
  <si>
    <t>GRAXA 615 HTG 400G</t>
  </si>
  <si>
    <t xml:space="preserve">GRAXA 615 HTG 18 KG </t>
  </si>
  <si>
    <t xml:space="preserve">PAULO </t>
  </si>
  <si>
    <t xml:space="preserve">PROMOSUB </t>
  </si>
  <si>
    <t>LUBRIFICANTE DE SEPARAÇÃO 785</t>
  </si>
  <si>
    <t xml:space="preserve">QUALYGRAF </t>
  </si>
  <si>
    <t>bloco de lubrificação VPBM 4-261</t>
  </si>
  <si>
    <t>ALANE</t>
  </si>
  <si>
    <t>VGAF 13120472</t>
  </si>
  <si>
    <t>FRIMESA</t>
  </si>
  <si>
    <t xml:space="preserve">UN BOMBEAM 644-41126-3... </t>
  </si>
  <si>
    <t xml:space="preserve">RAFAEL </t>
  </si>
  <si>
    <t>CONECTOR  504-3034404S</t>
  </si>
  <si>
    <t xml:space="preserve">conjunto de dilatação </t>
  </si>
  <si>
    <t>BOMBA  84804</t>
  </si>
  <si>
    <t>14914.26</t>
  </si>
  <si>
    <t>TUBO P/BOMBA 83688+84991</t>
  </si>
  <si>
    <t>11867.61</t>
  </si>
  <si>
    <t>INJETOR 83314</t>
  </si>
  <si>
    <t>1452 B</t>
  </si>
  <si>
    <t>BOMBA 83688+84991</t>
  </si>
  <si>
    <t>SARA</t>
  </si>
  <si>
    <t xml:space="preserve">ROLL CENTER </t>
  </si>
  <si>
    <t>LL/619-27825-1 SKF</t>
  </si>
  <si>
    <t>14273.34</t>
  </si>
  <si>
    <t xml:space="preserve">RODRIGO </t>
  </si>
  <si>
    <t>ELEMENTO DE BOMBA VGBP KFG1.U0</t>
  </si>
  <si>
    <t xml:space="preserve">LAIS </t>
  </si>
  <si>
    <t>BOMBA ELET LUBEMOL 7</t>
  </si>
  <si>
    <t xml:space="preserve">40L - Óleo Spin 05 </t>
  </si>
  <si>
    <t xml:space="preserve">ARTHUR </t>
  </si>
  <si>
    <t>LINEAR</t>
  </si>
  <si>
    <t>SSV 8 -619-27825-1</t>
  </si>
  <si>
    <t>26260.01</t>
  </si>
  <si>
    <t>TERMINAL 11650326</t>
  </si>
  <si>
    <t xml:space="preserve">ALESSANDRO </t>
  </si>
  <si>
    <t>Energy</t>
  </si>
  <si>
    <t>VGBV 12381325</t>
  </si>
  <si>
    <t>PAULA</t>
  </si>
  <si>
    <t> WCL-09438472981361</t>
  </si>
  <si>
    <t>UNIAO ACO 12805160</t>
  </si>
  <si>
    <t>WCL-35698103981361</t>
  </si>
  <si>
    <t>DOSADOR SGA-11ZN REF-12387560</t>
  </si>
  <si>
    <t>IF 103 11500710</t>
  </si>
  <si>
    <t>INDICADOR NIVEL 11771545</t>
  </si>
  <si>
    <t>INDICADOR NIVEL 11771548</t>
  </si>
  <si>
    <t>PLACA ST 103 11500700</t>
  </si>
  <si>
    <t>MOTOR ELETRICO 11540100</t>
  </si>
  <si>
    <t>BOBINA 11601068</t>
  </si>
  <si>
    <t>VALVULA DIRECIONAL 11600965</t>
  </si>
  <si>
    <t>ENGATE RAPIDO 11650650</t>
  </si>
  <si>
    <t>PLACA BASE BPSG 02-SS 12384350</t>
  </si>
  <si>
    <t>GRAXA LGFP 2/1</t>
  </si>
  <si>
    <t>UNIDADE BOMBEAMENTO P203</t>
  </si>
  <si>
    <t>WCL-82433023232361</t>
  </si>
  <si>
    <t>TERMINAL 11650340</t>
  </si>
  <si>
    <t>TERMINAL 90º 11650350</t>
  </si>
  <si>
    <t>1446a</t>
  </si>
  <si>
    <t xml:space="preserve">SAYAMA </t>
  </si>
  <si>
    <t>LUVA ROSCADA 11651087</t>
  </si>
  <si>
    <t xml:space="preserve">JONATHAM </t>
  </si>
  <si>
    <t>WCL-07316045232361</t>
  </si>
  <si>
    <t>TERMINAL 11650350</t>
  </si>
  <si>
    <t xml:space="preserve">VGDB 12605200 </t>
  </si>
  <si>
    <t xml:space="preserve">MATHEUS </t>
  </si>
  <si>
    <t>WCL-12250069042361</t>
  </si>
  <si>
    <t xml:space="preserve">MUCHIUT </t>
  </si>
  <si>
    <t xml:space="preserve">CONEXÃO </t>
  </si>
  <si>
    <t xml:space="preserve">FERNANDO </t>
  </si>
  <si>
    <t>VGBP KFG1 U0</t>
  </si>
  <si>
    <t>LAIS</t>
  </si>
  <si>
    <t>SENSOR VIB CMSS420VT-1 SKF</t>
  </si>
  <si>
    <t>DISTRIBUIDOR LUB EXIMP BA62</t>
  </si>
  <si>
    <t xml:space="preserve">ROGERIO </t>
  </si>
  <si>
    <t>WEG</t>
  </si>
  <si>
    <t>PHG PT/C1 007</t>
  </si>
  <si>
    <t xml:space="preserve">MERCADO ELETRON </t>
  </si>
  <si>
    <t>WCL-63862386572361</t>
  </si>
  <si>
    <t>TKBA 40</t>
  </si>
  <si>
    <t xml:space="preserve"> PHL FM10/400</t>
  </si>
  <si>
    <t>ADAPTADOR LINCOLN/13866</t>
  </si>
  <si>
    <t> WCL-42909232482361</t>
  </si>
  <si>
    <t>MANIFOLD LINCOLN/91866-1S</t>
  </si>
  <si>
    <t xml:space="preserve">UC-1066-06  </t>
  </si>
  <si>
    <t>WCL-18593064203361</t>
  </si>
  <si>
    <t xml:space="preserve">SANTA MARIA </t>
  </si>
  <si>
    <t>Retentor Borracha cod.16180 Ref 8054 Bozza</t>
  </si>
  <si>
    <t xml:space="preserve">FLAVIO </t>
  </si>
  <si>
    <t>PAINEL DE MONITORAMENTO 13120204</t>
  </si>
  <si>
    <t>KLAUS</t>
  </si>
  <si>
    <t>PAINEL DE MONITORAMENTO 13120202</t>
  </si>
  <si>
    <t>MULTILUBE 12389934</t>
  </si>
  <si>
    <t xml:space="preserve">IBF </t>
  </si>
  <si>
    <t>LUBRIFICANTE GRAXA 635SXC</t>
  </si>
  <si>
    <t xml:space="preserve">ALVARO </t>
  </si>
  <si>
    <t xml:space="preserve">LUBRIFICADOR DE CABO DE AÇO </t>
  </si>
  <si>
    <t xml:space="preserve">VICENTE </t>
  </si>
  <si>
    <t xml:space="preserve">CRANFOS </t>
  </si>
  <si>
    <t xml:space="preserve">TRANSMISSOR DE VIBRAÇÃO </t>
  </si>
  <si>
    <t>1481A</t>
  </si>
  <si>
    <t>WCL-66581533543361</t>
  </si>
  <si>
    <t xml:space="preserve">DECLINADO </t>
  </si>
  <si>
    <t xml:space="preserve">GRAXA </t>
  </si>
  <si>
    <t>WCL-03873229643361</t>
  </si>
  <si>
    <t>placa de circuito 12501252</t>
  </si>
  <si>
    <t xml:space="preserve">ALAESSANDRO </t>
  </si>
  <si>
    <t>WCL-01911592543361</t>
  </si>
  <si>
    <t>placa de circuito 12501253</t>
  </si>
  <si>
    <t>DISTRIBUIDOR 390-000-5500-BB</t>
  </si>
  <si>
    <t>DOSADOR 12387710</t>
  </si>
  <si>
    <t>DOSADOR 12386810</t>
  </si>
  <si>
    <t>BOZZA 12020-Z</t>
  </si>
  <si>
    <t xml:space="preserve">grupo progamar </t>
  </si>
  <si>
    <t xml:space="preserve">ROLAMENTOS </t>
  </si>
  <si>
    <t xml:space="preserve">GEIZIR </t>
  </si>
  <si>
    <t xml:space="preserve">SARA </t>
  </si>
  <si>
    <t>ZCS</t>
  </si>
  <si>
    <t xml:space="preserve">BOMBA LINCOLN </t>
  </si>
  <si>
    <t xml:space="preserve">CELSO </t>
  </si>
  <si>
    <t>WCL-55643758314361</t>
  </si>
  <si>
    <t>VALVULA LINCOLN 505-36089-1</t>
  </si>
  <si>
    <t>DOSADOR 12387660</t>
  </si>
  <si>
    <t>UNIÃO MACHO RETA 12643400</t>
  </si>
  <si>
    <t>BRF</t>
  </si>
  <si>
    <t>LAGM 1000 E</t>
  </si>
  <si>
    <t xml:space="preserve">DAMASSE ALVES </t>
  </si>
  <si>
    <t>WCL-89745075564361</t>
  </si>
  <si>
    <t>107670.89</t>
  </si>
  <si>
    <t>ANDREA</t>
  </si>
  <si>
    <t xml:space="preserve">UNIÃO MACHO TUBO 35MM X1.14 </t>
  </si>
  <si>
    <t>LUBRIFICADOR MANUAL  062567</t>
  </si>
  <si>
    <t>MILETO</t>
  </si>
  <si>
    <t xml:space="preserve">TERMINAL ROTULAR </t>
  </si>
  <si>
    <t>FELIPE</t>
  </si>
  <si>
    <t>VGAA 12394350/ 12394440</t>
  </si>
  <si>
    <t>WCL-00320848574361</t>
  </si>
  <si>
    <t>BOMBA MANUAL BOZZA 8020</t>
  </si>
  <si>
    <t>GRAXA LGHB 2/18</t>
  </si>
  <si>
    <t>BRUNO</t>
  </si>
  <si>
    <t>WCL-66013872094361</t>
  </si>
  <si>
    <t>KIT DE REPARO P/ BOMBA bozza 8522-G2</t>
  </si>
  <si>
    <t xml:space="preserve">GUSTAVO </t>
  </si>
  <si>
    <t>LUBRIFICADOR AR DRILLMINE DEP-PP-008-0</t>
  </si>
  <si>
    <t>VEMAG</t>
  </si>
  <si>
    <r>
      <rPr>
        <rFont val="Calibri"/>
        <color rgb="FF000000"/>
        <sz val="11.0"/>
      </rPr>
      <t>LL</t>
    </r>
    <r>
      <rPr>
        <rFont val="Calibri"/>
        <color theme="1"/>
        <sz val="11.0"/>
      </rPr>
      <t xml:space="preserve"> </t>
    </r>
    <r>
      <rPr>
        <rFont val="Calibri"/>
        <color rgb="FF000000"/>
        <sz val="11.0"/>
      </rPr>
      <t>/ IGZ</t>
    </r>
    <r>
      <rPr>
        <rFont val="Calibri"/>
        <color theme="1"/>
        <sz val="11.0"/>
      </rPr>
      <t xml:space="preserve"> </t>
    </r>
    <r>
      <rPr>
        <rFont val="Calibri"/>
        <color rgb="FF000000"/>
        <sz val="11.0"/>
      </rPr>
      <t xml:space="preserve">38-30  472 </t>
    </r>
  </si>
  <si>
    <t>4109.63</t>
  </si>
  <si>
    <t xml:space="preserve">DIEGO </t>
  </si>
  <si>
    <t>WCL-41403094335361</t>
  </si>
  <si>
    <t xml:space="preserve">HINDALCO </t>
  </si>
  <si>
    <t>Graxa até NLGI-2</t>
  </si>
  <si>
    <t xml:space="preserve">LUIZ CARLOS </t>
  </si>
  <si>
    <t xml:space="preserve">FILTRO DE GRAXA  LINCOLN GMBH 52 </t>
  </si>
  <si>
    <t>50098.08</t>
  </si>
  <si>
    <t>DISTRIBUIDOR LINCOLN GMBH SSV12</t>
  </si>
  <si>
    <t xml:space="preserve">MINA CENTRAL </t>
  </si>
  <si>
    <t>valvula selenoide 278931</t>
  </si>
  <si>
    <t xml:space="preserve">MARCONE </t>
  </si>
  <si>
    <t xml:space="preserve">DANIELI SERVICE </t>
  </si>
  <si>
    <t xml:space="preserve">DISTRIBUIDOR GRAXA LINCOLN VSG08 </t>
  </si>
  <si>
    <t xml:space="preserve">CLAUDIO </t>
  </si>
  <si>
    <t>WCL-20478695155361</t>
  </si>
  <si>
    <t>DOSADOR  12387560</t>
  </si>
  <si>
    <t xml:space="preserve">DISTRIBUIDOR DE GRAXA ARH-DW36 </t>
  </si>
  <si>
    <t xml:space="preserve">SAMUEL </t>
  </si>
  <si>
    <t>343 433 400</t>
  </si>
  <si>
    <t>WCL-12561299495361</t>
  </si>
  <si>
    <t>343 455 500</t>
  </si>
  <si>
    <t>352 076 000</t>
  </si>
  <si>
    <t>343 424 200</t>
  </si>
  <si>
    <t>345 423 222</t>
  </si>
  <si>
    <t>352 055 000</t>
  </si>
  <si>
    <t>352 066 000</t>
  </si>
  <si>
    <t>342 422 000</t>
  </si>
  <si>
    <t>345 432 534</t>
  </si>
  <si>
    <t>345 422 322</t>
  </si>
  <si>
    <t>345 422 422</t>
  </si>
  <si>
    <t>342 433 000</t>
  </si>
  <si>
    <t>343 455 300</t>
  </si>
  <si>
    <t>352 056 000</t>
  </si>
  <si>
    <t>343 433 500</t>
  </si>
  <si>
    <t>343 432 200</t>
  </si>
  <si>
    <t>343 433 200</t>
  </si>
  <si>
    <t>343 422 300</t>
  </si>
  <si>
    <t>343 442 200</t>
  </si>
  <si>
    <t>343 422 200</t>
  </si>
  <si>
    <t>343 423 300</t>
  </si>
  <si>
    <t>345 422 222</t>
  </si>
  <si>
    <t>345 422 232</t>
  </si>
  <si>
    <t>345 442 323</t>
  </si>
  <si>
    <t>LGLT 2/1</t>
  </si>
  <si>
    <t>WCL-23083130695361</t>
  </si>
  <si>
    <t>DOSADOR VOG. VD1-109 - 2910/1</t>
  </si>
  <si>
    <t>WCL-31357160695361</t>
  </si>
  <si>
    <t>injetor de lubrificação 833364</t>
  </si>
  <si>
    <t>LGEM 2</t>
  </si>
  <si>
    <t>WCL-75641341306361</t>
  </si>
  <si>
    <t>BICO LUBRIF BOZZA 319</t>
  </si>
  <si>
    <t>MEDIDOR DE VIBRAÇÃO CMAS100SL</t>
  </si>
  <si>
    <t>WCL-31775303406361</t>
  </si>
  <si>
    <t xml:space="preserve">GRAXA LGHB 2/180 </t>
  </si>
  <si>
    <t>32342.31</t>
  </si>
  <si>
    <t>CABO P/SENSOR CMSS 932-68LCI-SY-5M</t>
  </si>
  <si>
    <t>29951.18</t>
  </si>
  <si>
    <t>TRANSMISSOR VIBRAÇÃO CMSS525-100-02R</t>
  </si>
  <si>
    <t>GRAXA LGMT-2/18</t>
  </si>
  <si>
    <t>TRANSMISSOR VIBRAÇÃO CMSS 420VT</t>
  </si>
  <si>
    <t>CABO FLEXIVEL CMMS 932-SY-300M</t>
  </si>
  <si>
    <t>48917.9</t>
  </si>
  <si>
    <t>WCL-51898275406361</t>
  </si>
  <si>
    <t>CABO P/SENSOR CMSS 932-68LCI-SY-20M</t>
  </si>
  <si>
    <t>126511.66</t>
  </si>
  <si>
    <t>ALINHADOR TKSA 41</t>
  </si>
  <si>
    <t>68464.30</t>
  </si>
  <si>
    <t>ALINHADOR TKBA 20</t>
  </si>
  <si>
    <t>19420.14</t>
  </si>
  <si>
    <t>INDICADOR 11771548</t>
  </si>
  <si>
    <t>WCL-17644737216361</t>
  </si>
  <si>
    <t xml:space="preserve">ENGATE RAPIDO 11650650 </t>
  </si>
  <si>
    <t>INDICADOR 11771545</t>
  </si>
  <si>
    <t>MOTOR ELETRICO 11540100 (11390142)</t>
  </si>
  <si>
    <t>WCL-73665046216361</t>
  </si>
  <si>
    <t>VALVULA DIRECIONAL 11600924</t>
  </si>
  <si>
    <t>DECLINADO</t>
  </si>
  <si>
    <t>CALCO TMAS 50-100</t>
  </si>
  <si>
    <t xml:space="preserve">KLAUS </t>
  </si>
  <si>
    <t>WCL-02524475506361</t>
  </si>
  <si>
    <t>1529A</t>
  </si>
  <si>
    <t>DOSADOR  12386660</t>
  </si>
  <si>
    <t xml:space="preserve">LUBRIFICADOR conta gotas </t>
  </si>
  <si>
    <t xml:space="preserve">BICO GRAXEIRO </t>
  </si>
  <si>
    <t>LGMT 3/18</t>
  </si>
  <si>
    <t>WCL-18914561746361</t>
  </si>
  <si>
    <t>CMAS100 SL/CMDT 391-K-SL</t>
  </si>
  <si>
    <t>10624.1</t>
  </si>
  <si>
    <t>WCL-17230732846361</t>
  </si>
  <si>
    <t>TKES 10S</t>
  </si>
  <si>
    <t>15788.58</t>
  </si>
  <si>
    <t>TLGB 20</t>
  </si>
  <si>
    <t>3446.19</t>
  </si>
  <si>
    <t xml:space="preserve">Ewerton </t>
  </si>
  <si>
    <t>PROPULSORA PNEUMÁTICA BOZZA 11020</t>
  </si>
  <si>
    <t>REBECA</t>
  </si>
  <si>
    <t>TOCHA CARBOGRAFITE F2 600A P/CORTE</t>
  </si>
  <si>
    <t xml:space="preserve">PSMM </t>
  </si>
  <si>
    <t xml:space="preserve">Presostato de lubrificação 1655305 </t>
  </si>
  <si>
    <t xml:space="preserve">JOVANI </t>
  </si>
  <si>
    <t xml:space="preserve">NEPASS </t>
  </si>
  <si>
    <t>Bomba pneumática 11020-G2</t>
  </si>
  <si>
    <t xml:space="preserve">01-431 </t>
  </si>
  <si>
    <t>Hytec</t>
  </si>
  <si>
    <t>BOMBA LUBRIF P203-8XNBO 1K6-24-2A9</t>
  </si>
  <si>
    <t>LUCAS</t>
  </si>
  <si>
    <t xml:space="preserve">SNC </t>
  </si>
  <si>
    <t xml:space="preserve">UNIDADES DE LUBRIFICAÇÃO CENTRALIZADA </t>
  </si>
  <si>
    <t>MARTHA</t>
  </si>
  <si>
    <t>COMPACTADOR P/ PROPULSORA PNEUM 103932</t>
  </si>
  <si>
    <t>IMETAME</t>
  </si>
  <si>
    <t>BOMBA MANUAL 8522-G3 BOZZA</t>
  </si>
  <si>
    <t>BOMBA LUBRIFIC BOZZA 8620</t>
  </si>
  <si>
    <t>KIT REPARO BOZZA 8522/8520</t>
  </si>
  <si>
    <t>TOTALLUB</t>
  </si>
  <si>
    <t>BOMBA ELETRICA LINCOLN-1880</t>
  </si>
  <si>
    <t>13372.49</t>
  </si>
  <si>
    <t xml:space="preserve">MARCELIA </t>
  </si>
  <si>
    <t>WCL-29878571376361</t>
  </si>
  <si>
    <t>OIL SAFE/062567</t>
  </si>
  <si>
    <t>LUANA</t>
  </si>
  <si>
    <t>WCL-26788411376361</t>
  </si>
  <si>
    <t>HYSTEC</t>
  </si>
  <si>
    <t>VÁLVULAS SKF 161-110-031</t>
  </si>
  <si>
    <t>LUIZ</t>
  </si>
  <si>
    <t>WCL-16874680376361</t>
  </si>
  <si>
    <t>RESERVATORIO LINCOLN 246432</t>
  </si>
  <si>
    <t>DISTRIBUIDOR VSG2-KR 620-40015-1</t>
  </si>
  <si>
    <t xml:space="preserve">VINICIUS </t>
  </si>
  <si>
    <t>WCL-87503345376361</t>
  </si>
  <si>
    <t xml:space="preserve">OLEO LUBRIFICANTE </t>
  </si>
  <si>
    <t>CELIA</t>
  </si>
  <si>
    <t xml:space="preserve">Graxa SKF LGBB 2 </t>
  </si>
  <si>
    <t>HENRIQUE</t>
  </si>
  <si>
    <t>WCL-73861711517361</t>
  </si>
  <si>
    <t xml:space="preserve">Graxa SKF VKG 2K </t>
  </si>
  <si>
    <t xml:space="preserve">HENRIQUE </t>
  </si>
  <si>
    <t>WCL-30040082517361</t>
  </si>
  <si>
    <t>LAOS 62567 </t>
  </si>
  <si>
    <t>VALVULA DIRECIONAL OD.14.40.58-30-00</t>
  </si>
  <si>
    <t>PLACA BASE BPSG 02-SS </t>
  </si>
  <si>
    <t>1552 A</t>
  </si>
  <si>
    <t>ARAFLEX</t>
  </si>
  <si>
    <t xml:space="preserve">LEANDRO </t>
  </si>
  <si>
    <t>OC-961</t>
  </si>
  <si>
    <t>OLEO LUBRIF TAMB 200L METALINA E6201</t>
  </si>
  <si>
    <t>VALE VERDE</t>
  </si>
  <si>
    <t xml:space="preserve">medidor de graxa LAGM 1000E </t>
  </si>
  <si>
    <t>10650.14</t>
  </si>
  <si>
    <t>MSG</t>
  </si>
  <si>
    <t>DESENGRAXANTE DR50325KG</t>
  </si>
  <si>
    <t>PLACA BASE BPSG 02-SS  12384350</t>
  </si>
  <si>
    <t xml:space="preserve">EMBRAER </t>
  </si>
  <si>
    <t xml:space="preserve">CONECTORES DUPLA VEDAÇÃO </t>
  </si>
  <si>
    <t xml:space="preserve">CARLOS </t>
  </si>
  <si>
    <t>ANILHA COMPRESSAO 12643010</t>
  </si>
  <si>
    <t xml:space="preserve">CONECTOR JOELHO GIRATOTIO </t>
  </si>
  <si>
    <t xml:space="preserve">KR-I-1112-2GR-KN </t>
  </si>
  <si>
    <t>KR-MP-1112-GR-G2-KN</t>
  </si>
  <si>
    <t xml:space="preserve">KR-I-1112-1GR-KN </t>
  </si>
  <si>
    <t>CORP AMBIENTAL</t>
  </si>
  <si>
    <t>GRAXA LGMT 2/5</t>
  </si>
  <si>
    <t>GRAXA LGWA 2/18</t>
  </si>
  <si>
    <t>GRAXA LGHP 2/5</t>
  </si>
  <si>
    <t>13860.58</t>
  </si>
  <si>
    <t>ALESSANDRO</t>
  </si>
  <si>
    <t>WCL-85972534687361</t>
  </si>
  <si>
    <t>PRESILHA 11651085</t>
  </si>
  <si>
    <t xml:space="preserve"> MANGUEIRA 11650070</t>
  </si>
  <si>
    <t>10651.34</t>
  </si>
  <si>
    <t>12128.18</t>
  </si>
  <si>
    <t>10992.68</t>
  </si>
  <si>
    <t>LL/PV 1641</t>
  </si>
  <si>
    <t xml:space="preserve">CARLOS EDUARDO </t>
  </si>
  <si>
    <t>GFMS</t>
  </si>
  <si>
    <t>Pressostato 176-112-020</t>
  </si>
  <si>
    <t xml:space="preserve">PLUVERIZADOR INOX </t>
  </si>
  <si>
    <t>THAMIRES</t>
  </si>
  <si>
    <t>BOMBA VGBB MFE 5 K-6/S1+299 FA.SKF 207-254V/360 01.071164 </t>
  </si>
  <si>
    <t>DME</t>
  </si>
  <si>
    <t xml:space="preserve">DISTRIBUIDOR VSG 4-KR / VZE.B-34.B.V </t>
  </si>
  <si>
    <t>WALACE</t>
  </si>
  <si>
    <t>TK-44V</t>
  </si>
  <si>
    <t>RODRIGO</t>
  </si>
  <si>
    <t>BATERIA SYSTEM</t>
  </si>
  <si>
    <t>UNIDADE LAGD 125/U</t>
  </si>
  <si>
    <t>LUBRIFICADOR AUTOMATICO TLSD 250/WA2</t>
  </si>
  <si>
    <t>LUBRIFICADOR TLSD 250/HB2</t>
  </si>
  <si>
    <t>UNIDADE LAGD 60/U</t>
  </si>
  <si>
    <t>TERMINAL 11650324</t>
  </si>
  <si>
    <t>PLACA BASE 12383250</t>
  </si>
  <si>
    <t>JOELHO MACHO 12805800</t>
  </si>
  <si>
    <t>TELEBRAS</t>
  </si>
  <si>
    <t>VKG 2K/1</t>
  </si>
  <si>
    <t xml:space="preserve">SGA 012 -ZN OU 12387510 </t>
  </si>
  <si>
    <t>EDUARDO</t>
  </si>
  <si>
    <t>SGA 11-SS OU 12386660</t>
  </si>
  <si>
    <t>1587A</t>
  </si>
  <si>
    <t>ITAQUI</t>
  </si>
  <si>
    <t>BOMBA DE LUBRIFICAÇÃO 12375020</t>
  </si>
  <si>
    <t>113547.33</t>
  </si>
  <si>
    <t>VALVULA DE ALIVIO 12772795</t>
  </si>
  <si>
    <t>ELEMENTO DE AQUECIMENTO 12502346</t>
  </si>
  <si>
    <t>INTERRUPTOR BAIXO NIVEL 10543525</t>
  </si>
  <si>
    <t>BOTAO DE OPERAÇÃO 12772785</t>
  </si>
  <si>
    <t>CONJUNTO DE CABOS 12502356</t>
  </si>
  <si>
    <t>MOTOR ELETRICO 11390142</t>
  </si>
  <si>
    <t>PLACA DE CIRCUITO 12501490</t>
  </si>
  <si>
    <t>TRASMISSOR PRESSÃO 11408720</t>
  </si>
  <si>
    <t>INDICADOR PRESSÃO 11390082</t>
  </si>
  <si>
    <t>LUVAS 11651080</t>
  </si>
  <si>
    <t>MANGUEIRA</t>
  </si>
  <si>
    <t>PINO GRAXAI RETO</t>
  </si>
  <si>
    <t>LUVAS 11651070</t>
  </si>
  <si>
    <t>TRADE PARTS</t>
  </si>
  <si>
    <t>BOMBA ELETRICA LUBRIFICACAO</t>
  </si>
  <si>
    <t xml:space="preserve">ROBERTO </t>
  </si>
  <si>
    <t>CARRETEL RETRÁTILA RAASM 540-8540.406</t>
  </si>
  <si>
    <t xml:space="preserve">CHRISTIANO </t>
  </si>
  <si>
    <t>CARRETEL RETRÁTIL RAASM 8560.103</t>
  </si>
  <si>
    <t>ABECOM</t>
  </si>
  <si>
    <t>VGAA 24-2800-9001</t>
  </si>
  <si>
    <t xml:space="preserve">MARIA ISABEL </t>
  </si>
  <si>
    <t>WCL-30414618788361</t>
  </si>
  <si>
    <t>GRAXEIRA RETA AÇO ZINC BSP M18</t>
  </si>
  <si>
    <t>FIBRASA</t>
  </si>
  <si>
    <t>INJETOR DE OLEO 501-301-011</t>
  </si>
  <si>
    <t>ALTOMAR</t>
  </si>
  <si>
    <t>SKF EPUMP 1/1-ECO-24-CC</t>
  </si>
  <si>
    <t>GUSTAVO</t>
  </si>
  <si>
    <t>JM718149/JM718110</t>
  </si>
  <si>
    <t>JHM720249/JHM720210</t>
  </si>
  <si>
    <t>UNIDADE MOVEL DE FILTRAGEM PALL</t>
  </si>
  <si>
    <t>GRAXEIRA 2646-20</t>
  </si>
  <si>
    <t>29/02/2022</t>
  </si>
  <si>
    <t>dosador 12387660</t>
  </si>
  <si>
    <t>terminal ponta lisa 11650326</t>
  </si>
  <si>
    <t>RONIE</t>
  </si>
  <si>
    <t>15905.1</t>
  </si>
  <si>
    <t xml:space="preserve">SUCONOR </t>
  </si>
  <si>
    <t>Restritor 242-026.00 2</t>
  </si>
  <si>
    <t>WCL-48538093759361</t>
  </si>
  <si>
    <t>Bomba pneumática 83667</t>
  </si>
  <si>
    <t>WCL-08540904059361</t>
  </si>
  <si>
    <t>1631A</t>
  </si>
  <si>
    <t>DOSADOR SGA-012ZN 12387510</t>
  </si>
  <si>
    <t xml:space="preserve">LUANA </t>
  </si>
  <si>
    <t>DOSADOR SGA-12ZN REF-12387610</t>
  </si>
  <si>
    <t>DOSADOR SGA-21ZN REF-12387660</t>
  </si>
  <si>
    <t>DOSADOR SGA-22ZN REF-12387710</t>
  </si>
  <si>
    <t>Injetor 83748</t>
  </si>
  <si>
    <t>13490.07</t>
  </si>
  <si>
    <t>VITORIA</t>
  </si>
  <si>
    <t>WCL-76099140769361</t>
  </si>
  <si>
    <t>INJETOR 83313</t>
  </si>
  <si>
    <t>REPARO;BODYMAKER;LINCOLN/30110395</t>
  </si>
  <si>
    <t>REPARO;INJ OLEO;SL-42;LINCOLN/30110953</t>
  </si>
  <si>
    <t>kanaflex</t>
  </si>
  <si>
    <t>mangueira LL/H06DHB50000XXXFAX</t>
  </si>
  <si>
    <t>RONILDO</t>
  </si>
  <si>
    <t>WCL-01337558810461</t>
  </si>
  <si>
    <t>1647A</t>
  </si>
  <si>
    <t>MANGUEIRA LL/11650070</t>
  </si>
  <si>
    <t>SENSOR CMSS 75-LU1-00-12-10</t>
  </si>
  <si>
    <t>WCL-72492293010461</t>
  </si>
  <si>
    <t xml:space="preserve">PONTA LISA </t>
  </si>
  <si>
    <t>PINO GRAXEIRO</t>
  </si>
  <si>
    <t>LL/13120368</t>
  </si>
  <si>
    <t xml:space="preserve">QUANT </t>
  </si>
  <si>
    <t>PREVISÃO DE FATURAMENTO</t>
  </si>
  <si>
    <t>GW ELETRICA</t>
  </si>
  <si>
    <t>INJETOR 83336-4</t>
  </si>
  <si>
    <t>WCL-53861034221461</t>
  </si>
  <si>
    <t>INJETOR 83715-7</t>
  </si>
  <si>
    <t>DOSADOR 12388160 </t>
  </si>
  <si>
    <t>WCL-51154635321461</t>
  </si>
  <si>
    <t>GRAXA INTERFLON/FOODGREASEHD2AER500ML</t>
  </si>
  <si>
    <t>BOZZA 11030</t>
  </si>
  <si>
    <t>dosador 12387610</t>
  </si>
  <si>
    <t>dosador 12387710</t>
  </si>
  <si>
    <t>ENGRAXADEIRA M18 2646-20</t>
  </si>
  <si>
    <t xml:space="preserve">oceaneering </t>
  </si>
  <si>
    <t>distribuidor 619-27478-1</t>
  </si>
  <si>
    <t>WCL-35743952391461</t>
  </si>
  <si>
    <t>distribuidor 619-29069-1</t>
  </si>
  <si>
    <t>WCL-78316488902461</t>
  </si>
  <si>
    <t xml:space="preserve">distribuidor 619-28843-1 </t>
  </si>
  <si>
    <t>declinado</t>
  </si>
  <si>
    <t>distribuidor 619-27805-1 </t>
  </si>
  <si>
    <t>CABECOTE SPS P576557 LUBRIN</t>
  </si>
  <si>
    <t>BUCHA AUTOLUBRIFICANTE DES911062</t>
  </si>
  <si>
    <t xml:space="preserve">BOMBA BOZZA 8622-R20-G3 </t>
  </si>
  <si>
    <t>CHAVE FLUX HYDAC/922259</t>
  </si>
  <si>
    <t xml:space="preserve">ANILHA 12643010 </t>
  </si>
  <si>
    <t>CONEXÃO 90º</t>
  </si>
  <si>
    <t>INSERTO</t>
  </si>
  <si>
    <t>UNIÃO MACHO FEMEA</t>
  </si>
  <si>
    <t>VÁLVULA MANGOTE 8 POL</t>
  </si>
  <si>
    <t>VÁLVULA BORB 350,00MM</t>
  </si>
  <si>
    <t>TIMBER</t>
  </si>
  <si>
    <t>LL/234-13163-9</t>
  </si>
  <si>
    <t>WCL-73068938152461</t>
  </si>
  <si>
    <t>BOMBA 12389914</t>
  </si>
  <si>
    <t>WCL-25274332072461</t>
  </si>
  <si>
    <t xml:space="preserve">VGBA 143.012.100-600 </t>
  </si>
  <si>
    <t>WCL-00635411872461</t>
  </si>
  <si>
    <t>DESENGRAXANTE</t>
  </si>
  <si>
    <t>TERMINAL 11651070</t>
  </si>
  <si>
    <t>SAYAMA</t>
  </si>
  <si>
    <t>WCL-03523248303461</t>
  </si>
  <si>
    <t>ELEMENTO LINCOLN  645-77196-1</t>
  </si>
  <si>
    <t>WCL-06305936213461</t>
  </si>
  <si>
    <t>PLACA  236-10655-3S</t>
  </si>
  <si>
    <t>ANEL  219-10390-3</t>
  </si>
  <si>
    <t>PRESSOSTATO 234-10723-8</t>
  </si>
  <si>
    <t>ELEMENTO FILTRO ALTO COLAPSO</t>
  </si>
  <si>
    <t xml:space="preserve">Protecmar </t>
  </si>
  <si>
    <t>Lubrificador de cabos de aço 802175</t>
  </si>
  <si>
    <t>WCL-35201748923461</t>
  </si>
  <si>
    <t>kit de vedação 802209</t>
  </si>
  <si>
    <t xml:space="preserve">SANEQUIP </t>
  </si>
  <si>
    <t xml:space="preserve">BOMBA ENGRENAGEM MFE5-4000+1FV </t>
  </si>
  <si>
    <t>WCL-71475096833461</t>
  </si>
  <si>
    <t>001P000406</t>
  </si>
  <si>
    <t xml:space="preserve">30/06 DIAS </t>
  </si>
  <si>
    <t xml:space="preserve">TRACOMAL </t>
  </si>
  <si>
    <t xml:space="preserve">Bomba Série  143 </t>
  </si>
  <si>
    <t>WCL-77321536183461</t>
  </si>
  <si>
    <t xml:space="preserve">SK ENERGIAS </t>
  </si>
  <si>
    <t>TERMINAL DE RÓTULA C/ ROSCA MACHO SAL 20 TXE-2LS</t>
  </si>
  <si>
    <t>WCL-34722176183461</t>
  </si>
  <si>
    <t>BRAMETAL</t>
  </si>
  <si>
    <t xml:space="preserve">PORCA DE PRECISAO KMT6 </t>
  </si>
  <si>
    <t>WCL-08113825183461</t>
  </si>
  <si>
    <t>PLACA BASE INOX BPSG-01-SS - VGAC 12384300</t>
  </si>
  <si>
    <t>FILTRO GMBH 52</t>
  </si>
  <si>
    <t>WCL-16587207183461</t>
  </si>
  <si>
    <t>DISTRIBUIDOR LUBRIFICANTE DROPSA DMM 675</t>
  </si>
  <si>
    <t>DISTRIBUIDOR LUB DROPSA 3CC 675301 DMF</t>
  </si>
  <si>
    <t>CAIXA PLASTICO MOD 1030</t>
  </si>
  <si>
    <t>METRORIO</t>
  </si>
  <si>
    <t>ROLAMENTO ROLO CILINDRICO NU 213 ECMC</t>
  </si>
  <si>
    <t>WCL-67557200983461</t>
  </si>
  <si>
    <t>ROLAMENTO RIG ESF 6309-RS/C4GJN</t>
  </si>
  <si>
    <t>DOSADOR SGA-011SS REF-12386560</t>
  </si>
  <si>
    <t>DOSADOR ADUBADEIRA EMAC/FX001/14</t>
  </si>
  <si>
    <t>DOSADOR ZINCADO SGA-11-ZN - VGAC 12387560</t>
  </si>
  <si>
    <t>DOSADOR ZINCADO SGA-21-ZN - VGAC 12387660</t>
  </si>
  <si>
    <t>PINO GRAXEIRO RETO</t>
  </si>
  <si>
    <t>BOMBA ENG KRACHT-KF63 RF2-D15</t>
  </si>
  <si>
    <t xml:space="preserve">MAXEL </t>
  </si>
  <si>
    <t>Aquecedor industrial TWIM 15</t>
  </si>
  <si>
    <t>WCL-54971226234461</t>
  </si>
  <si>
    <t xml:space="preserve">VALVULA 12386245 </t>
  </si>
  <si>
    <t>WCL-11654819144461</t>
  </si>
  <si>
    <t>Muchiutt</t>
  </si>
  <si>
    <t>LL/11650070</t>
  </si>
  <si>
    <t>LL/11651080</t>
  </si>
  <si>
    <t>WCL-26523491244461</t>
  </si>
  <si>
    <t>LL/11650326</t>
  </si>
  <si>
    <t>EMBRAER</t>
  </si>
  <si>
    <t>406-158-VS</t>
  </si>
  <si>
    <t>WCL-09048624244461</t>
  </si>
  <si>
    <t>406-004-VS</t>
  </si>
  <si>
    <t>406-004-S8-VS</t>
  </si>
  <si>
    <t>456-004-VS</t>
  </si>
  <si>
    <t>456-004-S8-VS</t>
  </si>
  <si>
    <t>406-054-VS</t>
  </si>
  <si>
    <t>451-006-468-VS</t>
  </si>
  <si>
    <t>451-006-498-VS</t>
  </si>
  <si>
    <t>451-006-518-VS</t>
  </si>
  <si>
    <t>406-423W-VS</t>
  </si>
  <si>
    <t>406-423N-VS</t>
  </si>
  <si>
    <t>LL/171-210-052</t>
  </si>
  <si>
    <t>GRAXA SUPREME HEAVY AFTEN</t>
  </si>
  <si>
    <t>LL/83668</t>
  </si>
  <si>
    <t>WCL-51485198484461</t>
  </si>
  <si>
    <t>LL/83671</t>
  </si>
  <si>
    <t>LL/66716</t>
  </si>
  <si>
    <t>LL/62278</t>
  </si>
  <si>
    <t xml:space="preserve">dispositivo de dosagem LL/83309-1 </t>
  </si>
  <si>
    <t>dispositivo de dosagem LL/83309-4</t>
  </si>
  <si>
    <t>dispositivo de dosagem LL/83336-1</t>
  </si>
  <si>
    <t>DURLI</t>
  </si>
  <si>
    <t>226-14157-3</t>
  </si>
  <si>
    <t>WCL-19132801584461</t>
  </si>
  <si>
    <t>226-11313-9</t>
  </si>
  <si>
    <t>445-519-041-VS</t>
  </si>
  <si>
    <t>PINO GRAXEIRO RETO 3/8</t>
  </si>
  <si>
    <t>IF 103 LL/11500710</t>
  </si>
  <si>
    <t>ELEMENTO DE BOMBA LL/11771002</t>
  </si>
  <si>
    <t>WCL-11165999445461</t>
  </si>
  <si>
    <t>GRAXA TRIBOTEC PASTA WEIS VALVULA 33529C</t>
  </si>
  <si>
    <t>1758 A</t>
  </si>
  <si>
    <t>GARRAFAO PLASTICO LAOS 63618</t>
  </si>
  <si>
    <t>WCL-59520245545461</t>
  </si>
  <si>
    <t>TAMPA PLASTICA LAOS 62567</t>
  </si>
  <si>
    <t>PLASTICA LAOS 62451</t>
  </si>
  <si>
    <t>GARRAFAO PLASTICO LAOS 66251</t>
  </si>
  <si>
    <t>BICO OLEO  LAOS 09774</t>
  </si>
  <si>
    <t xml:space="preserve"> </t>
  </si>
  <si>
    <t>BOMBA BOZZA 8620</t>
  </si>
  <si>
    <t>BOMBA BOZZA 7029-MASTER-G2</t>
  </si>
  <si>
    <t>WCL-62669098165461</t>
  </si>
  <si>
    <t>DISTRIBUIDOR LINCOLN SSV20 619-28865-1</t>
  </si>
  <si>
    <t xml:space="preserve">Dataengenharia </t>
  </si>
  <si>
    <t>BATERIA DE LITHIUM LT/ 1861</t>
  </si>
  <si>
    <t>Butantan</t>
  </si>
  <si>
    <t xml:space="preserve">GRAXA LUBRIF SABÃO NITIO </t>
  </si>
  <si>
    <t>WCL-87364404526461</t>
  </si>
  <si>
    <t xml:space="preserve">GRAXA MULTIUSO DE GRAU ALIMENTICIO </t>
  </si>
  <si>
    <t>mangueira 11650070</t>
  </si>
  <si>
    <t xml:space="preserve">CONFAB </t>
  </si>
  <si>
    <t xml:space="preserve">Lista de itens </t>
  </si>
  <si>
    <t>WCL-70741691085461</t>
  </si>
  <si>
    <t>CONECTOR COMPRESSAO FEMEA</t>
  </si>
  <si>
    <t>Lubrificador de ar comprimido L606</t>
  </si>
  <si>
    <t>PORCA M6 LL ZINCADA LL/12643170</t>
  </si>
  <si>
    <t>VEDACAO TSN 509 G/L</t>
  </si>
  <si>
    <t>Declinado</t>
  </si>
  <si>
    <t>WCL-17077889376461</t>
  </si>
  <si>
    <t xml:space="preserve">FLUITECH </t>
  </si>
  <si>
    <t>Dosador 12386810</t>
  </si>
  <si>
    <t xml:space="preserve">FONTE ALIMENTAÇÃO 11501000 </t>
  </si>
  <si>
    <t>IM COMERCIO</t>
  </si>
  <si>
    <t>AWC 650</t>
  </si>
  <si>
    <t>TRANSMISSOR PRESSÃO 12385331</t>
  </si>
  <si>
    <t>Ele e eu</t>
  </si>
  <si>
    <t>Bomba pneumatica  239952</t>
  </si>
  <si>
    <t>Placa ST 103 11500700</t>
  </si>
  <si>
    <t>REPARO 241680</t>
  </si>
  <si>
    <t>LUBRIFICADOR AUTOMATICO SL00125</t>
  </si>
  <si>
    <t>JOELHO  MACHO 12643610</t>
  </si>
  <si>
    <t>GRAXEIRA RETA 1/16 NPT</t>
  </si>
  <si>
    <t xml:space="preserve">DOSADOR 12386760 </t>
  </si>
  <si>
    <t>1816 A</t>
  </si>
  <si>
    <t>WCL-09519281496461</t>
  </si>
  <si>
    <t>Calibrador de folga 729865 A</t>
  </si>
  <si>
    <t>PLACA BASE 12383300</t>
  </si>
  <si>
    <t xml:space="preserve">Supplytech </t>
  </si>
  <si>
    <t>LUBRIFICADOR AUT SYSTEM LAGD 125/WA2</t>
  </si>
  <si>
    <t>TUBO CST B4122MX00426</t>
  </si>
  <si>
    <t>JH AUTOMAÇÃO</t>
  </si>
  <si>
    <t xml:space="preserve">DISTRIBUIDORES PART-NUMBER MPE-3-MP </t>
  </si>
  <si>
    <t>WCL-38900953107461</t>
  </si>
  <si>
    <t xml:space="preserve">DISTRIBUIDORES PART-NUMBER: MPE-7-MP </t>
  </si>
  <si>
    <t>OLEO LUBRIFICANTE M-DTE PM 220 DRUM- L/MOBIL</t>
  </si>
  <si>
    <t>1818 A</t>
  </si>
  <si>
    <t>WCL-56214722727461</t>
  </si>
  <si>
    <t>LAPF M1/4S</t>
  </si>
  <si>
    <t>OCEANPACT</t>
  </si>
  <si>
    <t xml:space="preserve">TIH 030-YS </t>
  </si>
  <si>
    <t>TIH 030-Y2</t>
  </si>
  <si>
    <t xml:space="preserve">TIH 030-Y3 </t>
  </si>
  <si>
    <t>TIH 030-Y4</t>
  </si>
  <si>
    <t>TIH 030-Y7</t>
  </si>
  <si>
    <t>ELEMENTO BOMBA VGBV 11771032</t>
  </si>
  <si>
    <t>WCL-18407707827461</t>
  </si>
  <si>
    <t>BUJAO SEXT INT SKF/VGKH12644585</t>
  </si>
  <si>
    <t>WCL-81464088827461</t>
  </si>
  <si>
    <t>LEVEL INDICATOR VGBV 11771548</t>
  </si>
  <si>
    <t>CAPA PROTECAO VGAV 12770650</t>
  </si>
  <si>
    <t>ARRUELA 094983</t>
  </si>
  <si>
    <t>BUCHA 12401220</t>
  </si>
  <si>
    <t>FILTRO 250 MIC VGHV 11770415</t>
  </si>
  <si>
    <t>PLACA BASE  12383250</t>
  </si>
  <si>
    <t>DOSADOR SKF/SGA-21-ZN</t>
  </si>
  <si>
    <t>1858/1899</t>
  </si>
  <si>
    <t>CONECTOR VGKA 12805020</t>
  </si>
  <si>
    <t>WCL-71082363437461</t>
  </si>
  <si>
    <t>CONECTOR VGKA 12805410</t>
  </si>
  <si>
    <t>CHAVE DE CICLO 177-300-096</t>
  </si>
  <si>
    <t>1823A</t>
  </si>
  <si>
    <t>PLACA BASE 12383450</t>
  </si>
  <si>
    <t>PLACA  12383500</t>
  </si>
  <si>
    <t>PLACA BASE 12384400</t>
  </si>
  <si>
    <t>PLACA BASE 12384450</t>
  </si>
  <si>
    <t>REFIL LUBRIF. DE CORRENTE RLC200-2/20B-1</t>
  </si>
  <si>
    <t>BOMBA LUBRIFICACAO DROPSA 0400200</t>
  </si>
  <si>
    <t>GRAXEIRA 90° AI ZINC BSP 1/4 Pol</t>
  </si>
  <si>
    <t>REGULADOR AR COMP 12605355</t>
  </si>
  <si>
    <t>WCL-63800969547461</t>
  </si>
  <si>
    <t>INTERFACE IF-103 VGEP 11500710</t>
  </si>
  <si>
    <t>MANGUEIRA LUBRIF PE 100BAR SKF/11650070</t>
  </si>
  <si>
    <t>1843 A</t>
  </si>
  <si>
    <t>MANGUEIRA MAA3005/16+5G6FJX+725933875</t>
  </si>
  <si>
    <t>EURO APS</t>
  </si>
  <si>
    <t>GRAXA LGHB 2/0.4</t>
  </si>
  <si>
    <t>LAPT 1000S</t>
  </si>
  <si>
    <t>WCL-57711817067461</t>
  </si>
  <si>
    <t>JT PARTNERS</t>
  </si>
  <si>
    <t>WCL-58596207067461</t>
  </si>
  <si>
    <t>1844 A</t>
  </si>
  <si>
    <t>VALVULA 161-210-012</t>
  </si>
  <si>
    <t>TAMPA LAOS 09897 VERDE</t>
  </si>
  <si>
    <t>CHESTERTON 615</t>
  </si>
  <si>
    <t>1865 A</t>
  </si>
  <si>
    <t>PLACA BASE BPSG-02-SS VGAC 12384350</t>
  </si>
  <si>
    <t>CAPA PROTECAO SG-1 VGAV 12770550</t>
  </si>
  <si>
    <t>1866 A</t>
  </si>
  <si>
    <t>DOSADOR SGA-22SS REF-12386810</t>
  </si>
  <si>
    <t>BOMBA LUB EVG N0-15/85</t>
  </si>
  <si>
    <t>ROLAMENTO 30213-J2-Q</t>
  </si>
  <si>
    <t>WCL-56438601228461</t>
  </si>
  <si>
    <t>CONEXAO MACH0 RETO 12644020</t>
  </si>
  <si>
    <t>GRAXA ALMAGARD LE 3752</t>
  </si>
  <si>
    <t xml:space="preserve"> BOBINA 11601068</t>
  </si>
  <si>
    <t>WCL-80452151848461</t>
  </si>
  <si>
    <t>VGBB MKU2-12BC10000 428</t>
  </si>
  <si>
    <t>WCL-86366434658461</t>
  </si>
  <si>
    <t>SERVIMAM</t>
  </si>
  <si>
    <t>LANÇADEIRA 02-161-0003</t>
  </si>
  <si>
    <t>LUBRIFICADOR AUTOMÁTICO EASYLUBE CLASSIC</t>
  </si>
  <si>
    <t>1880 A</t>
  </si>
  <si>
    <t xml:space="preserve">PLACA CIRCUITO ST-103 11500700 </t>
  </si>
  <si>
    <t>ROLAMENTO RIG ESF 4204 ATN9</t>
  </si>
  <si>
    <t xml:space="preserve">ROLAMENTO RIG ESF 61805 </t>
  </si>
  <si>
    <t xml:space="preserve">ROLAMENTO ROLO CIL RNU 305 B  TN9 </t>
  </si>
  <si>
    <t>BOMBA MANUAL BOZZA 8522-G3</t>
  </si>
  <si>
    <t>PINO GRAXEIRO BOTÃO 3/4 POL 25,4 MM</t>
  </si>
  <si>
    <t>BOBINA OD.02.11-01.30-OC 24VDC 11600965</t>
  </si>
  <si>
    <t>WCL-52022524819461</t>
  </si>
  <si>
    <t>BASE SKF/VGAC12383350</t>
  </si>
  <si>
    <t>DOSADOR SGA-011-ZN VGAC 12387460</t>
  </si>
  <si>
    <t>BOMBA LUBR GRAX LINCOLN/10L082054000J0</t>
  </si>
  <si>
    <t>MOTOR ELETRICO VGBV 11540100</t>
  </si>
  <si>
    <t>WCL-61151483819461</t>
  </si>
  <si>
    <t>BASE SKF/VGAC 12383350</t>
  </si>
  <si>
    <t xml:space="preserve">Cifarma </t>
  </si>
  <si>
    <t>02 kg - Graxa alimentícia atóxica SKF - modelo LGFP 2/1</t>
  </si>
  <si>
    <t>Oceanpact</t>
  </si>
  <si>
    <t>KIT ROLO VEDACAO 802259</t>
  </si>
  <si>
    <t>WCL-38663764819461</t>
  </si>
  <si>
    <t xml:space="preserve">BOMBA PNEUMATICA  802238 404216J SKF 403404 </t>
  </si>
  <si>
    <t xml:space="preserve">JOELHO MACHO 6MM X M6X1 </t>
  </si>
  <si>
    <r>
      <rPr>
        <rFont val="Calibri"/>
        <color theme="1"/>
        <sz val="11.0"/>
      </rPr>
      <t>JOELHO MACHO GIRATORIO TUBO 6LX1/8 NPT</t>
    </r>
    <r>
      <rPr>
        <rFont val="Calibri"/>
        <color theme="1"/>
        <sz val="11.0"/>
      </rPr>
      <t xml:space="preserve"> </t>
    </r>
  </si>
  <si>
    <t>CONEXÃO DROPSA 0644646</t>
  </si>
  <si>
    <t>WCL-49824769529461</t>
  </si>
  <si>
    <t>VALVULA ESP 12386245 POS2 SKF</t>
  </si>
  <si>
    <t>WCL-72383010449461</t>
  </si>
  <si>
    <t>VALVULA RET PORT 6POL 150LBS</t>
  </si>
  <si>
    <t>VALVULA GAV ALCVAL/VALGAVWCB300LBBW10POl</t>
  </si>
  <si>
    <t>VALVULA BORBOLETA 6" FF NOD. SEDE PTFE</t>
  </si>
  <si>
    <t>VALVULA GAVETA 3" 1500LBS ASTM A217-WC6</t>
  </si>
  <si>
    <t>VALVULA GAV ALCVAL/VALGAVWCB300LBBW10POL</t>
  </si>
  <si>
    <t>VALVULA RETENÇÃO M10X1 - 6MM ZN 504-30344-4</t>
  </si>
  <si>
    <t>PROPULSORA PNEUMÁTICA P/ GRAXA 2375</t>
  </si>
  <si>
    <t>KLABIN</t>
  </si>
  <si>
    <t>BOMBA LUBR GRAXA PISTAO PROPULSORA 82054</t>
  </si>
  <si>
    <t>WCL-15407921449461</t>
  </si>
  <si>
    <t>BOMBA LUBRIFIC DROPSA 999226</t>
  </si>
  <si>
    <t>PROPULSORA 2375 LT/40782</t>
  </si>
  <si>
    <t>WCL-58974803779461</t>
  </si>
  <si>
    <t>REFIL LUBRIF. DE CORRENTE RLC300-3/100-1</t>
  </si>
  <si>
    <t>REFIL LUBRIF. DE CORRENTE RLC450-4/32B-1</t>
  </si>
  <si>
    <t>REFIL LUBRIF. DE CORRENTE RLC300-4/32B-1</t>
  </si>
  <si>
    <t>REFIL LUBRIF. DE CORRENTE RLC300-3/24B-1</t>
  </si>
  <si>
    <t>DOSADOR SGA-21SS REF-12386760</t>
  </si>
  <si>
    <t>REPARO 13120472</t>
  </si>
  <si>
    <t>WCL-17773313979461</t>
  </si>
  <si>
    <t>REPARO 13120480</t>
  </si>
  <si>
    <t>BOMBA ELETRICA TLGB 20</t>
  </si>
  <si>
    <t>WCL-48463365499461</t>
  </si>
  <si>
    <t>SOLARES</t>
  </si>
  <si>
    <t>Placa base 12383250</t>
  </si>
  <si>
    <t>Dosador 12387710</t>
  </si>
  <si>
    <t>Placa bas 12384300</t>
  </si>
  <si>
    <t>Transmissor de pressão 12605240</t>
  </si>
  <si>
    <t>Dosador 12386760</t>
  </si>
  <si>
    <t>conector 12805160</t>
  </si>
  <si>
    <t>GRAXA</t>
  </si>
  <si>
    <t>Capa proteção 12770850</t>
  </si>
  <si>
    <t xml:space="preserve">Via Permanente </t>
  </si>
  <si>
    <t>Bloco dosador 619-26398-2</t>
  </si>
  <si>
    <t>WCL-02687493990561</t>
  </si>
  <si>
    <t>1930 A</t>
  </si>
  <si>
    <t>DOSADOR 619-26648-2</t>
  </si>
  <si>
    <t>0222-000171</t>
  </si>
  <si>
    <t>DISTRIBUIDOR LUB LINCOLN GMBH SSV14 619-28899-1</t>
  </si>
  <si>
    <t>WCL-82605130001561</t>
  </si>
  <si>
    <t>MVAL</t>
  </si>
  <si>
    <t xml:space="preserve">CHESTERTON 601 </t>
  </si>
  <si>
    <t>CHESTERTON 715</t>
  </si>
  <si>
    <t>CONECTOR 12401220</t>
  </si>
  <si>
    <t>METSO</t>
  </si>
  <si>
    <t>Anilha 12643010</t>
  </si>
  <si>
    <t>WCL-48988689701561</t>
  </si>
  <si>
    <t>Porca 12643170</t>
  </si>
  <si>
    <t>Tampão 303-17499-3</t>
  </si>
  <si>
    <t>Parafuso 549-34254-1</t>
  </si>
  <si>
    <t>parafuso 549-34254-2</t>
  </si>
  <si>
    <t>parafuso 549-34254-4</t>
  </si>
  <si>
    <t>parafuso 549-34254-5</t>
  </si>
  <si>
    <t>parafuso 303-16118-1</t>
  </si>
  <si>
    <t>parafuso 303-16119-1</t>
  </si>
  <si>
    <t>parafuso 303-16121-1</t>
  </si>
  <si>
    <t>parafuso 303-16122-1</t>
  </si>
  <si>
    <t>AMILTON</t>
  </si>
  <si>
    <t xml:space="preserve">MOTOR LL/DU56N2075+299 </t>
  </si>
  <si>
    <t>WCL-89698946801561</t>
  </si>
  <si>
    <t>PROPULSORA PNEUM 12020 BOZZA</t>
  </si>
  <si>
    <t>TERMINAL 6MM SIST LUBR LINCOLN/432241621</t>
  </si>
  <si>
    <t>1938 A</t>
  </si>
  <si>
    <t>FILTRO GMBH 528313413</t>
  </si>
  <si>
    <t>WCL-33458204411561</t>
  </si>
  <si>
    <t>TEMPERMAR</t>
  </si>
  <si>
    <t>Analizador de vibração CMXA 80</t>
  </si>
  <si>
    <t xml:space="preserve">OMR componentes </t>
  </si>
  <si>
    <t>Bomba MFE5-2000 299</t>
  </si>
  <si>
    <t>MRT</t>
  </si>
  <si>
    <t>TUBO LAPF M1/8S</t>
  </si>
  <si>
    <t>WCL-49316509711561</t>
  </si>
  <si>
    <t>Distribuidor 619-26473-1</t>
  </si>
  <si>
    <t>MOLA PROTEÇÃO  100R7-1/8'' REF.FZ126-19796-0</t>
  </si>
  <si>
    <t>WCL-80018334251561</t>
  </si>
  <si>
    <t>1720 B</t>
  </si>
  <si>
    <t xml:space="preserve">Petrobras </t>
  </si>
  <si>
    <t>Chesterton 785</t>
  </si>
  <si>
    <t xml:space="preserve">GRAXEIRA RETA 1/16 NPT </t>
  </si>
  <si>
    <t>ROLINAO</t>
  </si>
  <si>
    <t xml:space="preserve">P203 644-40586-5 com controlador </t>
  </si>
  <si>
    <t>WCL-09188686941561</t>
  </si>
  <si>
    <t xml:space="preserve">P203 644-37515-1 sem controlador </t>
  </si>
  <si>
    <t>Placa de circuito 12501252</t>
  </si>
  <si>
    <t>WCL-78384391151561</t>
  </si>
  <si>
    <t>Placa circuito 12501253</t>
  </si>
  <si>
    <t>Pino graxeiro 5/16"</t>
  </si>
  <si>
    <t>Trade part</t>
  </si>
  <si>
    <t>Distribuidor 619-26646-2</t>
  </si>
  <si>
    <t xml:space="preserve">Distribuidor 619-27797-1 </t>
  </si>
  <si>
    <t>WCL-26307239061561</t>
  </si>
  <si>
    <t>PORCA M6 LL/12643170</t>
  </si>
  <si>
    <t xml:space="preserve">PLACA SKF/VGAF13500324 </t>
  </si>
  <si>
    <t>WCL-12046658571561</t>
  </si>
  <si>
    <t>PLACA SKF/13500360</t>
  </si>
  <si>
    <t>SENSOR ROTAMETROS SKF 13500310</t>
  </si>
  <si>
    <t>REPARO SKF/13120487</t>
  </si>
  <si>
    <t>REPARO UNID HID SKF 13120472</t>
  </si>
  <si>
    <t>REPARO UNID HID SKF 13120480</t>
  </si>
  <si>
    <t xml:space="preserve">PLACA SKF/13500323 </t>
  </si>
  <si>
    <t>DISTRIBUIDOR LUB EXIMPORT</t>
  </si>
  <si>
    <t>1965 A</t>
  </si>
  <si>
    <t>FILTRO DE GRAXA COMPLETO LINCOLN GMBH 52</t>
  </si>
  <si>
    <t>CABO ACEL SKF/CMSS93268LCISY5M</t>
  </si>
  <si>
    <t>MANCAL ROLAMENTO SBM 22 BCAS</t>
  </si>
  <si>
    <t>MANCAL ROL SNL518-615 SKF</t>
  </si>
  <si>
    <t>ROTULA RADIAL GE 8 C SKF</t>
  </si>
  <si>
    <t>FILTRO OLEO LUBR MAHLE/PI2015058G11/4NBR</t>
  </si>
  <si>
    <t xml:space="preserve">RAÍZEN </t>
  </si>
  <si>
    <t>Bomba de transferência de óleo rotativa p/ tambor de 200l.</t>
  </si>
  <si>
    <t>BOZZA 11020 G4</t>
  </si>
  <si>
    <t>BOZZA 12020 SM G4</t>
  </si>
  <si>
    <t>BOZZA 13020-MAX-G4</t>
  </si>
  <si>
    <t>BOZZA 12021</t>
  </si>
  <si>
    <t xml:space="preserve">BOZZA 13021 MAX </t>
  </si>
  <si>
    <t>BOZZA 14800 MAX G4</t>
  </si>
  <si>
    <t>Fita 800  1/2 X 540 POL. / 12,7 MM X 13,72</t>
  </si>
  <si>
    <t>Fita 800 , 1/2 X 180 POL. / 12,7 MM X 4,57 M</t>
  </si>
  <si>
    <t>VALVULA DE TROCA 24V EMU3 SKF</t>
  </si>
  <si>
    <t>Bomba lubrificação pneum 83667</t>
  </si>
  <si>
    <t>WCL-67228176212561</t>
  </si>
  <si>
    <t>Multilube 12389934</t>
  </si>
  <si>
    <t>WCL-80940497212561</t>
  </si>
  <si>
    <t>1967 A</t>
  </si>
  <si>
    <t>BOMBA BOZZA 8522 G3</t>
  </si>
  <si>
    <t>1971 A</t>
  </si>
  <si>
    <t>VGBR KFG30-5 486</t>
  </si>
  <si>
    <t>WCL-34875299212561</t>
  </si>
  <si>
    <t>BOMBA BOZZA 12020-SM-G4</t>
  </si>
  <si>
    <t>CWL Eletrica</t>
  </si>
  <si>
    <t>Chesterton 785 250 g</t>
  </si>
  <si>
    <t>Chesterton 785 500 g</t>
  </si>
  <si>
    <t>BOMBA KFG KFG-M-00154 486</t>
  </si>
  <si>
    <t>WCL-31582249642561</t>
  </si>
  <si>
    <t xml:space="preserve">PLACA ELET 12501460 </t>
  </si>
  <si>
    <t>WCL-24550651072561</t>
  </si>
  <si>
    <t>SANEQUIP</t>
  </si>
  <si>
    <t xml:space="preserve">TLGB 20 </t>
  </si>
  <si>
    <t>WCL-52516597082561</t>
  </si>
  <si>
    <t>KIT DE ANÁLISE DE GRAXA SKF TKGT 1</t>
  </si>
  <si>
    <t>KIT DE CONSUMÍVEIS TKGT 1-RK1 TKGT 1</t>
  </si>
  <si>
    <t>Lubrin</t>
  </si>
  <si>
    <t xml:space="preserve">Prensa cabos 8/4 SAF 11790075 </t>
  </si>
  <si>
    <t>WCL-23425892882561</t>
  </si>
  <si>
    <t>MACNOR</t>
  </si>
  <si>
    <t>CHESTERTON 338</t>
  </si>
  <si>
    <t>CHESTERTON 783</t>
  </si>
  <si>
    <t>GW Eletrica</t>
  </si>
  <si>
    <t>INJETOR SL-VXL LL/85780-1</t>
  </si>
  <si>
    <t>INJETOR SL-V LL/85770-1</t>
  </si>
  <si>
    <t>INJETOR SL-11 LL/85497</t>
  </si>
  <si>
    <t>INJETOR SL-1 LL/81770-1</t>
  </si>
  <si>
    <t xml:space="preserve">1996 A </t>
  </si>
  <si>
    <t>INJETOR 81713</t>
  </si>
  <si>
    <t>DISTRIBUIDOR VPBM-4 C/ 8 SAIDAS</t>
  </si>
  <si>
    <t>WCL-76138832243561</t>
  </si>
  <si>
    <t xml:space="preserve">JOELHO 90 </t>
  </si>
  <si>
    <t xml:space="preserve">CONECTOR RETO </t>
  </si>
  <si>
    <t>GANHOU</t>
  </si>
  <si>
    <t>PINO GRAXEIRO 5/16” 90º AÇO</t>
  </si>
  <si>
    <t xml:space="preserve">PRATO SEGUIDOR 1/1-ECO-EPB VGBV 12603804 </t>
  </si>
  <si>
    <t>WCL-19131679093561</t>
  </si>
  <si>
    <t xml:space="preserve">LID SET-EPB 1/1 VGBV 12603700 </t>
  </si>
  <si>
    <t>Pino graxeiro 1/8</t>
  </si>
  <si>
    <t>SALMERON</t>
  </si>
  <si>
    <t>SENSOR DE CICLO MAGNETICO 610.264.200</t>
  </si>
  <si>
    <t>WCL-29576170104561</t>
  </si>
  <si>
    <t>SUN COKE</t>
  </si>
  <si>
    <t>CHESTERTON 630 18 KG</t>
  </si>
  <si>
    <t>CHESTERTON 630 400 g</t>
  </si>
  <si>
    <t>Distribuidor 619-26648-2</t>
  </si>
  <si>
    <t>0622-000034</t>
  </si>
  <si>
    <t>Unidade de lubrificação TLMP 1018/230V</t>
  </si>
  <si>
    <t>BOMBA VGBP KFG-M-00154 486</t>
  </si>
  <si>
    <t>WCL-06217567524561</t>
  </si>
  <si>
    <t>Chesterton 601</t>
  </si>
  <si>
    <t>061853/1</t>
  </si>
  <si>
    <t>CHESTERTON 752</t>
  </si>
  <si>
    <t>MIP</t>
  </si>
  <si>
    <t>LAOS 062567</t>
  </si>
  <si>
    <t>LUBRIFICADOR AUTOMÁTICO SKF LAGD60/WA2</t>
  </si>
  <si>
    <t>WCL-16743127774561</t>
  </si>
  <si>
    <t>Dosador 12387560</t>
  </si>
  <si>
    <t>Dosador 12387660</t>
  </si>
  <si>
    <t>2058 A</t>
  </si>
  <si>
    <t xml:space="preserve">Placa multilube 11500700 </t>
  </si>
  <si>
    <t xml:space="preserve">Bomba Lincoln P203 644-41126-3 </t>
  </si>
  <si>
    <t>WCL-53838134215561</t>
  </si>
  <si>
    <t>2062 A</t>
  </si>
  <si>
    <t xml:space="preserve">Bomba P205  655-40883-3 </t>
  </si>
  <si>
    <t>MOTOR REDUTOR 245-13915-1</t>
  </si>
  <si>
    <t>WCL-30339731325561</t>
  </si>
  <si>
    <t>SIMEC</t>
  </si>
  <si>
    <t xml:space="preserve">MEDIDOR LAGM 1000 E </t>
  </si>
  <si>
    <t>WCL-85220698215561</t>
  </si>
  <si>
    <t>GRAXA 170 kg</t>
  </si>
  <si>
    <t>WCL-07971689125561</t>
  </si>
  <si>
    <t>GRAXEIRA 90° AI ZINC BSP 1/4</t>
  </si>
  <si>
    <t>Supplytech</t>
  </si>
  <si>
    <t>WCL-49697867225561</t>
  </si>
  <si>
    <t xml:space="preserve">CMPC </t>
  </si>
  <si>
    <t>SILICA  GEL LARANJA 33 KG</t>
  </si>
  <si>
    <t>GRAXA COMPL AL/ADIT FUCHS/780250190KG</t>
  </si>
  <si>
    <t>GRAXA SKF/LGMT2 18KG</t>
  </si>
  <si>
    <t>WCL-29248619925561</t>
  </si>
  <si>
    <t>DOSADOR SGA-22ZN REF-12387710 SAFEMATIC</t>
  </si>
  <si>
    <t>MOTOR CA TRI 660VCA 1.5KW 4P</t>
  </si>
  <si>
    <t>GRAXA SILIC -30A200GRC ITW/GLC3461KG 6 kg</t>
  </si>
  <si>
    <t>GRAXA LUBRIF NLGI 2 MISTA 50 Kg</t>
  </si>
  <si>
    <t>DESINCRUSTADOR PNEUM AGULH PIST 97556LA</t>
  </si>
  <si>
    <t>OLEO LUB ATLAS COPCO/2901170100</t>
  </si>
  <si>
    <t xml:space="preserve">Kit de análise de graxa TKGT 1 </t>
  </si>
  <si>
    <t>JT Partners</t>
  </si>
  <si>
    <t>Bloco de distribuição de graxa 619-25730-2</t>
  </si>
  <si>
    <t>Válvula de alívio 624-28897-1</t>
  </si>
  <si>
    <t>Bloco de distribuição de graxa 619-26841-1</t>
  </si>
  <si>
    <t>WCL-85968278375561</t>
  </si>
  <si>
    <t>Conector Macho Reto 16010493</t>
  </si>
  <si>
    <t>Pino graxeiro (Reto) 16170043</t>
  </si>
  <si>
    <t>SIMOLDES</t>
  </si>
  <si>
    <t>Central de lubrificação ar óleo eixo arvore 7 saídas</t>
  </si>
  <si>
    <t>MESA P/DESEMP GRANIT MITUTOYO/156838</t>
  </si>
  <si>
    <t>FITA ISOLANTE SEM ADESIVO</t>
  </si>
  <si>
    <t>MANOMETRO 0-4 1/8POL BSP 936912 PARKER</t>
  </si>
  <si>
    <t>GRAXA RODAPLEX PM- 1 170 Kg</t>
  </si>
  <si>
    <t>BOMBA BOZZA 7021</t>
  </si>
  <si>
    <t>BOMBA LUBRIFIC RAASM 68012</t>
  </si>
  <si>
    <t>Ademar bloco</t>
  </si>
  <si>
    <t>Propulsora Bozza 12020 SM G4</t>
  </si>
  <si>
    <t>KFGS3MX1XXXXEB 486</t>
  </si>
  <si>
    <t>VÁLVULA 161-210-036</t>
  </si>
  <si>
    <t>Elemento KGF1.U0</t>
  </si>
  <si>
    <t>BUJÃO DROPSA 91011</t>
  </si>
  <si>
    <t>BUJÃO DROPSA 926002</t>
  </si>
  <si>
    <t>PRESILHA DROPSA 111203</t>
  </si>
  <si>
    <t>PSG Pintura</t>
  </si>
  <si>
    <t>Oleo LHHT 250/5</t>
  </si>
  <si>
    <t>WCL-83062418706561</t>
  </si>
  <si>
    <t>Usiminas</t>
  </si>
  <si>
    <t>Elevador pneumatico 1736</t>
  </si>
  <si>
    <t>ARQPLAST</t>
  </si>
  <si>
    <t>Bomba LL/ACP15-1WA11X2-F10</t>
  </si>
  <si>
    <t>WCL-02665191436561</t>
  </si>
  <si>
    <t xml:space="preserve">UNIAO MACHO RETA 6MM LL VGKA 12643400 </t>
  </si>
  <si>
    <t>WCL-47648368536561</t>
  </si>
  <si>
    <t>GRAXA SAB LI SCHAEFFLER/GRAXAZULFAG20KG</t>
  </si>
  <si>
    <t>PROPULSORA PNEUMÁTICA RAASM 1150F-40194</t>
  </si>
  <si>
    <t>WCL-88233708256561</t>
  </si>
  <si>
    <t>DESENGRAXANTE PO PRUDEMPLAST/DR50325KG</t>
  </si>
  <si>
    <t>SENAI</t>
  </si>
  <si>
    <t>OLEO HIDRAULICO ISO VG 46 - GALÃO DE 20 LITROS</t>
  </si>
  <si>
    <t>MOTOR CA TRI 440VCA 0.25KW 4P</t>
  </si>
  <si>
    <t>TERMOMETRO DIGITAL INFRAVERM FLUKE 568</t>
  </si>
  <si>
    <t>ACOPLAMENTO GM/7327029</t>
  </si>
  <si>
    <t>OLEO HIDR EMB 200L TEXACO/02131200L</t>
  </si>
  <si>
    <t>ENGEFLOW</t>
  </si>
  <si>
    <t>BOMBA 750-172-1794</t>
  </si>
  <si>
    <t>WCL-51246204407561</t>
  </si>
  <si>
    <t xml:space="preserve">Wortec bombas </t>
  </si>
  <si>
    <t xml:space="preserve">bomba 143-012-161 665   </t>
  </si>
  <si>
    <t>WCL-52430415317561</t>
  </si>
  <si>
    <t>GRAXA ATLAS 2901170100</t>
  </si>
  <si>
    <t>Bomba de lubrificação 83668</t>
  </si>
  <si>
    <t xml:space="preserve">Cacique </t>
  </si>
  <si>
    <t xml:space="preserve">engraxadeira Chesterton </t>
  </si>
  <si>
    <t>WCL-15412701827561</t>
  </si>
  <si>
    <t>DOSADOR 12384350</t>
  </si>
  <si>
    <t>PLACA BASE 12384500</t>
  </si>
  <si>
    <t>PLACA BASE 12384350</t>
  </si>
  <si>
    <t>PLACA BASE 12384300</t>
  </si>
  <si>
    <t>PORCA 12641160</t>
  </si>
  <si>
    <t xml:space="preserve">TERMINAL 12643610 </t>
  </si>
  <si>
    <t>TERMINAL 12643170</t>
  </si>
  <si>
    <t>Chesterton 630 18 kg</t>
  </si>
  <si>
    <t>ETIQUETA TAMPA PROTETOR NE-ETG-001P</t>
  </si>
  <si>
    <t>ETIQUETA TAMPA PROTETOR NE-ETG-001VM</t>
  </si>
  <si>
    <t>ETIQUETA TAMPA PROTETOR NE-ETG-001AM</t>
  </si>
  <si>
    <t>ETIQUETA TAMPA PROTETOR NE-ETG-001AZ</t>
  </si>
  <si>
    <t>ETIQUETA TAMPA PROTETOR NE-ETG-001VR </t>
  </si>
  <si>
    <t>Brametal</t>
  </si>
  <si>
    <t xml:space="preserve">LAGD 125 - GRAXA LGHP 2 </t>
  </si>
  <si>
    <t>WCL-85699217367561</t>
  </si>
  <si>
    <t xml:space="preserve">VGA CDC 162 SKF </t>
  </si>
  <si>
    <t>RESPIRO DE AR C/ FILTRO 3/8" NPT</t>
  </si>
  <si>
    <t>Bomba de graxa com acionamento tipo pedal</t>
  </si>
  <si>
    <t xml:space="preserve">BOMBA LUBRIFICACAO A OLEO CORRENTES LINHA 2 E 3 </t>
  </si>
  <si>
    <t>Trade part's</t>
  </si>
  <si>
    <t>Tocha PTA 9 K17811/3</t>
  </si>
  <si>
    <t>CONECTOR 12644020</t>
  </si>
  <si>
    <t>RESPIRO DESSEC ABS EXIMPORT/679108126</t>
  </si>
  <si>
    <t xml:space="preserve">Eletrica comando </t>
  </si>
  <si>
    <t>Lubrificador monoponto  LUB5 250ML</t>
  </si>
  <si>
    <t xml:space="preserve">BHM </t>
  </si>
  <si>
    <t>Coca-cola</t>
  </si>
  <si>
    <r>
      <rPr>
        <rFont val="Calibri"/>
        <color rgb="FF000000"/>
        <sz val="11.0"/>
      </rPr>
      <t xml:space="preserve">SERIE </t>
    </r>
    <r>
      <rPr>
        <rFont val="Calibri"/>
        <color theme="1"/>
        <sz val="11.0"/>
      </rPr>
      <t>951-171-003</t>
    </r>
  </si>
  <si>
    <t>2135 A</t>
  </si>
  <si>
    <t>Chesterton 630</t>
  </si>
  <si>
    <t>Valvula 161-210-036</t>
  </si>
  <si>
    <t>Acoplador 996-000-706 (169-000-174)</t>
  </si>
  <si>
    <t>Elemento de bomba KFG1 U2</t>
  </si>
  <si>
    <t>Bomba KFGS1MX1XXXXEB 924</t>
  </si>
  <si>
    <t>Serra Montagem</t>
  </si>
  <si>
    <t>Chesterton 725</t>
  </si>
  <si>
    <t xml:space="preserve">SA Vidros </t>
  </si>
  <si>
    <t>Chesterton 715 300 g</t>
  </si>
  <si>
    <t>TERMNAL 11650326</t>
  </si>
  <si>
    <t>Bomba 83667</t>
  </si>
  <si>
    <t>WCL-02045602298561</t>
  </si>
  <si>
    <t xml:space="preserve">Bomba de engrenagem </t>
  </si>
  <si>
    <t>Embraer</t>
  </si>
  <si>
    <t>Bomba LL/PVR-003-SP2</t>
  </si>
  <si>
    <t>WCL-48205498298561</t>
  </si>
  <si>
    <t>Bomba manual LAGF 18</t>
  </si>
  <si>
    <t>Dosador 12387610</t>
  </si>
  <si>
    <t>2155 A</t>
  </si>
  <si>
    <t>Optaplast</t>
  </si>
  <si>
    <t>Terminal 432-24162-1</t>
  </si>
  <si>
    <t>Luva 432-23031-1</t>
  </si>
  <si>
    <t>WCL-17553726909561</t>
  </si>
  <si>
    <t>JC Maritima</t>
  </si>
  <si>
    <t>GRAXA LGAF 3E/0.5</t>
  </si>
  <si>
    <t>Viana OFF</t>
  </si>
  <si>
    <t>CHESTERTON 652 475 ml</t>
  </si>
  <si>
    <t>DOSADOR 32 12387210</t>
  </si>
  <si>
    <t>WCL-74238497649561</t>
  </si>
  <si>
    <t xml:space="preserve">Maxcess </t>
  </si>
  <si>
    <t>BOMBA MKU2-KW3-20119+428</t>
  </si>
  <si>
    <t>WCL-56037652459561</t>
  </si>
  <si>
    <t>Promosub</t>
  </si>
  <si>
    <t xml:space="preserve">CHESTERTON 785 500g </t>
  </si>
  <si>
    <t>PINO GRAX AI RETO 3/8 POL</t>
  </si>
  <si>
    <t>SHALOM</t>
  </si>
  <si>
    <t>Graxa LGHP 2</t>
  </si>
  <si>
    <t>WCL-49242446269561</t>
  </si>
  <si>
    <t>Graxa LGWA 2</t>
  </si>
  <si>
    <t>VÁLVULA ALÍVIO GRAXA 1/8"</t>
  </si>
  <si>
    <t>WCL-19507112279561</t>
  </si>
  <si>
    <t xml:space="preserve">LL/24-2708-8160  </t>
  </si>
  <si>
    <t>WCL-85322140799561</t>
  </si>
  <si>
    <t>SAIPEM</t>
  </si>
  <si>
    <t>LAHD 500</t>
  </si>
  <si>
    <t>WCL-49088602799561</t>
  </si>
  <si>
    <t>LAHD 1000</t>
  </si>
  <si>
    <t>Pino graxeiro 1/4" NPT AÇO INOX 304</t>
  </si>
  <si>
    <t>TUBO VGMA TU-2.2X3.2-RLN</t>
  </si>
  <si>
    <t>WCL-85468962310661</t>
  </si>
  <si>
    <t>TUBO VGMA TU-5.5X8-PON</t>
  </si>
  <si>
    <t>Distribuidor SSV6 619-26473-1</t>
  </si>
  <si>
    <t>Bomba 83668</t>
  </si>
  <si>
    <t>Bomba lubrificação Servilub ECB-DC-42-2Z/440V</t>
  </si>
  <si>
    <t>ROTEC</t>
  </si>
  <si>
    <t>Tubo TLGB 20-4</t>
  </si>
  <si>
    <t>WCL-34520089230661</t>
  </si>
  <si>
    <t>Tubo TLGB 20-3</t>
  </si>
  <si>
    <t>Hyundai</t>
  </si>
  <si>
    <t>Distribuidor 342-400-22000-ZZ</t>
  </si>
  <si>
    <t>WCL-64864886950661</t>
  </si>
  <si>
    <t>Distribuidor 343-400-22200-ZZ</t>
  </si>
  <si>
    <t>Pino graxeiro reto 1/8"</t>
  </si>
  <si>
    <t>Multilube 12389953</t>
  </si>
  <si>
    <t>WCL-35785080660661</t>
  </si>
  <si>
    <t>CAPY</t>
  </si>
  <si>
    <t>Aquecedor por indução TIH 030M 240 V</t>
  </si>
  <si>
    <t xml:space="preserve">860 Chesterton </t>
  </si>
  <si>
    <r>
      <rPr>
        <rFont val="Calibri"/>
        <color rgb="FF000000"/>
        <sz val="11.0"/>
      </rPr>
      <t>SKF/MLP10-2-230-IF-103-PSE</t>
    </r>
    <r>
      <rPr>
        <rFont val="Calibri"/>
        <color theme="1"/>
        <sz val="11.0"/>
      </rPr>
      <t xml:space="preserve"> </t>
    </r>
    <r>
      <rPr>
        <rFont val="Calibri"/>
        <color rgb="FF000000"/>
        <sz val="11.0"/>
      </rPr>
      <t xml:space="preserve"> 12389953</t>
    </r>
  </si>
  <si>
    <t>Dosador 12386660</t>
  </si>
  <si>
    <t>Dosador 12386560</t>
  </si>
  <si>
    <t>Placa base 12384350</t>
  </si>
  <si>
    <t>2215 A</t>
  </si>
  <si>
    <t>Filtro 528-31341-3</t>
  </si>
  <si>
    <t xml:space="preserve">Pino graxeiro </t>
  </si>
  <si>
    <t xml:space="preserve">Luva 11651070 </t>
  </si>
  <si>
    <t>Capa de proteção 12770650</t>
  </si>
  <si>
    <t>22238 CKC3W33</t>
  </si>
  <si>
    <t>WCL-56908599711661</t>
  </si>
  <si>
    <t xml:space="preserve">Dimensional </t>
  </si>
  <si>
    <t>Cabo analisador CMAC 5209</t>
  </si>
  <si>
    <t>WCL-68405650811661</t>
  </si>
  <si>
    <t>Cabo coletor cmac 5095</t>
  </si>
  <si>
    <t>Fonte alimentação CMAC 5090</t>
  </si>
  <si>
    <t>Acelerometro CMPT 2310</t>
  </si>
  <si>
    <t>Acelerometro CMSS 22001</t>
  </si>
  <si>
    <t>Graxa LGEP 2/18</t>
  </si>
  <si>
    <t>Placa base 12383400</t>
  </si>
  <si>
    <t>Distribuidor 620-40063-3</t>
  </si>
  <si>
    <t>Primo Tedesco</t>
  </si>
  <si>
    <t>Monitor de vazão 171-210-055</t>
  </si>
  <si>
    <t>WCL-10040899441661</t>
  </si>
  <si>
    <t>TESS</t>
  </si>
  <si>
    <t xml:space="preserve">MOD MV204-20 </t>
  </si>
  <si>
    <t>WCL-48788273151661</t>
  </si>
  <si>
    <t>Elemento de bomb KFG1.U0</t>
  </si>
  <si>
    <t>Capa de proteção 12770850</t>
  </si>
  <si>
    <t>WCL-10202043871661</t>
  </si>
  <si>
    <t>2239 A</t>
  </si>
  <si>
    <t>Bomba 94024</t>
  </si>
  <si>
    <t>Bomba 12389918</t>
  </si>
  <si>
    <t>Petrohouse</t>
  </si>
  <si>
    <t>Elemento de bomba KFG1.U3</t>
  </si>
  <si>
    <t>WCL-50248440791661</t>
  </si>
  <si>
    <t>União macho reta 6 mm 12643400</t>
  </si>
  <si>
    <t>Fonte 11501000</t>
  </si>
  <si>
    <t>Bomba 94824</t>
  </si>
  <si>
    <t>Dosador 12387460</t>
  </si>
  <si>
    <t>DIVISOR 619-77345-1</t>
  </si>
  <si>
    <t>WCL-41663990142661</t>
  </si>
  <si>
    <t>DIVISOR 619-77346-1</t>
  </si>
  <si>
    <t>Chesterton 615</t>
  </si>
  <si>
    <t>Terminal Milano TLR6 12x6</t>
  </si>
  <si>
    <t>Fca Fiat</t>
  </si>
  <si>
    <t>BOMBA LUBRIFICACAO KFG1-5W2A-V71+924 SKF</t>
  </si>
  <si>
    <t>WCL-66109629472661</t>
  </si>
  <si>
    <t>Gatti</t>
  </si>
  <si>
    <t>Chesterton 615 18 kg</t>
  </si>
  <si>
    <t>Placa base 12384450</t>
  </si>
  <si>
    <t>Placa base 12383500</t>
  </si>
  <si>
    <t>Placa base 1238440</t>
  </si>
  <si>
    <t>CABO ACEL SKF/CMSS93268LCISY5M (CMSS 942-LCI-SY-05M)</t>
  </si>
  <si>
    <t>HERO</t>
  </si>
  <si>
    <t xml:space="preserve">Controlador 85530 </t>
  </si>
  <si>
    <t>WCL-31112018713661</t>
  </si>
  <si>
    <t>Mangueira LL/11650070</t>
  </si>
  <si>
    <t>VGAF/13120344</t>
  </si>
  <si>
    <t>WCL-89496560533661</t>
  </si>
  <si>
    <t>Pino graxeiro reto 1/4" NPT</t>
  </si>
  <si>
    <t>Maxilube 12371101</t>
  </si>
  <si>
    <t>Bomba 655-40883-3</t>
  </si>
  <si>
    <t>WCL-77338359963661</t>
  </si>
  <si>
    <t>Redutor 246-14174-3</t>
  </si>
  <si>
    <t>Ideal RV</t>
  </si>
  <si>
    <t>LL/ACP15-1WA11X2-F10</t>
  </si>
  <si>
    <t>WCL-69389127073661</t>
  </si>
  <si>
    <t>Distribuidor 342-400-33000-ZZ</t>
  </si>
  <si>
    <t>Distribuidor 343-400-33300-ZZ</t>
  </si>
  <si>
    <t>Graxa LGHB 2/18</t>
  </si>
  <si>
    <t>Bomba BTE220V</t>
  </si>
  <si>
    <t>Distribuidor 345-400-22222-ZZ</t>
  </si>
  <si>
    <t>WCL-37020736124661</t>
  </si>
  <si>
    <t xml:space="preserve">Armazen </t>
  </si>
  <si>
    <t>SAMARCO</t>
  </si>
  <si>
    <t>Elemento de bomba KGF1. U1</t>
  </si>
  <si>
    <t>KFGX3MX1XXXX99 924</t>
  </si>
  <si>
    <t xml:space="preserve">PINO GRAXEIRO RETO 3/8 </t>
  </si>
  <si>
    <t>WCL-08499316284661</t>
  </si>
  <si>
    <t>LAOS 64936</t>
  </si>
  <si>
    <t>LAOS 09736</t>
  </si>
  <si>
    <t>LAOS 09767</t>
  </si>
  <si>
    <t>CHESTERTON 601</t>
  </si>
  <si>
    <t>SYLVAMO</t>
  </si>
  <si>
    <t>FL15-KIT-FLOWTUBE-A LL/13120472</t>
  </si>
  <si>
    <t>FL15-KIT-VALVE-A VGAF 13120480</t>
  </si>
  <si>
    <t>SENSOR-UNIT FLOWLINE SKF LL/13500310</t>
  </si>
  <si>
    <t>FL-MOTHERBOARD SENSORES FLOWLINE FL15-08 LL/13500323</t>
  </si>
  <si>
    <t>FL-MOTHERBOARD SENSORES LL/13500324</t>
  </si>
  <si>
    <t>FL-MOTHERBOARD FLOWLINE FL LL/13500360</t>
  </si>
  <si>
    <t>FL-MOTHERBOARD SENSORES FLOWLINE LL/13500322</t>
  </si>
  <si>
    <t>PLACA ELETRONICA COMUNICAÇÃO LL/13500375</t>
  </si>
  <si>
    <t xml:space="preserve">Terminal ponta lisa 11650324 </t>
  </si>
  <si>
    <t>Pedral</t>
  </si>
  <si>
    <t>Chesterton 752</t>
  </si>
  <si>
    <t>SOUTH</t>
  </si>
  <si>
    <t>Elevador pneumatico RAASM</t>
  </si>
  <si>
    <t>Valvula Lincoln 84980</t>
  </si>
  <si>
    <t>Elemento de bomba 11771002</t>
  </si>
  <si>
    <t>NOV Flexibles</t>
  </si>
  <si>
    <t>Distribuidor VPMYFXXEX</t>
  </si>
  <si>
    <t xml:space="preserve">Conector 179-990-601 </t>
  </si>
  <si>
    <t>WCL-71019499155661</t>
  </si>
  <si>
    <t xml:space="preserve">Conector 410-403 </t>
  </si>
  <si>
    <t xml:space="preserve">Conector 441-008-511 </t>
  </si>
  <si>
    <t xml:space="preserve">Conector 406-423 </t>
  </si>
  <si>
    <t>P221024823</t>
  </si>
  <si>
    <t>PULVERIZADOR MANUAL FORTGPRO FG2300</t>
  </si>
  <si>
    <t>Bomba KFGS3FX1XXXXEB 924</t>
  </si>
  <si>
    <t>Iochpe</t>
  </si>
  <si>
    <t xml:space="preserve">Chave de nivel WS32-2+C51 </t>
  </si>
  <si>
    <t>Tubo flexivel TKES TF-5</t>
  </si>
  <si>
    <t>Bomba bozza 13020 MAX-G4</t>
  </si>
  <si>
    <t>BOMBA BTE 220V</t>
  </si>
  <si>
    <t xml:space="preserve">Muchiut </t>
  </si>
  <si>
    <t>Anilha LL/12641030</t>
  </si>
  <si>
    <t>Sopetra</t>
  </si>
  <si>
    <t>Luva roscada 11651080</t>
  </si>
  <si>
    <t>Sheffields</t>
  </si>
  <si>
    <t>Reservatorio VGJC-SY-PZ1-3LJP</t>
  </si>
  <si>
    <t>WCL-12770863816661</t>
  </si>
  <si>
    <t>Reservatorio P203 544-31998-1</t>
  </si>
  <si>
    <t>Luva LL/11651085</t>
  </si>
  <si>
    <t>Terminal LL/11650327</t>
  </si>
  <si>
    <t>Bomba LL/11395252</t>
  </si>
  <si>
    <t>WCL-51040626926661</t>
  </si>
  <si>
    <t>Bomba LL/12381700</t>
  </si>
  <si>
    <t>Pino graxeiro M10R</t>
  </si>
  <si>
    <t>Mangueira 111-35114-1</t>
  </si>
  <si>
    <t>Valvula 504-30344-4</t>
  </si>
  <si>
    <t>Terminal 90º 532-30739-1</t>
  </si>
  <si>
    <t>Terminal reto 432-24162-1</t>
  </si>
  <si>
    <t>664-85242-5</t>
  </si>
  <si>
    <t>WCL-52612701076661</t>
  </si>
  <si>
    <t xml:space="preserve">Michelin </t>
  </si>
  <si>
    <t>Aquecedor por indução TIH L33/MV</t>
  </si>
  <si>
    <t>Ayrosa</t>
  </si>
  <si>
    <t xml:space="preserve">MANCAL FCM SD 3164 TS LP </t>
  </si>
  <si>
    <t>Lubrificador TLMR 101</t>
  </si>
  <si>
    <t xml:space="preserve">Lubrificador tlmr 201/38 wa2 </t>
  </si>
  <si>
    <t>2328 A</t>
  </si>
  <si>
    <t>Unidade de bombeamento LL/644-37425-1</t>
  </si>
  <si>
    <t>Elemento de bomba K6 600-26876-2</t>
  </si>
  <si>
    <t>Distribuidor 619-25731-2</t>
  </si>
  <si>
    <t>Valvula retenção 504-30344-4</t>
  </si>
  <si>
    <t>mangueira 111-35114-1</t>
  </si>
  <si>
    <t>Bujão 303-17499-3</t>
  </si>
  <si>
    <t xml:space="preserve">Joelho 90º </t>
  </si>
  <si>
    <t>Conector 12805160</t>
  </si>
  <si>
    <t>Karter</t>
  </si>
  <si>
    <t>2347 A</t>
  </si>
  <si>
    <t xml:space="preserve">Mina central </t>
  </si>
  <si>
    <t>Valvula 84980</t>
  </si>
  <si>
    <t>DISTRIBUIDOR LINHA DUPLA SKF DCM-258</t>
  </si>
  <si>
    <t>DISTRIBUIDOR LINHA DUPLA SKF DCM-226</t>
  </si>
  <si>
    <t>PLACA BASE</t>
  </si>
  <si>
    <t>Propulsora 12020 SM G4</t>
  </si>
  <si>
    <t>2355 A</t>
  </si>
  <si>
    <t>Kit reparo bomba 11020 r20 G4 BOZZA</t>
  </si>
  <si>
    <t>Bomba 84804+84991</t>
  </si>
  <si>
    <t>Terminal 11650327</t>
  </si>
  <si>
    <t>Porca 12641160</t>
  </si>
  <si>
    <t>Distribuidor 619-25730-2</t>
  </si>
  <si>
    <t>Luva 11651085</t>
  </si>
  <si>
    <t>BOMBA LAGF 18</t>
  </si>
  <si>
    <t>conector 11651070</t>
  </si>
  <si>
    <t>P215 600-25047-3</t>
  </si>
  <si>
    <t>WCL-84849659708661</t>
  </si>
  <si>
    <t>GRAXA LGEP 2/18</t>
  </si>
  <si>
    <t>Adaptador 11650326</t>
  </si>
  <si>
    <t>Conector 432-24162-1</t>
  </si>
  <si>
    <t>Dosador 12386610</t>
  </si>
  <si>
    <t>Dosador 12386710</t>
  </si>
  <si>
    <t>Bomba MPB 12381700</t>
  </si>
  <si>
    <t>Conector macho 12644020</t>
  </si>
  <si>
    <t xml:space="preserve">Conector 6LL X 1/8 NPT milano </t>
  </si>
  <si>
    <t>Transmissor de pressão BPSG2-PTA-MOD-D-SS</t>
  </si>
  <si>
    <t>WCL-04845338818661</t>
  </si>
  <si>
    <t>DOSADOR 12387760</t>
  </si>
  <si>
    <t xml:space="preserve">CORBION </t>
  </si>
  <si>
    <t xml:space="preserve">Injetor 501-303-003 </t>
  </si>
  <si>
    <t>WCL-36586973348661</t>
  </si>
  <si>
    <t>WCL-01539799958661</t>
  </si>
  <si>
    <t>BOMBA 11600340</t>
  </si>
  <si>
    <t>WCL-27081370778661</t>
  </si>
  <si>
    <t>Multilube 12389918</t>
  </si>
  <si>
    <t>WCL-72494332409661</t>
  </si>
  <si>
    <t xml:space="preserve">Usiminas </t>
  </si>
  <si>
    <t>Bomba TLMP 1018/230V</t>
  </si>
  <si>
    <t>Dosador 12387510</t>
  </si>
  <si>
    <t>Placa do maxilube 12501460</t>
  </si>
  <si>
    <t>WAFIOS</t>
  </si>
  <si>
    <t>Distribuidor 342-434-000</t>
  </si>
  <si>
    <t>WCL-67403806229661</t>
  </si>
  <si>
    <t>Distrbuidor 342-423-000</t>
  </si>
  <si>
    <t>WCL-74959092329661</t>
  </si>
  <si>
    <t>Distribuidor 345-432-222</t>
  </si>
  <si>
    <t>Distribuidor 342-422-000</t>
  </si>
  <si>
    <t>Distribuidor 342-432-000</t>
  </si>
  <si>
    <t>Distribuidor 345-424-332</t>
  </si>
  <si>
    <t>Chesterton 715</t>
  </si>
  <si>
    <t>Distribuidor DCM-226</t>
  </si>
  <si>
    <t>PISTOLA TLGB 20</t>
  </si>
  <si>
    <t>Reservatorio de lubrificação VGJC-SY-PZ1-3LJP</t>
  </si>
  <si>
    <t>WCL-74535925379661</t>
  </si>
  <si>
    <t>Lubripeças</t>
  </si>
  <si>
    <t>Parafuso 303-16120-1</t>
  </si>
  <si>
    <t>WCL-73050511099661</t>
  </si>
  <si>
    <t>Parafuso 303-16121-1</t>
  </si>
  <si>
    <t>Bomba LAGF 18</t>
  </si>
  <si>
    <t>MOTOR LINCOLN/84509</t>
  </si>
  <si>
    <t>WCL-50789841899661</t>
  </si>
  <si>
    <t>JOELHO XKKL6LLR1 LL/12805800</t>
  </si>
  <si>
    <t>RUDOLPH</t>
  </si>
  <si>
    <t>Bomba MKU11-KW2-0005-429</t>
  </si>
  <si>
    <t xml:space="preserve">MOCMAQ </t>
  </si>
  <si>
    <t>Reservatorio K6-S5</t>
  </si>
  <si>
    <t>WCL-46412273340761</t>
  </si>
  <si>
    <t>Reservatorio K6-S6</t>
  </si>
  <si>
    <t>Reservatorio KW6-S1</t>
  </si>
  <si>
    <t>Reservatorio KW6-S2</t>
  </si>
  <si>
    <t>Distribuidor progressivo mx-5</t>
  </si>
  <si>
    <t>Pressostato DSB1-S02F06G-1A-01</t>
  </si>
  <si>
    <t>WCL-08599905850761</t>
  </si>
  <si>
    <t>AMBEV</t>
  </si>
  <si>
    <t>Detector de pistão 519-85224-1</t>
  </si>
  <si>
    <t>Joelho 226-14157-1</t>
  </si>
  <si>
    <t>Placa maxilube  ST 105 12501460</t>
  </si>
  <si>
    <t>Valvula solenoide 12400095</t>
  </si>
  <si>
    <t>HALDEX</t>
  </si>
  <si>
    <t>EJETOR DO OPERADOR DE AR LINCOLN LL/84540</t>
  </si>
  <si>
    <t>WCL-47690428911761</t>
  </si>
  <si>
    <t>UTGC</t>
  </si>
  <si>
    <t>CMSS 530-100A-MR-ISO LF</t>
  </si>
  <si>
    <t>WCL-41935067541761</t>
  </si>
  <si>
    <t>LUBRIFICADOR DE AR OIL L64C-6GP-EDN</t>
  </si>
  <si>
    <t xml:space="preserve">Motor eletrico c/ elice </t>
  </si>
  <si>
    <t>WCL-10832868371761</t>
  </si>
  <si>
    <t>PINO GRAXEIRO 3/8</t>
  </si>
  <si>
    <t>2444 B</t>
  </si>
  <si>
    <t>JOELHO 90º 12643610</t>
  </si>
  <si>
    <t>PORCA 12643170</t>
  </si>
  <si>
    <t>HUYNDAI</t>
  </si>
  <si>
    <t>Porca de precisão SKF KMTA 6</t>
  </si>
  <si>
    <t>WCL-73744723502761</t>
  </si>
  <si>
    <t xml:space="preserve">Pistola TLGB 20 </t>
  </si>
  <si>
    <t>GRAXA LGEM 2/18</t>
  </si>
  <si>
    <t>WCL-63807421712761</t>
  </si>
  <si>
    <t>MAXEL</t>
  </si>
  <si>
    <t>LAOS 63595</t>
  </si>
  <si>
    <t>Tampa laos 64936</t>
  </si>
  <si>
    <t>Pino graxeiro reto M8R MB 8 mm x 1</t>
  </si>
  <si>
    <t>Pino graxeiro 1/8 NPT</t>
  </si>
  <si>
    <t>PORCA HM 3044</t>
  </si>
  <si>
    <t>Filtro 528-31341-4</t>
  </si>
  <si>
    <t xml:space="preserve">JOELHO MACHO GIRATORIO TUBO 6LX1/8 NPT </t>
  </si>
  <si>
    <t>SERIE 951-171-003</t>
  </si>
  <si>
    <t>SKF/MLP10-2-230-IF-103-PSE  12389953</t>
  </si>
  <si>
    <t>OC</t>
  </si>
  <si>
    <t>VALOR</t>
  </si>
  <si>
    <t>COLETA AGENDAMENTO STATUS</t>
  </si>
  <si>
    <t xml:space="preserve">DATA DA COLETA </t>
  </si>
  <si>
    <t xml:space="preserve">TRANSPORATADORA </t>
  </si>
  <si>
    <t>NUMERO DA COLETA]</t>
  </si>
  <si>
    <t xml:space="preserve">PROCESSAMENTO DA COLETA </t>
  </si>
  <si>
    <t>OF</t>
  </si>
  <si>
    <t>STATUS</t>
  </si>
  <si>
    <t>obs</t>
  </si>
  <si>
    <t>VALVULA 12400095</t>
  </si>
  <si>
    <t>PENDENTE</t>
  </si>
  <si>
    <t>Sistema Centralizado de Graxa Placa de Filtrado.</t>
  </si>
  <si>
    <t>MAXILUBE MAX-2-2-230-IF105-R-A - VGBV 12371231</t>
  </si>
  <si>
    <t>TRANSMISSOR PRESSÃO SAFEMATIC LINHA DUPLA - VGDB 12605240</t>
  </si>
  <si>
    <t>BOMBA ELETROMAGNÉTICA MPB 1/1 - VGBN 12381700</t>
  </si>
  <si>
    <t>PLACA BASE ALUMÍNIO BPSG-01-AL - VGAC 12383250</t>
  </si>
  <si>
    <t>PLACA BASE ALUMÍNIO BSPG-04-AL - VGAC 12383400</t>
  </si>
  <si>
    <t>MANGUEIRA TERMOPLÁSTICA 8/4 PMAX LL/11650070</t>
  </si>
  <si>
    <t>INDICADOR E MONITOR DE FLUXO P/DOSADOR SGA-0-1 SKF - VGDV 12388180</t>
  </si>
  <si>
    <t>SENSOR INDUTIVO LG-IND SGA-2</t>
  </si>
  <si>
    <t>CAIXA DE DERIVAÇÃO LG-IND SKF - VGDV 12388192</t>
  </si>
  <si>
    <t>CABO EXTENSÃO LG-IND M12 L = 5M</t>
  </si>
  <si>
    <t>KIT INSTALAÇÃO  P/BOMBA PNEUMATICA DE TAMBOR 180KG LL/12381381</t>
  </si>
  <si>
    <t>DOSADOR ZINCADO SGA-22-ZN - VGAC 12387710</t>
  </si>
  <si>
    <t>DOSADOR ZINCADO SGA-12-ZN - VGAC 12387610</t>
  </si>
  <si>
    <t>MULTILUBE SKF MLPI-10-2-230-IF103-PSE - VGBP 12389918</t>
  </si>
  <si>
    <t>Multilube MLP102230IF103PSE LL/12389918</t>
  </si>
  <si>
    <t>PINO GRAXEIRO RETO ROSCA 1/8"NPT 27 FIOS - INOX -</t>
  </si>
  <si>
    <t>MINA CENTRAL</t>
  </si>
  <si>
    <t>DISPOSITIVO DE DOSAGEM LINCOLN LL/85770-3</t>
  </si>
  <si>
    <t>DOSADORES DE LUBRIFICANTE PARA SISTEMA DE LINHA SIMPLES 85770-4</t>
  </si>
  <si>
    <t>MRO</t>
  </si>
  <si>
    <t>VPKM-6-02822</t>
  </si>
  <si>
    <t xml:space="preserve">CENTRAL </t>
  </si>
  <si>
    <t>DISTRIBUIDOR PISTOES PROGRESSIVO 12 SAÍDAS SKF/VPKM-6-02822</t>
  </si>
  <si>
    <t xml:space="preserve">ALMOTOLIA PLASTICA 500 ML </t>
  </si>
  <si>
    <t>LUBRIFICADOR 4530</t>
  </si>
  <si>
    <t>PRESSOSTATO</t>
  </si>
  <si>
    <t>WCL-19547307862761</t>
  </si>
  <si>
    <t>ALMOTOLIA 250 Mml</t>
  </si>
  <si>
    <t>ALMOTOLIA PLASTICA 500 ML BICO RETO</t>
  </si>
  <si>
    <t>ACOPLADOR C/4 TRAVAS 1/8"NPT - 310 C NEW</t>
  </si>
  <si>
    <t>LGHB 2/18</t>
  </si>
  <si>
    <r>
      <rPr>
        <rFont val="Arial"/>
        <color theme="1"/>
        <sz val="11.0"/>
      </rPr>
      <t>DISTRIBUIDOR JOCK VPM-05001</t>
    </r>
    <r>
      <rPr>
        <rFont val="Arial"/>
        <color rgb="FFFF0000"/>
        <sz val="11.0"/>
      </rPr>
      <t xml:space="preserve"> </t>
    </r>
  </si>
  <si>
    <t>DOSADOR  12387660</t>
  </si>
  <si>
    <t>SENSOR INDUTIVO NF DE MOVIMENTO DE PISTÃO ROSCA M10X1 - VGDV 177-300-096</t>
  </si>
  <si>
    <t>WCL-16368565983761</t>
  </si>
  <si>
    <t xml:space="preserve">CHALEGRE </t>
  </si>
  <si>
    <t>COMPOSTO DE GALVANIZAÇÃO FRIA 752 CHESTERTON, AEROSSOL</t>
  </si>
  <si>
    <t>GALVANIZAÇÃO À FRIO 752 CHESTERTON - 2,7 LITROS</t>
  </si>
  <si>
    <t>VALVULA SOLENOIDE BURKERT 3X3/2. 24V MAXILUBE - VGGP 12400095</t>
  </si>
  <si>
    <t>Propulsora 12021-Z-G4</t>
  </si>
  <si>
    <t>SUNCOKE</t>
  </si>
  <si>
    <t>União igual 12643400</t>
  </si>
  <si>
    <t>DISTRIBUIDOR 321-403G1</t>
  </si>
  <si>
    <t>WCL-72344256124761</t>
  </si>
  <si>
    <t>DISTRIBUIDOR 321-603 G1</t>
  </si>
  <si>
    <t>IMPACTO</t>
  </si>
  <si>
    <t>COMPOSTO DE GALVANIZAÇÃO FRIA 752 CHESTERTON, AEROSSOL 350 ml</t>
  </si>
  <si>
    <t>DOSADOR INOX SGA-12-SS - VGAC 12386710</t>
  </si>
  <si>
    <t>BICO DE LUBRIFICAÇÃO BOZZA 319C</t>
  </si>
  <si>
    <t>GRAXA P/ROLAMENTO DE ALTA CARGA ALTA TEMP. E ALTA VISCOSIDADE LGHB 2 18KG</t>
  </si>
  <si>
    <t>IC ENG</t>
  </si>
  <si>
    <t>VALVULA SOLENOIDE BURKERT 3X3/2. 24V MAXILUBE</t>
  </si>
  <si>
    <t>CONECTOR MACHO RETO 6LL X 1/8 INOX - VGKA 12805020</t>
  </si>
  <si>
    <t>CONECTOR 12805020</t>
  </si>
  <si>
    <t>ACOPLADOR GIGANTE 2031-G</t>
  </si>
  <si>
    <t>Demora SKF</t>
  </si>
  <si>
    <t>Acoplador hidraulico BOZZA 2031-G</t>
  </si>
  <si>
    <t>CONCLUIDO</t>
  </si>
  <si>
    <t>CMSS93268LCISY10M</t>
  </si>
  <si>
    <t>WCL-11301189015761</t>
  </si>
  <si>
    <t>VALVULA SOLENOIDE 278931</t>
  </si>
  <si>
    <t>CABO CMSS 932-68LCI-SY-10M SKF</t>
  </si>
  <si>
    <t>DISTRIBUIDOR DC 4 SAIDAS LL/DC-154</t>
  </si>
  <si>
    <t>DOSADOR DDC-254</t>
  </si>
  <si>
    <t>DISTRIBUIDOR PR LINCOLN SSV 10 BLACK CHROMATED BSPP - 619-26841-1</t>
  </si>
  <si>
    <t>ELEMENTO DE BOMBA K7 P/ LINCOLN P203 - 600-26877-2</t>
  </si>
  <si>
    <t>DISTRIBUIDOR PR LINCOLN SSV 6 BLACK CHROMATED BSPP - 619-26473-1</t>
  </si>
  <si>
    <t>DISTRIBUIDOR PR LINCOLN SSV 6 BLACK CHROMATED NPT C/ PIN VISUAL - 619-27122-1</t>
  </si>
  <si>
    <t>OPTAPLAST</t>
  </si>
  <si>
    <t>PORCAS ZINCADA M6 LL - VGKA 12643170</t>
  </si>
  <si>
    <t>PINO GRAXEIRO 90º M6 NACIONAL</t>
  </si>
  <si>
    <t>PINO GRAXEIRO 45º M10 NACIONAL</t>
  </si>
  <si>
    <t>PINO GRAXEIRO 45º M6 NACIONAL</t>
  </si>
  <si>
    <t>PINO GRAXEIRO 45º M8</t>
  </si>
  <si>
    <t>ACOPLADOR HIDRAULICO COM TRAVA</t>
  </si>
  <si>
    <t>PRESSOSTATO 50MA FIX DSB1</t>
  </si>
  <si>
    <t>BOBINA VALVULA SOLENOIDE 11601065</t>
  </si>
  <si>
    <t>CILINDRO PNEUM NORMALIZADO DSBG-160-200-PPVA-N3-2029469</t>
  </si>
  <si>
    <t>AW CHESTERTON 615</t>
  </si>
  <si>
    <t>PROPULSORA PNEUMÁTICA P/ GRAXA BALDE 20KG C/CARRINHO C/MANGUEIRA 3M - 11020 R20-G4</t>
  </si>
  <si>
    <t>BOMBA MANUAL P/ GRAXA YAMAGUCHI MODELO 210 12KG</t>
  </si>
  <si>
    <t>REGULADOR DE AR COMPRIMIDO C/ LUBRIFIL SMC AL40-06-A</t>
  </si>
  <si>
    <t>P. BRASIL</t>
  </si>
  <si>
    <t>LUBRIFICADOR AUTOMÁTICO SYSTEM 24 - LAGD 125/HQ</t>
  </si>
  <si>
    <t>DISTRIBUIDOR PR LINCOLN SSV 8 P - 619-25730-2</t>
  </si>
  <si>
    <t>BUJÃO DE FECHAMENTO  - 303-17499-3</t>
  </si>
  <si>
    <t>VALVULA RETENÇÃO M10X1 - 6MM ZN  - VGGV 504-30344-4</t>
  </si>
  <si>
    <t>CONECTOR MACHO RETO GE/PEL 6LL R1/8 ZN - LL/12805160</t>
  </si>
  <si>
    <t>REGULADOR DE AR COMPRIMIDO NORGREN</t>
  </si>
  <si>
    <t>MAQSHOW</t>
  </si>
  <si>
    <t>RESERVATÓRIO DA BOMBA MANUAL ACIONADA POR BATERIA - SKF TLGB 20-4</t>
  </si>
  <si>
    <t>PLACA BASE ALUMÍNIO BPSG-06-AL - VGAC 12383500</t>
  </si>
  <si>
    <t>VALVULA DIRECIONAL 12386245</t>
  </si>
  <si>
    <t>PINO GRAXEIRO 1/8"</t>
  </si>
  <si>
    <t>31/02/2023</t>
  </si>
  <si>
    <t>CMSS 932 68LC 1</t>
  </si>
  <si>
    <t>WCL-33035386795761</t>
  </si>
  <si>
    <t>ACELEROMETRO CMSS 932-68LC-1</t>
  </si>
  <si>
    <t>TERMINAL PONTA LISA 90° 8MM AÇO CARBONO GALVANIZADO - VGKA 11650350</t>
  </si>
  <si>
    <t>WCL-29074403236761</t>
  </si>
  <si>
    <t>PINO GRAXEIRO RETO 3/8" RI 304</t>
  </si>
  <si>
    <t>DISPOSITIVO DE DOSAGEM LINCOLN LL/85770-5</t>
  </si>
  <si>
    <t>ADAPTADOR PARA COLETA DE AMOSTRA DE OLEO M6X2 FEMEA - 5713-01</t>
  </si>
  <si>
    <t>CONECTOR 6MM 12805410</t>
  </si>
  <si>
    <t>BOMBA PARA COLETA DE AMOSTRAGEM DE FLUIDO - 5609</t>
  </si>
  <si>
    <t>FRASCO TRANSLUCIDO COM TAMPA - CAP.120ML</t>
  </si>
  <si>
    <t>RECIPIENTE PARA GUARDAR AMOSTRA COM LACRE - FRASCO 5715</t>
  </si>
  <si>
    <t>CONJUNTO DE AMOSTRAGEM COM  CONJUNTO DE AMOSTRAGEM COM TUBO - 5740</t>
  </si>
  <si>
    <t>ACOPLADOR PARA PINO GRAXEIRO COM TRAVA - E.F. 1-8POL NPT</t>
  </si>
  <si>
    <t>ACOPLADOR GIGANTE GIR. - TIPO BOTAO 22MM - F.1-8POL NPT -  1986-GS</t>
  </si>
  <si>
    <t>ACOPLADOR STANDART GIR. - TIPO BOTAO 16MM - F.1-8POL NPT - PT</t>
  </si>
  <si>
    <t>CONTENTOR LEITOSO COM GRADES METALICAS PARA OLEO LUBRIFICANTE E ARLA 32- CAP.1000L - 9300-CONT</t>
  </si>
  <si>
    <t>AQUECEDOR PARA TAMBOR 200L - 220V-1000W - TAM.125X1740MM - 3452</t>
  </si>
  <si>
    <t>BOMBA PARA COLETA DE AMOSTRAS DE LUB COM VALVULA E TAMPA NYLON - 5714-A</t>
  </si>
  <si>
    <t>CARRETEL RETRATIL P/AR BOZZA 17100RET-AR15</t>
  </si>
  <si>
    <t>BOMBA MANUAL PARA ÓLEO COM TUBO TELESCOPICO BOZZA ATÉ 200L</t>
  </si>
  <si>
    <t>BOMBA MANUAL P/ GRAXA RESERV 7KG - 8522 G3</t>
  </si>
  <si>
    <t>MANGUEIRA P/ GRAXA 5680-10 BOZZA</t>
  </si>
  <si>
    <t>TERMINAL PONTA LISA 8MM AÇO CARBONO GALVANIZADO - VGKA 11650340</t>
  </si>
  <si>
    <t>CONECTOR PROLONGADO 12401220</t>
  </si>
  <si>
    <t>GRAXA P/ROLAMENTO DE VISCOSIDADE EXTREMAMENTE ALTA COM LUB. SÓLIDOS BALDE DE 18KG - LGEV 2</t>
  </si>
  <si>
    <t>JOELHO MACHO 90 zn 12643610</t>
  </si>
  <si>
    <t>LISTA FLOW LINE JEFERSON</t>
  </si>
  <si>
    <t>UNIAO MACHO SERIE LEVE 6MM X 1/8 BSPT DIN 2353/ISO 8434-1 INOX 316L</t>
  </si>
  <si>
    <t>LUVA ROSCADA P/MANGUEIRAS 6-8MM INOX - VGKA 11651085</t>
  </si>
  <si>
    <t>TERMINAL PONTA LISA ROSCADO INOX 6MM</t>
  </si>
  <si>
    <t>BOMBA MANUAL RESERVATORIO 7KG BOZZA</t>
  </si>
  <si>
    <t>TERMINAL PONTA LISA 8MM 11650340</t>
  </si>
  <si>
    <t>LISTA DE CONEXÕES</t>
  </si>
  <si>
    <t>DOSADOR SGA-11-ZN-NI SEM INDICADOR MECÂNICO 12387625</t>
  </si>
  <si>
    <t>CONECTOR MACHO FEMEA LAPN 1/2</t>
  </si>
  <si>
    <t>KFG BOMBA</t>
  </si>
  <si>
    <t>PINO GRAXEIRO 1/16"</t>
  </si>
  <si>
    <t>LUVA ESTRANGULAMENTO 8MMM 11651070</t>
  </si>
  <si>
    <t>MPB 1/1 12381700</t>
  </si>
  <si>
    <t xml:space="preserve">LISTA KIT SUAZANO </t>
  </si>
  <si>
    <t>CABO ACELEROMETRO CMSS 932-68LCI 5M</t>
  </si>
  <si>
    <t>DOSADOR NI 11 ZN 12387625</t>
  </si>
  <si>
    <t>DOSADOR 22 SS 12386810</t>
  </si>
  <si>
    <t>LUBRIFICADOR P/AR COM NORGREN/L07-200-MPQA</t>
  </si>
  <si>
    <t xml:space="preserve">ALMOTOLIA PLASTICA 250 ML </t>
  </si>
  <si>
    <t>UNIDADE KFG 6KG</t>
  </si>
  <si>
    <t>DOSADOR 11 ZN NI 12387625</t>
  </si>
  <si>
    <t>DOSADOR INOX SGA-22-SS - VGAC 12386810</t>
  </si>
  <si>
    <t>INDICADOR DE MONITOR DE FLUX 0-1</t>
  </si>
  <si>
    <t>CAIXA DE DERIVAÇÃO LG-IND 12388192</t>
  </si>
  <si>
    <t xml:space="preserve">PLACA DE FECHAMENTO </t>
  </si>
  <si>
    <t>KIT MANUTENÇÃO MULTILUBE</t>
  </si>
  <si>
    <t>MANGUEIRA 10MM SMC</t>
  </si>
  <si>
    <t>CABO CMSS 932-68LCI 10M</t>
  </si>
  <si>
    <t>VISOR DE NIVEL</t>
  </si>
  <si>
    <t>REGULADOR DE AR COMPRIMIDO SMC AL50</t>
  </si>
  <si>
    <t>RESERVATÓRIO HERMETICO 5L 63618</t>
  </si>
  <si>
    <t>BUHLER</t>
  </si>
  <si>
    <t>MANGUEIRA 111-35114-1</t>
  </si>
  <si>
    <t>DOSADOR 12 ZN 12387610</t>
  </si>
  <si>
    <t>UNIDADE KFG 2KG</t>
  </si>
  <si>
    <t>ELKEN</t>
  </si>
  <si>
    <t>CHESTERTON 630</t>
  </si>
  <si>
    <t>CHESTERTON 630 20L</t>
  </si>
  <si>
    <t>LISTA DE MATERIAIS ARCELOR</t>
  </si>
  <si>
    <t>PERMAGRAN</t>
  </si>
  <si>
    <t>BOMBA DE LUBRIFICAÇÃO ELETRICA P203 24V LINCOLN-SKF</t>
  </si>
  <si>
    <t>ANILHA ZINCADA 6LL - VGKA 12643010</t>
  </si>
  <si>
    <t>ANILHA ZINCADA 6L - LL/11643185</t>
  </si>
  <si>
    <t>ANILHA ZINCADA 4LL - LL/11643180</t>
  </si>
  <si>
    <t>CHALEGRE</t>
  </si>
  <si>
    <t>PROPULSORA BOZZA 12021</t>
  </si>
  <si>
    <t>BOBINA VÁLVULA CLV 24V 11601400</t>
  </si>
  <si>
    <t>VALVULA DIRECIONAL OD1440583000</t>
  </si>
  <si>
    <t>UNIDADE MÓVEL DE FILTRAGEM</t>
  </si>
  <si>
    <t>LAHD 1000 LUBRIFICADOR AUTOMATICO</t>
  </si>
  <si>
    <t>VERIFICADOR DE LUBRIFICAÇÃO POR ULTRASSOM TLGU 10</t>
  </si>
  <si>
    <t>AMT</t>
  </si>
  <si>
    <t>PINO GRAXEIRO 1/4" INOX</t>
  </si>
  <si>
    <t>METALURGICA VALENÇA</t>
  </si>
  <si>
    <t>CHESTERTON</t>
  </si>
  <si>
    <t>BOMBA MANUAL BOZZA 7KG</t>
  </si>
  <si>
    <t>PROPULSORA 200L ÓLEO 12021-Z-G4</t>
  </si>
  <si>
    <t>DOSADOR 21 SS 12386760</t>
  </si>
  <si>
    <t>THYSSENKRUPP</t>
  </si>
  <si>
    <t>ANGLO</t>
  </si>
  <si>
    <t>BOMBA ELETRICA 615-77042-1</t>
  </si>
  <si>
    <t>DISTRIBUIDOR ÓLEO 341-400-200000</t>
  </si>
  <si>
    <t>FLOWTUBE-A 13120472</t>
  </si>
  <si>
    <t>SENSOR-UNIT FLOWLINE 13500310</t>
  </si>
  <si>
    <t>ROLAMENTO DE ESFERA NSK 6305 ZZC3</t>
  </si>
  <si>
    <t>ROLAMENTO DE ESFERA NSK 6008 ZZ</t>
  </si>
  <si>
    <t>TUBO S/ COSTURA INOX AISI 316L 6,0 X 1,0 MM</t>
  </si>
  <si>
    <t>TUBO S/ COSTURA INOX AISI 316L 8,0 X 1,0 MM</t>
  </si>
  <si>
    <t>TUBO S/ COSTURA INOX AISI 316L 10,0 X 1,5 MM</t>
  </si>
  <si>
    <t>TUBO S/ COSTURA INOX AISI 316L 12,0 X 2,0 MM</t>
  </si>
  <si>
    <t>TUBO S/ COSTURA AÇO CARBONO 12,0 X 1,5 MM</t>
  </si>
  <si>
    <t>TUBO S/ COSTURA AÇO CARBONO 18,0 X 2,0 MM</t>
  </si>
  <si>
    <t>TUBO S/ COSTURA AÇO CARBONO 20,0 X 2,0 MM</t>
  </si>
  <si>
    <t>TUBO S/ COSTURA AÇO CARBONO 1/2"</t>
  </si>
  <si>
    <t>TUBO S/ COSTURA AÇO CARBONO 5/8"</t>
  </si>
  <si>
    <t>MANGUEIRA R1AT 1/4"</t>
  </si>
  <si>
    <t>MANGUEIRA R1AT 3/8"</t>
  </si>
  <si>
    <t>MANGUEIRA R1AT 1/2"</t>
  </si>
  <si>
    <t>DOSADOR DDC-252</t>
  </si>
  <si>
    <t>DOSADOR DDC-256</t>
  </si>
  <si>
    <t>DOSADOR DDC-258</t>
  </si>
  <si>
    <t>VALVULA RETENÇÃO DN 6MM</t>
  </si>
  <si>
    <t>VALVULA RETENÇÃO DN 8MM</t>
  </si>
  <si>
    <t>VALVULA RETENÇÃO DN 10MM</t>
  </si>
  <si>
    <t>VALVULA RETENÇÃO DN 12MM</t>
  </si>
  <si>
    <t>DISTRIBUIDOR DE ÓLEO LINHA SIMPLES 3P 343-400-24200-ZZ</t>
  </si>
  <si>
    <t>DISTRIBUIDOR DE ÓLEO LINHA SIMPLES SKF 2P 342-400-22000-ZZ</t>
  </si>
  <si>
    <t>ROTAMETRO FLOWLINE SKF FL15-06-R-CAN</t>
  </si>
  <si>
    <t>PINO GRAXEIRO LL/729832</t>
  </si>
  <si>
    <t>ARGAMASSA</t>
  </si>
  <si>
    <t>BOMBA MANUAL ACIONADA POR BATERIA - SKF TLGB 20</t>
  </si>
  <si>
    <t>PROATIVA</t>
  </si>
  <si>
    <t>KR-I-1112-1GR-KN - KIT INJETOR LINHA 11 E 12-1 - GRAXA</t>
  </si>
  <si>
    <t>KR-I-1112-2GR-KN - KIT INJETOR LINHA 11 E 12-1 - GRAXA</t>
  </si>
  <si>
    <t>KR-I-1112-GR-KN - KIT INJETOR LINHA 11 E 12-1 - GRAXA</t>
  </si>
  <si>
    <t>GRAXA LGMT 2/18 18 KG</t>
  </si>
  <si>
    <t>GRAXA P/ROLAMENTO DE ALTA CARGA ALTA TEMP. E ALTA</t>
  </si>
  <si>
    <t>GRAXA P/ROLAMENTO DE VISCOSIDADE EXT. ALTA 18KG</t>
  </si>
  <si>
    <t>GRAXA P/ROLAMENTO DE VISCOSIDADE EXT. ALTA 50KG</t>
  </si>
  <si>
    <t>TERMINAL PONTA LISA ROSCADO 6MM INOX - VGKA 11650327</t>
  </si>
  <si>
    <t>PINO GRAXEIRO RETO 1/2" R AÇO CARBONO NPT 1/4" 18 FIOS</t>
  </si>
  <si>
    <t>PLACA BASE ALUMÍNIO BPSG-02-AL - VGAC 12383300</t>
  </si>
  <si>
    <t>CABO ACELEROMETRO CMSS 932-68LCI-SY-5M</t>
  </si>
  <si>
    <t>UNIÃO IGUAL 6MM LL ZINCADA -  VGKA 12643400</t>
  </si>
  <si>
    <t>LUVA ROSCADA P/MANGUEIRAS 6-8MM ZN - VGKA 11651080</t>
  </si>
  <si>
    <t>TERMINAL PONTA LISA ROSCADO 6MM ZN - VGKA 11650326</t>
  </si>
  <si>
    <t>CEQUEL</t>
  </si>
  <si>
    <t>ACESSORIOS DE FORNECIMENTO DE AR/GRAXA  - VGBN 950204</t>
  </si>
  <si>
    <t>LUBRIFICADOR DE CABO AÇO 7/16-1POL SKF - VGKP 802175</t>
  </si>
  <si>
    <t>LUBRIFICADOR DE CABO AÇO 7/16-1POL SKF - VGBN 802236-ROS12</t>
  </si>
  <si>
    <t>LUBRIFICADOR DE CABO AÇO 1.1/8-2POL SKF - VGBN 802237-ROS12</t>
  </si>
  <si>
    <t>LUBRIFICADOR DE CABO AÇO 1.1/8-2POL SKF - VGKP 802180</t>
  </si>
  <si>
    <t>TECHNIP</t>
  </si>
  <si>
    <t>Contratação para prestação de serviços de Manutenção Prev.</t>
  </si>
  <si>
    <t>BOMBA MANUAL PARA ÓLEO TUBO TELESCOPICO BOZZA ATÉ 200L</t>
  </si>
  <si>
    <t>CAPA DE PROTEÇÃO DOSADOR SGA-01 - VGAV 12770850</t>
  </si>
  <si>
    <t>BOMBA ALTERNATIVA PISTÃO MODELO P653S LL/080090</t>
  </si>
  <si>
    <t>BOMBA DE FILTRAGEM 30L/MIN</t>
  </si>
  <si>
    <t>MOBILIZAÇÃO E DESMOBILIZAÇÃO</t>
  </si>
  <si>
    <t>FILTRO NEWTEC 10 MICRAS -</t>
  </si>
  <si>
    <t>FILTRO NEWTEC 20 MICRAS</t>
  </si>
  <si>
    <t>CLEAN OFF</t>
  </si>
  <si>
    <t>COMPOSTO DE GALVANIZAÇÃO FRIA 752 CHESTERTON, AERO</t>
  </si>
  <si>
    <t xml:space="preserve">276 - LIMPADOR DE COMPONENTE ELETRÔNICO, AERO250G </t>
  </si>
  <si>
    <t>SUNWINDS</t>
  </si>
  <si>
    <t>UNIDADE. DE LUB. KFG VGBP KFGS1-5W1MAXAA490 230VAC</t>
  </si>
  <si>
    <t>CONEXÃO PARA TUBO EM AÇO LL/223-12273-6</t>
  </si>
  <si>
    <t>ADAPTADOR 1/8" NPT MACHO X 1/8" NPT FEMEA1 7/8"  - 10181</t>
  </si>
  <si>
    <t>ADAPTADOR M/F 1/8NPT X 1/8NPT AÇO CARBONO - LL/10182</t>
  </si>
  <si>
    <t>JOELHO MACHO FEMEA 45 1/8 NPT - 1/8 NPT- 20028</t>
  </si>
  <si>
    <t>JOELHO MACHO FEMEA 90 1/8 NPT- 20029</t>
  </si>
  <si>
    <t>UNIÃO DUPLA DE AÇO CARBONO 6MM - 223-12482-9</t>
  </si>
  <si>
    <t xml:space="preserve">Revitalização SLC fresadora </t>
  </si>
  <si>
    <t>GRAXA P/ROLAM. DE ALTA CARGA ALT TEMP. E ALT VISC.2 18KG</t>
  </si>
  <si>
    <t>GRAXA P/ROLAMENTO DE VISCOS ALTA COM LUB. 18KG - LGEV 2</t>
  </si>
  <si>
    <t>MANGUEIRA LINCOLN 8,6X2,3MM P.MAX VGMA 111-35114-1</t>
  </si>
  <si>
    <t>SENSOR DE PISTÃO COM CABO LL/664-85242-5</t>
  </si>
  <si>
    <t>ELEVADOR PNEUM P/TRANSF GRAXA LINCOLN INDUSTRIAL1736</t>
  </si>
  <si>
    <t>LUBRIFICADOR AUTOMATICO - LAHD 500</t>
  </si>
  <si>
    <t xml:space="preserve">TAKRAF </t>
  </si>
  <si>
    <t>SISTEMA DE LUBRIFICAÇÃO AUTOMATICA P CHILE</t>
  </si>
  <si>
    <t>TRANSMISSOR PRESSÃO VGDB 12605240</t>
  </si>
  <si>
    <t>Fornecimento de HH na WEG</t>
  </si>
  <si>
    <t>STOLLE</t>
  </si>
  <si>
    <t>INJETOR DE LUBRIFICAÇÃO LL/83336-4</t>
  </si>
  <si>
    <t>INJETOR DE LUBRIFICAÇÃO LINCOLN LL/83309-7</t>
  </si>
  <si>
    <t>BOMBA PNEUMATICA DE GRAXA LINCOLN - LL/83668</t>
  </si>
  <si>
    <t>AW CHESTERTON - 615 HTG #2 - GRAXA PARA ALTA TEMP 400G</t>
  </si>
  <si>
    <t>ADAPTADOR 1/8" NPT MACHO X 1/8" NPT FEMEA 1 7/8"  - 10181</t>
  </si>
  <si>
    <t>MANG LINCOLN 8,6X2,3MM P.MAX 840BAR - VGMA 111-35114-1</t>
  </si>
  <si>
    <t>ADAPTADOR M/F 1/8NPT X 1/8NPT AÇO CARBONO LL/10182</t>
  </si>
  <si>
    <t>MANGUEIRA LINCOLN 8,6X2,3MM P.MAX 840BAR 111-35114-1</t>
  </si>
  <si>
    <t>UNIÃO DUP.AÇO CARBONO LINCOLN P/ TUBO 6MM - 223-12482-9</t>
  </si>
  <si>
    <t>PROMOSUB</t>
  </si>
  <si>
    <t>AW CHESTERTON 785 PASTA DE LUBRIFICANTE SINT 500 GR</t>
  </si>
  <si>
    <t>CHAVE DE NÍVEL WS35-2+C81</t>
  </si>
  <si>
    <t>UNID DE LUB P/ ÓLEO 6L MOTOR 60 HZ VGBB MFE5-BW7-S59</t>
  </si>
  <si>
    <t>DOSADOR INOX SGA-11-SS - VGAC 12386660</t>
  </si>
  <si>
    <t>PROPULSORA PNEUMP/ GRAXA TAMBOR 200KG - 12020 SM G4</t>
  </si>
  <si>
    <t>CARLSONS</t>
  </si>
  <si>
    <t>AW CHESTERTON - 601 - LUBRIFICANTE DE BUCHA E PINO DE TRANSMISSÃO DE CORRENTE E CABO DE AÇO, AEROSSOL 350G - ECSU</t>
  </si>
  <si>
    <t>LUBRIFICANTES 601 - 208 LITROS</t>
  </si>
  <si>
    <t>AW CHESTERTON - 715G - LUBRIFICANTES LUBR. ENGREN. E CORREIAS SPRFLEX 300GM ECSU</t>
  </si>
  <si>
    <t>MANGUEIRA LINCOLN 8,6X2,3MM VGMA 111-35114-1</t>
  </si>
  <si>
    <t>UNIÃO TEE LINCOLN 276407</t>
  </si>
  <si>
    <t>SENSOR P/DISTRIBUIDOR SSV - LL/249010</t>
  </si>
  <si>
    <t>COMPOSTO DE GALVANIZAÇÃO FRIA 752 CHESTERTON</t>
  </si>
  <si>
    <t>KNAUF</t>
  </si>
  <si>
    <t>AW CHESTERTON - 783 ACR - HIGH PERF ANTI-SEIZE, 500G</t>
  </si>
  <si>
    <t>ABRAÇADEIRA DUPLA STAUFF 12MM BASE AÇO CARBONO</t>
  </si>
  <si>
    <t>ABRAÇADEIRA DUPLA STAUFF 20MM BASE AÇO CARBONO</t>
  </si>
  <si>
    <t>UNIÃO DUPLA IGUAL INOX AISI 316L 10 MM OD</t>
  </si>
  <si>
    <t>UNIÃO MACHO INOX AISI 316L 1/4" NPT PARA 10 MM OD</t>
  </si>
  <si>
    <t>UNIÃO MACHO INOX AISI 316L 3/8" NPT PARA 10 MM OD</t>
  </si>
  <si>
    <t>UNIÃO MACHO INOX AISI 316L 3/8" NPT PARA 12 MM OD</t>
  </si>
  <si>
    <t>BUJÃO ALEN 3/8 PARA DISTRIBUIDORES DE LUBRIFICANTE</t>
  </si>
  <si>
    <t>TUBO DE AÇO INOX S/COSTURA304-L ASTM A-269   22.00 X 2.50</t>
  </si>
  <si>
    <t xml:space="preserve">UNIÃO IGUAL 22L AÇO INOX 316  </t>
  </si>
  <si>
    <t>UNIÃO TEE OD 22 X 22 X 22 AÇO INOX</t>
  </si>
  <si>
    <t>UNIÃO TEE OD 22L X 12L X 22L AÇO INOX 316</t>
  </si>
  <si>
    <t>Fornecimento M.O Especializada (2 TUB) PG 23</t>
  </si>
  <si>
    <t>ECO</t>
  </si>
  <si>
    <t>AW CHESTERTON 785 PASTA DE LUBRIFICANTE SINTÉTICO 500 G</t>
  </si>
  <si>
    <t>DIAMETRO INTERNO:3/4 "; PRESSAO DE TRABALHO:250</t>
  </si>
  <si>
    <t>MANGUEIRA SAE100R2AT 3/8</t>
  </si>
  <si>
    <t>MANGUEIRA 3/4'' 02 TRAMAS ACO 450 MM TERMINAL 01: TERMINAL</t>
  </si>
  <si>
    <t>CONECTOR MACHO RETO 1/8X6MM ZN - VGKA 12644020</t>
  </si>
  <si>
    <t>DEMUTH</t>
  </si>
  <si>
    <t>MÓDULO DE CANAL CM1440 - LL/12501270</t>
  </si>
  <si>
    <t>TRANSMISSOR DE PRESSÃO BLOCO ZINCADO VGDB 12385333</t>
  </si>
  <si>
    <t>TRANSMISSOR DE PRESSÃO SKF - LL/12385304</t>
  </si>
  <si>
    <t>VALVULA DE DESLIGAMENTO CLV-2-24-NC - VGGP 12385860</t>
  </si>
  <si>
    <t>VALVULA DE DESLIGAMENTO CLV-OS-24-NC - LL/12802600</t>
  </si>
  <si>
    <t>VALVULA DE DESLIGAMENTO CLV-OS-24-NO - LL/12802640</t>
  </si>
  <si>
    <t>BOMBA HIDRÁULIC SKF DE 100 MPA COM MONÔMETRO - 729124</t>
  </si>
  <si>
    <t>GW</t>
  </si>
  <si>
    <t>KIT REPARO 246415 SKF-LINCOLN</t>
  </si>
  <si>
    <t>KIT REPARO 252715 SKF-LINCOLN</t>
  </si>
  <si>
    <t>PINO GRAXEIRO RETO ROSCA 1/16"NPT - INOX</t>
  </si>
  <si>
    <t xml:space="preserve">INJETOR DE ÓLEO C/ 1 SAÍDA VGAE 501-301-024  </t>
  </si>
  <si>
    <t>PLACA CIRCUITO ST1440 D&amp;K-CARD - VGEP 12501253</t>
  </si>
  <si>
    <t>ELEMENTO DE BOMBA SKF VGBV 11771002</t>
  </si>
  <si>
    <t>ELEMENTO DE BOMBA KFG VAZÃO 0,8CM^3/MIN - VGBP KFG1.U4</t>
  </si>
  <si>
    <t>BOMBA LUBR PNEUMÁTICA; PRESSAO MAXIMA 241 BAR</t>
  </si>
  <si>
    <t>HYUNDAY</t>
  </si>
  <si>
    <t>AW CHESTERTON 601 LUBRIFICANTE DE BUCHA E PINO DE TRAN</t>
  </si>
  <si>
    <t>AW CHESTERTON 601 CHAIN DRIVE PIN &amp; BUSHING LUB 20 LITERS</t>
  </si>
  <si>
    <t>PINO GRAXEIRO RETO 1/2" RI 304 NPT 1/4"</t>
  </si>
  <si>
    <t>União reta 10mm 0025449780</t>
  </si>
  <si>
    <t>LUVAS ESTRANGULAMENTO 8MM ZN - VGKA 11651070</t>
  </si>
  <si>
    <t>TERMINAL PONTA LISA 6MM ZN - VGKA 11650324</t>
  </si>
  <si>
    <t>TERMINAL PONTA LISA 8MM AÇO CARB GALV.VGKA 11650340</t>
  </si>
  <si>
    <t>TERMINAL PONTA LISA 90° 8MM AÇO CARB GALV.VGKA 11650350</t>
  </si>
  <si>
    <t>DOSADOR INOX SGA-011-SS - VGAC 12386560</t>
  </si>
  <si>
    <t>DOSADOR INOX SGA-012-SS - VGAC 12386610</t>
  </si>
  <si>
    <t>AW CHESTERTON 803 IMS II 20L</t>
  </si>
  <si>
    <t>AW CHESTERTON 803 IMS II 208L</t>
  </si>
  <si>
    <t>PROTETOR CONTRA UMIDADE 775 CHESTERTON, 20 LITROS</t>
  </si>
  <si>
    <t>SUAZNO</t>
  </si>
  <si>
    <t>AW CHESTERTON 740 PROTEÇÃO CONTRA FERRUGEM  BALDE 20L</t>
  </si>
  <si>
    <t>AW CHESTERTON - 615 HTG #2 - GRAXA P/ ALTA TEMP, 400 G</t>
  </si>
  <si>
    <t>UNIÃO 90° M8X1 FEMEA X R 1/8" MACHO SKF - 514-018K</t>
  </si>
  <si>
    <t>DISTRIBUIDOR DE ÓLEO LINHA SIMP SKF - LL/341-400-20000-00</t>
  </si>
  <si>
    <t>CONECTOR TRIPLA VEDAÇÃO LL/406-054-VS</t>
  </si>
  <si>
    <t>CONECTOR TRIPLA VEDAÇÃO LL/406-158-VS</t>
  </si>
  <si>
    <t>CONECTOR TRIPLA VEDAÇÃO LL/406-423N-VS</t>
  </si>
  <si>
    <t>CONECTOR TRIPLA VEDAÇÃO LL/406-423W-VS</t>
  </si>
  <si>
    <t>CONECTOR TRIPLA VEDAÇÃO LL/451-006-498-VS</t>
  </si>
  <si>
    <t>CONECTOR TRIPLA VEDAÇÃO LL/456-004-VS</t>
  </si>
  <si>
    <t>JAFER</t>
  </si>
  <si>
    <t>AW CHESTERTON - 772 - COMPOSTO ANTIADERENTE DE NÍQUEL PREMIUM, TOPO DE PINCEL DE 500 GRAMAS</t>
  </si>
  <si>
    <t xml:space="preserve">Fornecimento de MO para Montagem de SLC </t>
  </si>
  <si>
    <t>AW CHESTERTON - 860 MPG  (2 AEROSSÓIS E 2 CARTUCHOS)</t>
  </si>
  <si>
    <t>BOMBA PROPULSORA PNEUM 14800-MAX BOZZA</t>
  </si>
  <si>
    <t>BOMBA LUBRIFICAÇÃO P/GRAXA COM ACIONAMENTO PNEUMATICO 10L082054000J0</t>
  </si>
  <si>
    <t>MULTILUBE SKF MLPI-10-2-230-IF103-PSE</t>
  </si>
  <si>
    <t>BOMBA DE LUBRIFICAÇÃO SKF MLPI-4-2-115-IF103-PSE</t>
  </si>
  <si>
    <t>PLUG P/ VÁLVULA SOLENÓIDE DE SISTEMAS DE LUBRIFICAÇÃO SGA SKF - VGEV 11601450</t>
  </si>
  <si>
    <t>276 - LIMPADOR DE COMPONENTE ELETRÔNICO, AEROSSOL 250G - ECSU</t>
  </si>
  <si>
    <t>CORPORATIVO</t>
  </si>
  <si>
    <t>DISTRIBUIDOR PR LINCOLN SSV 12 BLACK CHROMATED BSPP - 619-25731-2</t>
  </si>
  <si>
    <t>DISTRIBUIDOR PR LINCOLN SSV 12 BLACK CHROMATED NPT C/ PIN VISUAL - 619-26648-2</t>
  </si>
  <si>
    <t>UNIDADE DE ÓLEO RESERV. PLÁSTICO 3L 230VAC</t>
  </si>
  <si>
    <t>DISTRIBUIDOR DE ÓLEO LINHA SIMPLES SKF 2 PONTOS 0,03CM^3 - VGAA 342-5VS-22000-ZZ</t>
  </si>
  <si>
    <t>DISTRIBUIDOR DE ÓLEO LINHA SIMPLES SKF 2 PONTOS 0,1CM^3 - VGAA 342-5VS-44000-ZZ</t>
  </si>
  <si>
    <t>REGULADOR DE AR COMPRIMIDO C/ LUBRIFICADOR L17-800-NPDG NORGREN</t>
  </si>
  <si>
    <t>LIMPINOX</t>
  </si>
  <si>
    <t>AWC 785 - LUBRIFICANTE DE SEPARAÇÃO, 500 GRAMAS COM ESCOVA</t>
  </si>
  <si>
    <t>DOSADOR INOX SGA-21-SS - VGAC 12386760</t>
  </si>
  <si>
    <t>UNIDADE. DE LUB. KFG C/ CONTROLADOR S/ ELEMENTO DE BOMBA - 230V - RESERV 6KG - VGBP KFGS3MX1XXXXEB+486</t>
  </si>
  <si>
    <t>DESENGRAXANTE INDUSTRIAL - AEROSOL 274 CHESTERTON 300 GRAMAS</t>
  </si>
  <si>
    <t>REGULADOR DE AR COMPRIMIDO C/ LUBRIFIL SMC AL50-10-8-BCH 1"</t>
  </si>
  <si>
    <t>JOELHO MACHO TUBO 6MM X 1/8" BSPP INOX</t>
  </si>
  <si>
    <t>UNIÃO MACHO 12L 1/4" BSPP AÇO INOX 316</t>
  </si>
  <si>
    <t>BUJAO ALLEN 1/4" BSPP INOX</t>
  </si>
  <si>
    <t>COMERCIAL TJ</t>
  </si>
  <si>
    <t>AW CHESTERTON - 860 MPG - KIT DE VEDAÇÃO DE POLÍMERO MOLDÁVEL (2 AEROSSÓIS E 2 CARTUCHOS)</t>
  </si>
  <si>
    <t>SUPPLY</t>
  </si>
  <si>
    <t>EXPRESS</t>
  </si>
  <si>
    <t>VÁLVULA DE RENTENÇÃO BPSG - VGAC 12383240</t>
  </si>
  <si>
    <t>THOIA</t>
  </si>
  <si>
    <t>MAXPLAST</t>
  </si>
  <si>
    <t>DISTRIBUIDOR DE ÓLEO LINHA SIMPLES SKF MONOFLEX - VGAA 343-444-400-ZZ</t>
  </si>
  <si>
    <t>ADAPTADOR DE REDUÇÃO MACHO M8 X FEMEA 1/8" BSPP INOX</t>
  </si>
  <si>
    <t>LUBSYS</t>
  </si>
  <si>
    <t>MAXILUBE MAX-2-2-115-IF105-R-A - VGBV 12371101</t>
  </si>
  <si>
    <t>UNIDADE DE BOMBEAMENTO P/ SISTEMAS DE LUBRIFICAÇÃO MODELO P203 LT/94024</t>
  </si>
  <si>
    <t>CENTRAL DE CONTROLE SKF LMC 301 110 - 220V - 86501</t>
  </si>
  <si>
    <t xml:space="preserve">DOSADOR ZINCADO SGA-32-ZN - VGAC 12388160 </t>
  </si>
  <si>
    <t>AW CHESTERTON - 800 - FITA GOLDEND®, 3/4 X 540 POL. / 19,1 MM X 13,72 M</t>
  </si>
  <si>
    <t>AW CHESTERTON - 650 LUBRIFICANTE DE MAQUINAS AVANÇADO 475 MILILITROS</t>
  </si>
  <si>
    <t>AW CHESTERTON 720 CCG LUBRICANT  475 ML</t>
  </si>
  <si>
    <t>AW CHESTERTON - 783 ACR - HIGH PERFORMANCE ANTI-SEIZE, 500 GRAM BRUSH TOP</t>
  </si>
  <si>
    <t>725 - COMPOSTO ANTIGRIPANTE DE NÍQUEL, AEROSSOL 350G - ECSU</t>
  </si>
  <si>
    <t>AW CHESTERTON - GRAXA 635SXC SYN COR RES GRS 400GM</t>
  </si>
  <si>
    <t>AWC 625 CXF GRAXA RESISTENTE A CORRSÃO DE EXTREMA PRESSÃO</t>
  </si>
  <si>
    <t>AWC 652 LUBRIFICANTE E CONDICIONADOR PNEUMATICO 475 ML</t>
  </si>
  <si>
    <t>AWC 775 PROTETOR CONTRA UMIDADE AEROSOL CHESTERTON, 350G - ECSU -</t>
  </si>
  <si>
    <t>DISTRIBUIDOR PR LINCOLN SSV 8 BLACK CHROMATED NPT C/ PIN VISUAL - 619-26646-2</t>
  </si>
  <si>
    <t>Multilube 12389936</t>
  </si>
  <si>
    <t>TAMPA E COMPAC. P/12020 S/MANG. (4040-SM)</t>
  </si>
  <si>
    <t>ICOUNTPD - MONITOR DE PARTÍCULAS EM LINHA</t>
  </si>
  <si>
    <t>KIT CABO DE INSTALAÇÃO - ICOUNTPD - PARKER - 2 X 5 METROS M12 - 8 PINOS</t>
  </si>
  <si>
    <t>PROPULSORA PNEUMATICA P/ GRAXA 200 KG S/ TAMPA 13020-MAX-G4</t>
  </si>
  <si>
    <t>PROPULSORA PNEUMÁTICA P/ GRAXA TAMBOR 200KG - 12020 SM G4</t>
  </si>
  <si>
    <t>DISPOSITIVO DE DOSAGEM TRANSVERSAL SÉRIE VP - SKF (VPG3CBXXX-NXX-NXX-NXX)</t>
  </si>
  <si>
    <t>GRAXA P/ROLAMENTO DE ALTA CARGA E EXT. PRESSÃO LGEP 2/18 18KG</t>
  </si>
  <si>
    <t>INJETOR DE ÓLEO C/ 1 SAÍDA- VGAE 501-301-011</t>
  </si>
  <si>
    <t>PISTOLA DE GRAXA ACIONADA POR BATERIA TLGB 20</t>
  </si>
  <si>
    <t>FILTRO GRAXA FFT 400MIC - VGHA 12606550</t>
  </si>
  <si>
    <t>PARKER | VISCOSÍMETRO AQUECIDO PORTÁTIL | #FG-K1-200-KW</t>
  </si>
  <si>
    <t>AW CHESTERTON - 800 - FITA GOLDEND®, 1/2 X 180 POL. / 12,7 MM X 4,57 M</t>
  </si>
  <si>
    <t>AW CHESTERTON - 800 - FITA GOLDEND®, 1/2 X 540 POL. / 12,7 MM X 13,72 M</t>
  </si>
  <si>
    <t>BOMBA MANUAL P/ GRAXA RESERV 5-7KG - 8522 G3</t>
  </si>
  <si>
    <t>LUBRIFICADOR AUTOMÁTICO SYSTEM 24 - LAGD 125/WA2</t>
  </si>
  <si>
    <t>PROPULSORA PNEUMÁTICA P/ GRAXA BALDE 14KG - 11015 G5 STRIKE SYSTEM</t>
  </si>
  <si>
    <t>Kit análise de óleo por membrana S/bomba de vácuo elétrica</t>
  </si>
  <si>
    <t>ITAGUAI</t>
  </si>
  <si>
    <t>AW CHESTERTON - 785 - LUBRIFICANTES DE PARTIDA 200G SPRAY</t>
  </si>
  <si>
    <t>LL/TECDLUB8-1S</t>
  </si>
  <si>
    <t>VALVULA INVERSORA DE LINHA LINCOLN-SKF 618-28387-1</t>
  </si>
  <si>
    <t>RENAVE</t>
  </si>
  <si>
    <t>Kit de instalação para lubrificador de trilho</t>
  </si>
  <si>
    <t>MICRO BOMBA VGAE PVR-003-SP2</t>
  </si>
  <si>
    <t>8/14/2023</t>
  </si>
  <si>
    <t>ELEMENTO DE BOMBA SKF VAZAO 13,75CM^3/MIN - VGBV 11771002</t>
  </si>
  <si>
    <t>8/28/2023</t>
  </si>
  <si>
    <t>ELEMENTO DE BOMBA SKF VAZAO</t>
  </si>
  <si>
    <t>8/30/2023</t>
  </si>
  <si>
    <t>AGENDADO</t>
  </si>
  <si>
    <t>307081-007</t>
  </si>
  <si>
    <t>8/25/2023</t>
  </si>
  <si>
    <t>BOBINA VALVULA SOLENOIDE 24VDC P/ MULTILUBE - VGGE 11601065</t>
  </si>
  <si>
    <t>VALVULA DIRECIONAL (MODELO CARTUCHO)12386245</t>
  </si>
  <si>
    <t>PINO GRAXEIRO RETO M10R  M10X1MM</t>
  </si>
  <si>
    <t>LISTA  DE ITENS</t>
  </si>
  <si>
    <t>MECANIZZA</t>
  </si>
  <si>
    <t xml:space="preserve">SINERGIA </t>
  </si>
  <si>
    <t>GRAXA P/ROLAMENTODE ALTA CARGA E AMPLA TEMPERATURA 18KG - LGEM 2</t>
  </si>
  <si>
    <t>EAB 20 C/ FILTRO RESISTENCTE A ÁGUA - ENVIRONMENTAL AIR FILTERS - FILTRO DE AR - BREATHER 3081792210</t>
  </si>
  <si>
    <t>PARKER TRICEPTOR 9" – RESPIRADOR DE GEL DE SÍLICA - RESPIRADOR DISSECANTE - 934332</t>
  </si>
  <si>
    <t>8/18/2023</t>
  </si>
  <si>
    <t>AGUARDANDO</t>
  </si>
  <si>
    <t>GENEROSO</t>
  </si>
  <si>
    <t>8/21/2023</t>
  </si>
  <si>
    <t>IcountPD (contador de particulas)</t>
  </si>
  <si>
    <t>contad. de partic. p/óleo Hidr (LCM20)</t>
  </si>
  <si>
    <t>Análise de água no óelo (FGK17032PA)</t>
  </si>
  <si>
    <t>SIstema de purificação Guardian</t>
  </si>
  <si>
    <t>8/22/2023</t>
  </si>
  <si>
    <t>DIVISOR DE FLUXO AR+ÓLEO SKF - LL/169-000-254</t>
  </si>
  <si>
    <t>UNIDADE DE BOMB KFG S/ CONTROLADOR 6KG - KFGX3MX1XXXX99+486</t>
  </si>
  <si>
    <t>PINO GRAXEIRO RETO M10</t>
  </si>
  <si>
    <t>FBM</t>
  </si>
  <si>
    <t>BUJÃO DE FECHAMENTO DE SAÍDA BLACK CHROMATED P/ DISTRI SSV E SSVD - 303-17499-3</t>
  </si>
  <si>
    <t>VALVULA RETENÇÃO M10X1 - 6MM ZN P/ DISTRI SSV E SSVD - VGGV 504-30344-4</t>
  </si>
  <si>
    <t>BOMBA DE ENGRENAGEM  VGBB MFE5-4000 1FV</t>
  </si>
  <si>
    <t xml:space="preserve">BOMBA MANUAL P/ GRAXA S/ CARRINHO E RESERV 14KG - 8020 G3 </t>
  </si>
  <si>
    <t>UNIDADE DE FILTRAGEM OFF-LINE SERVILUB</t>
  </si>
  <si>
    <t>SIL</t>
  </si>
  <si>
    <t>Sistema de lubrificação centralizada progressivo para 4 pontos.</t>
  </si>
  <si>
    <t>KFGL3MF1AXXBEB+486 unidade de bombeio KFG</t>
  </si>
  <si>
    <t>ELEMENTO DE BOMBA</t>
  </si>
  <si>
    <t>REPARO FLOWLINE 13120487</t>
  </si>
  <si>
    <t>PLACA ELETRONICA FLOWLINE 12501460</t>
  </si>
  <si>
    <t>PLACA ELETRONICA FLOWLINE 13500360</t>
  </si>
  <si>
    <t>PLACA ELETRONICA FLOWLINE 13500323</t>
  </si>
  <si>
    <t>INTERFACE IF 105 P/ MAXLUBE - VGEV 12501480</t>
  </si>
  <si>
    <t>INDICADOR DE NÍVEL 185L P/ MULTILUBE - VGBV 11771545</t>
  </si>
  <si>
    <t>INDICADOR DE NÍVEL 365L P/ MULTILUBE - VGBV 11771548</t>
  </si>
  <si>
    <t>CHAVE DE NIVEL BAIXO - MLP - LL/11770475</t>
  </si>
  <si>
    <t>TERMOSTATO P/ MULTILUBE - VGBV 10543105</t>
  </si>
  <si>
    <t>MOTOR ELETRICO SKF- LL/11540100</t>
  </si>
  <si>
    <t>ELEMENTO DE BOMBA 600-26876-2 K6</t>
  </si>
  <si>
    <t>9/19/2023</t>
  </si>
  <si>
    <t>VALVULA DIRECIONAL (MODELO CARTUCHO) OD.14.40.58-30-00 P/ MULTILUBE - VGGE 11600964</t>
  </si>
  <si>
    <t>9/20/2023</t>
  </si>
  <si>
    <t>DELLAVOLPE</t>
  </si>
  <si>
    <t>376550-007</t>
  </si>
  <si>
    <t>9/22/2023</t>
  </si>
  <si>
    <t>PLACA BASE ALUMÍNIO BPSG-05-AL - VGAC 12383450</t>
  </si>
  <si>
    <t>DOSADOR ZN 31 VGAC 12388110</t>
  </si>
  <si>
    <t>PLACA DE FECHAMENTO PARA MONTAGEM DE VÁLV. DOSADORA - VGAC 12386350</t>
  </si>
  <si>
    <t>CABO ACELEROMETRO SKF - CMSS 942-SY-150</t>
  </si>
  <si>
    <t>UNIÃO IGUAL, SÉRIE LEVE, 6MM, DIN 2353/ISO 8434-1, INOX 316L FLUDI 6L E AG</t>
  </si>
  <si>
    <t>ZONA</t>
  </si>
  <si>
    <t>BOMBA P203 2KG 230V 0,8CM³/MIN</t>
  </si>
  <si>
    <t>BOMBA P205 8KG 440V 0,93CM³/MIN</t>
  </si>
  <si>
    <t>BOMBA P205 4KG 440V 0,675CM³/MIN</t>
  </si>
  <si>
    <t>BOMBA P205 5KG 440V 0,630CM³/MIN RESERVATÓRIO DE METAL</t>
  </si>
  <si>
    <t>2997-A</t>
  </si>
  <si>
    <t>9/15/2023</t>
  </si>
  <si>
    <t>9/18/2023</t>
  </si>
  <si>
    <t>365483-007</t>
  </si>
  <si>
    <t>Dellavolpe</t>
  </si>
  <si>
    <t>367444 - 007</t>
  </si>
  <si>
    <t>AGUARDADO</t>
  </si>
  <si>
    <t>VALVULA DIRECIONAL OD.14.40.58.58-30-00</t>
  </si>
  <si>
    <t>ELEMENTO DE BOMBA K6 P/ LINCOLN P203 - LL/600-26876-2</t>
  </si>
  <si>
    <t>9/27/2023</t>
  </si>
  <si>
    <t>9/28/2023</t>
  </si>
  <si>
    <t>389193 - 007</t>
  </si>
  <si>
    <t>398155-007</t>
  </si>
  <si>
    <t>TERMINAL PONTA LISA 8MM 11650350</t>
  </si>
  <si>
    <t>398255-007</t>
  </si>
  <si>
    <t>SGA 011-SS 12386560</t>
  </si>
  <si>
    <t>SGA 011-SS 12386660</t>
  </si>
  <si>
    <t>388655 - 007</t>
  </si>
  <si>
    <t>28/092023</t>
  </si>
  <si>
    <t>375229-07</t>
  </si>
  <si>
    <t>37559-07</t>
  </si>
  <si>
    <t>EVONIK</t>
  </si>
  <si>
    <t>ENGRAXADEIRA TLGB 20 SKF</t>
  </si>
  <si>
    <t>ENGRAXADEIRA MILWAUKEE 12V 8000PSI</t>
  </si>
  <si>
    <t>SERVILUB</t>
  </si>
  <si>
    <t>BOMBA ELETRICA SKF 0,5L/MIN M5-2036+1CR</t>
  </si>
  <si>
    <t>BOMBA ELETRICA SKF 0,5L/MIN M5-2000+299</t>
  </si>
  <si>
    <t>409387-007</t>
  </si>
  <si>
    <t>LAGD 125/WA2</t>
  </si>
  <si>
    <t>9/25/2023</t>
  </si>
  <si>
    <t>NORTES</t>
  </si>
  <si>
    <t>PROCESSANDO</t>
  </si>
  <si>
    <t>FERBASA</t>
  </si>
  <si>
    <t>9/26/2023</t>
  </si>
  <si>
    <t>UNIÃO DUPLA DE AÇO CARBONO LINCOLN P/ TUBO 6MM - 223-12482-9</t>
  </si>
  <si>
    <t>VALVULA INVERSÓRA VCIR-40</t>
  </si>
  <si>
    <t>DOSADORES LINHA DUPLA</t>
  </si>
  <si>
    <t>PULMAO DE DISTRIBUICAO DE AR</t>
  </si>
  <si>
    <t>BOMBA PROPULSORA LINCOLN 84804+84991</t>
  </si>
  <si>
    <t xml:space="preserve">ICSK </t>
  </si>
  <si>
    <t>ICOUNTPD - DETECTOR DE PARTÍCULAS ON-LINE - LCD</t>
  </si>
  <si>
    <t>PARKER ACC6NN014 - 2 X 5 METROS M12 - KIT DE CABO DE 8 PINOS - ICOUNTPD</t>
  </si>
  <si>
    <t>PARKER ACC6NN019 - DISPOSITIVO AUXILIAR DE FLUXO - ICOUNTPD</t>
  </si>
  <si>
    <t>PARKER S840074 - DISPOSITIVO DE CONTROLE DE FLUXO</t>
  </si>
  <si>
    <t>SENSOR INDUTIVO 10-60V DS-10MM M50 PS1030GI50N4EX</t>
  </si>
  <si>
    <t>CABO 5 POLOS MAT95500070.100.0.M - EX</t>
  </si>
  <si>
    <t>CAIXA DE JUNÇAO (PASSAGEM) A PROVA DE EXPLOSÃO C/ BORNES</t>
  </si>
  <si>
    <t>CABO CHAINFLEX PUR (14X0,34)C - EX</t>
  </si>
  <si>
    <t>SUPORTES E CALDEIRARIAS</t>
  </si>
  <si>
    <t>COMPONENTES ELETRONCOS</t>
  </si>
  <si>
    <t>LUBRIFICADOR NORGREN</t>
  </si>
  <si>
    <t>415901-007</t>
  </si>
  <si>
    <t>437718-007</t>
  </si>
  <si>
    <t>13/0/2023</t>
  </si>
  <si>
    <t>408767-007</t>
  </si>
  <si>
    <t>AWC 725 NICKEL ANTI-SEIZE COMPOUND 500G</t>
  </si>
  <si>
    <t>226834/587006</t>
  </si>
  <si>
    <t>9/29/2023</t>
  </si>
  <si>
    <t>Modular</t>
  </si>
  <si>
    <t>ACOPLADOR FIXO TIPO BOTÃO 16MM X FEMEA 1/8" NPT 27FIOS</t>
  </si>
  <si>
    <t>PINO GRAXEIRO BOTÃO 16MM X 3/8"BSP 19 FIOS GALVANIZADO</t>
  </si>
  <si>
    <t xml:space="preserve">EVONIK </t>
  </si>
  <si>
    <t xml:space="preserve">460126 - 007 </t>
  </si>
  <si>
    <t>GIACOMPEC</t>
  </si>
  <si>
    <t>04/20/2023</t>
  </si>
  <si>
    <t>470196-007</t>
  </si>
  <si>
    <t>CONEXÃO MACHO  1/4"X6MM OD PARA TUBO DE 6MM BSP LAPF M1/4S</t>
  </si>
  <si>
    <t>438300-007</t>
  </si>
  <si>
    <t>DOSADOR ZINCADO SGA-12-SS  12386710</t>
  </si>
  <si>
    <t xml:space="preserve">461467 - 007 </t>
  </si>
  <si>
    <t xml:space="preserve">461402 - 007 </t>
  </si>
  <si>
    <t>DOSADOR INOX SGA-12-SS  12386710</t>
  </si>
  <si>
    <t>461875 - 007</t>
  </si>
  <si>
    <t>2508-A</t>
  </si>
  <si>
    <t>ACOPLADOR COM TRAVAS BOZZA 310C</t>
  </si>
  <si>
    <t>2542-A</t>
  </si>
  <si>
    <t>2605-A</t>
  </si>
  <si>
    <t>PULVERIZADOR C/RESERVATÓRIO DE PLASTICO BOZZA</t>
  </si>
  <si>
    <t>2606/A</t>
  </si>
  <si>
    <t>LUVA ROSCADA 11651080</t>
  </si>
  <si>
    <t>CONECTOR MACHO RETO 12805020</t>
  </si>
  <si>
    <t>CAPA DE PROTEÇÃO 12770550</t>
  </si>
  <si>
    <t>PLACA BASE 06-AL 12383500</t>
  </si>
  <si>
    <t>PLACA BASE 01-AL 12383250</t>
  </si>
  <si>
    <t>MACHO RETO COM CONEXÃO RÁPIDA M1/4S</t>
  </si>
  <si>
    <t>2609-A</t>
  </si>
  <si>
    <t>2651A</t>
  </si>
  <si>
    <t>2658-A</t>
  </si>
  <si>
    <t>LUBRIFICADOR NORGREN L64C6GPEDN</t>
  </si>
  <si>
    <t>2707-A</t>
  </si>
  <si>
    <t>2712-A</t>
  </si>
  <si>
    <t>BICO DISTRIBUIDOR ARTICULADO COMPLETO</t>
  </si>
  <si>
    <t>2787-A</t>
  </si>
  <si>
    <t>ELEMENT DE BOMBA SKF VAZAO 13,75CM^3/MIN - VGBV 11771002</t>
  </si>
  <si>
    <t>PLACA DE CIRCUITO ST 105-A P/ MAXLUBE- VGEP 12501460</t>
  </si>
  <si>
    <t>2810-A</t>
  </si>
  <si>
    <t>TERMINAL PONTA LISA 8MM AÇO CARB GALV VGKA 11650340</t>
  </si>
  <si>
    <t>TERMINAL PONT LISA 90° 8MM AÇO CARB.GALVVGKA 11650350</t>
  </si>
  <si>
    <t>2830-A</t>
  </si>
  <si>
    <t>2871-A</t>
  </si>
  <si>
    <t>JOELHO MACHO TUBO 6MM (LL=M10) X 1/8 BSPP - LL/12805740</t>
  </si>
  <si>
    <t>CONECTOR MACHO RETO GE/PEL 12L R1/4 SS INOX - VGKA 12805080</t>
  </si>
  <si>
    <t>REDUÇÃO M8 X 1/8" (até o momento sem identificação do código)</t>
  </si>
  <si>
    <t>2926-A</t>
  </si>
  <si>
    <t>2935-A</t>
  </si>
  <si>
    <t>2938-A</t>
  </si>
  <si>
    <t>GRAXA P/ROLAMENTODE ALTA CARGA E AMPLA TEMPERATURA 180KG - LGEM 2</t>
  </si>
  <si>
    <t>2992A</t>
  </si>
  <si>
    <t>388375 - 007</t>
  </si>
  <si>
    <t>2994A</t>
  </si>
  <si>
    <t>388155 - 007</t>
  </si>
  <si>
    <t>DOSADOR ZINCADO SGA-011-ZN - VGAC 12387460</t>
  </si>
  <si>
    <t>CARRO PROPRIO</t>
  </si>
  <si>
    <t>MANGUEIRA 1" 100R1 AT</t>
  </si>
  <si>
    <t>MANGUEIRA 3/4" 100R6 AT</t>
  </si>
  <si>
    <t>UNIÃO GIRATORIA 1” NPT</t>
  </si>
  <si>
    <t>UNIÃO DE REDUÇÃO 1" PARA 3/4"</t>
  </si>
  <si>
    <t>ADAPTADOR MACHO MACHO TB 3/4 X 3/4 NPT AÇO</t>
  </si>
  <si>
    <t xml:space="preserve">Cliente </t>
  </si>
  <si>
    <t xml:space="preserve">Ordem de compra </t>
  </si>
  <si>
    <t xml:space="preserve">Descrição </t>
  </si>
  <si>
    <t>Data de faturamento</t>
  </si>
  <si>
    <t>Previsão de entrega cliente</t>
  </si>
  <si>
    <t>Obs</t>
  </si>
  <si>
    <t xml:space="preserve">Proximo da data de chegada </t>
  </si>
  <si>
    <t xml:space="preserve">Sem data de chegada </t>
  </si>
  <si>
    <t xml:space="preserve">Não consta no WCL </t>
  </si>
  <si>
    <t xml:space="preserve">Em atraso </t>
  </si>
  <si>
    <t xml:space="preserve">Arcelor </t>
  </si>
  <si>
    <t>OC-1925</t>
  </si>
  <si>
    <t xml:space="preserve">Filtro 528-31341-3 </t>
  </si>
  <si>
    <t>Arcelor/estoque</t>
  </si>
  <si>
    <t>OC-2084</t>
  </si>
  <si>
    <t>OC-2036</t>
  </si>
  <si>
    <t>29/02/2023</t>
  </si>
  <si>
    <t>BOK</t>
  </si>
  <si>
    <t>OC-2050</t>
  </si>
  <si>
    <t>VCI-R40-A-1-2-3-EX</t>
  </si>
  <si>
    <t>LL/CB-133</t>
  </si>
  <si>
    <t>RPI</t>
  </si>
  <si>
    <t xml:space="preserve">ECB-DC-42-450A04 </t>
  </si>
  <si>
    <t>Klabin</t>
  </si>
  <si>
    <t>OC-2083</t>
  </si>
  <si>
    <t>RBK</t>
  </si>
  <si>
    <t>OC-2187</t>
  </si>
  <si>
    <t>619-77345-1</t>
  </si>
  <si>
    <t>619-77346-1</t>
  </si>
  <si>
    <t>Veracel</t>
  </si>
  <si>
    <t>OC-2358</t>
  </si>
  <si>
    <t>LL/11650070 (90)</t>
  </si>
  <si>
    <t xml:space="preserve">Estoque </t>
  </si>
  <si>
    <t>OC-2365/2871</t>
  </si>
  <si>
    <t xml:space="preserve">Sylvamo </t>
  </si>
  <si>
    <t>OC-2492</t>
  </si>
  <si>
    <t>LL/13500310 (5)</t>
  </si>
  <si>
    <t>SHS</t>
  </si>
  <si>
    <t>OC-2495</t>
  </si>
  <si>
    <t>Elemento bomba 11771002</t>
  </si>
  <si>
    <t>OC-2530</t>
  </si>
  <si>
    <t>LL/11500710</t>
  </si>
  <si>
    <t>ENT</t>
  </si>
  <si>
    <t>Suzano</t>
  </si>
  <si>
    <t>OC-2536</t>
  </si>
  <si>
    <t>LL/12384450</t>
  </si>
  <si>
    <t>LL/12384400</t>
  </si>
  <si>
    <t>OC-2553</t>
  </si>
  <si>
    <t>kfgx3mx1xxxx99-924</t>
  </si>
  <si>
    <t>ALL</t>
  </si>
  <si>
    <t>OC-2685</t>
  </si>
  <si>
    <t>600-25047-3</t>
  </si>
  <si>
    <t>OC-2693</t>
  </si>
  <si>
    <t>OC-2701</t>
  </si>
  <si>
    <t>LL/12385331</t>
  </si>
  <si>
    <t>OC-2720</t>
  </si>
  <si>
    <t>OC-2775</t>
  </si>
  <si>
    <t>OC-2824</t>
  </si>
  <si>
    <t>Joelho Milano</t>
  </si>
  <si>
    <t>Insumo</t>
  </si>
  <si>
    <t>OC-2868</t>
  </si>
  <si>
    <t>LL/12643170</t>
  </si>
  <si>
    <t>Montar o conector 223-12482-9</t>
  </si>
  <si>
    <t>LL/12643010</t>
  </si>
  <si>
    <t xml:space="preserve">Suzano </t>
  </si>
  <si>
    <t>OC-3175</t>
  </si>
  <si>
    <t>Pino graxeiro M8X1 mm (50 UN)</t>
  </si>
  <si>
    <t>RF</t>
  </si>
  <si>
    <t>Pino graxeiro M8X1 mm</t>
  </si>
  <si>
    <t>Pino graxeiro 1/2 RI NPT 1/4</t>
  </si>
  <si>
    <t>OC-1158</t>
  </si>
  <si>
    <t>Valvula 161-210-012</t>
  </si>
  <si>
    <t>OC-1475</t>
  </si>
  <si>
    <t>KFGX3MXXXXXX99+486</t>
  </si>
  <si>
    <t>OC-1704</t>
  </si>
  <si>
    <t>LL/12643400</t>
  </si>
  <si>
    <t>OC-1285</t>
  </si>
  <si>
    <t>KFGX3MXXXXXX99 486</t>
  </si>
  <si>
    <t>OC-1252</t>
  </si>
  <si>
    <t>528-31341-3</t>
  </si>
  <si>
    <t>Filtro 528-31341-3 (4)</t>
  </si>
  <si>
    <t>Filtro 528-31341-3 (3)</t>
  </si>
  <si>
    <t>OC-2238</t>
  </si>
  <si>
    <t>LL/11501000</t>
  </si>
  <si>
    <t>LL/12644020</t>
  </si>
  <si>
    <t>LL/12805800</t>
  </si>
  <si>
    <t>LL/12805160</t>
  </si>
  <si>
    <t xml:space="preserve"> LL/13120472 (10)</t>
  </si>
  <si>
    <t>VGAF 13120480 (10)</t>
  </si>
  <si>
    <t xml:space="preserve"> LL/13500323 (1)</t>
  </si>
  <si>
    <t>SENSORES LL/13500324 (1)</t>
  </si>
  <si>
    <t xml:space="preserve"> FLOWLINE FL LL/13500360 (3)</t>
  </si>
  <si>
    <t>FLOWLINE LL/13500322 (1)</t>
  </si>
  <si>
    <t>PLACA   LL/13500375 (1)</t>
  </si>
  <si>
    <t>LL/12383500</t>
  </si>
  <si>
    <t>Samarco</t>
  </si>
  <si>
    <t>KFG1.U1</t>
  </si>
  <si>
    <t>OC-2848</t>
  </si>
  <si>
    <t>LL/84509</t>
  </si>
  <si>
    <t>CANCELADA</t>
  </si>
  <si>
    <t>OC-2811</t>
  </si>
  <si>
    <t>LL/84804</t>
  </si>
  <si>
    <t>LL/84991</t>
  </si>
  <si>
    <t>OC-2082</t>
  </si>
  <si>
    <t>KFG1.U0</t>
  </si>
  <si>
    <t>OC-2302</t>
  </si>
  <si>
    <t>LL/12770850</t>
  </si>
  <si>
    <t>OC-2306</t>
  </si>
  <si>
    <t>TLGB-20-3</t>
  </si>
  <si>
    <t>TLGB-20-4</t>
  </si>
  <si>
    <t xml:space="preserve">115  insumo </t>
  </si>
  <si>
    <t>OC-2505</t>
  </si>
  <si>
    <t>LL/11650324 (50)</t>
  </si>
  <si>
    <t>LL/12770850 (17)</t>
  </si>
  <si>
    <t>LL/11650324</t>
  </si>
  <si>
    <t>OC-2561</t>
  </si>
  <si>
    <t>619-27122-1</t>
  </si>
  <si>
    <t>LL/86501</t>
  </si>
  <si>
    <t>OC-2104</t>
  </si>
  <si>
    <t>OC-2220</t>
  </si>
  <si>
    <t>LT/94024</t>
  </si>
  <si>
    <t>OC-2327</t>
  </si>
  <si>
    <t>Terminal TLR6</t>
  </si>
  <si>
    <t xml:space="preserve">Milano </t>
  </si>
  <si>
    <t>OK</t>
  </si>
  <si>
    <t>OC-2391</t>
  </si>
  <si>
    <t>CMSS 942-LCI-SY-05M</t>
  </si>
  <si>
    <t>OC-1510</t>
  </si>
  <si>
    <t>ST 11500700</t>
  </si>
  <si>
    <t>OC-1653</t>
  </si>
  <si>
    <t>OC-1731</t>
  </si>
  <si>
    <t>LL/12643610</t>
  </si>
  <si>
    <t>Arcelor</t>
  </si>
  <si>
    <t>OC-2042</t>
  </si>
  <si>
    <t>PINO GRAXEIRO 1/4"</t>
  </si>
  <si>
    <t>PINO GRAXEIRO 1/8</t>
  </si>
  <si>
    <t>OC-1411</t>
  </si>
  <si>
    <t>LL/83667</t>
  </si>
  <si>
    <t>LL/12605240</t>
  </si>
  <si>
    <t>LL/12386660</t>
  </si>
  <si>
    <t>LL/11771002</t>
  </si>
  <si>
    <t>OC-1106</t>
  </si>
  <si>
    <t>LL/11651070</t>
  </si>
  <si>
    <t>LL/12383350</t>
  </si>
  <si>
    <t>OC-1093</t>
  </si>
  <si>
    <t>LL/11500700</t>
  </si>
  <si>
    <t>OC-1189</t>
  </si>
  <si>
    <t>LL/12387560</t>
  </si>
  <si>
    <t>LL/12387610</t>
  </si>
  <si>
    <t>1030/1042/1175/2091</t>
  </si>
  <si>
    <t>LL/12386810</t>
  </si>
  <si>
    <t>LL/12389934</t>
  </si>
  <si>
    <t>OC-1327</t>
  </si>
  <si>
    <t>LL/12389918</t>
  </si>
  <si>
    <t>OC 2091</t>
  </si>
  <si>
    <t>LL/12641040</t>
  </si>
  <si>
    <t>OC-979</t>
  </si>
  <si>
    <t>OC 976/1032</t>
  </si>
  <si>
    <t>OC 943</t>
  </si>
  <si>
    <t>LL/11771548</t>
  </si>
  <si>
    <t>LL/12383250</t>
  </si>
  <si>
    <t>LL/11600965</t>
  </si>
  <si>
    <t>OC 1976</t>
  </si>
  <si>
    <t>LL/12386560</t>
  </si>
  <si>
    <t>OC-1092</t>
  </si>
  <si>
    <t>LL/12387460</t>
  </si>
  <si>
    <t>OC-1031</t>
  </si>
  <si>
    <t>LL/12387510</t>
  </si>
  <si>
    <t>OC-1009/1020</t>
  </si>
  <si>
    <t>LL/12386710</t>
  </si>
  <si>
    <t>LL/12386760</t>
  </si>
  <si>
    <t>OC-939 4 UN</t>
  </si>
  <si>
    <t>LL/12387660</t>
  </si>
  <si>
    <t>OC-1008/1089</t>
  </si>
  <si>
    <t>LL/12387710</t>
  </si>
  <si>
    <t>OC-1030/1042</t>
  </si>
  <si>
    <t>LL/12383300</t>
  </si>
  <si>
    <t>OC-979/1036</t>
  </si>
  <si>
    <t>LL/12770650</t>
  </si>
  <si>
    <t>LL/12383400</t>
  </si>
  <si>
    <t>LL/12383450</t>
  </si>
  <si>
    <t>OC-1936</t>
  </si>
  <si>
    <t xml:space="preserve">Respiro Lupus </t>
  </si>
  <si>
    <t>OC-1771</t>
  </si>
  <si>
    <t>OC-1190</t>
  </si>
  <si>
    <t>Bomba LL/082054</t>
  </si>
  <si>
    <t>OC-1512</t>
  </si>
  <si>
    <t xml:space="preserve">Data engenharia </t>
  </si>
  <si>
    <t>OC-1124</t>
  </si>
  <si>
    <t>LT/1861</t>
  </si>
  <si>
    <t>OC-1224</t>
  </si>
  <si>
    <t>Valvula OD 11600965</t>
  </si>
  <si>
    <t>OC-1248</t>
  </si>
  <si>
    <t>Placa 12384450</t>
  </si>
  <si>
    <t>Placa 12384400</t>
  </si>
  <si>
    <t>OC-1138</t>
  </si>
  <si>
    <t>distribuidor VPBM 4</t>
  </si>
  <si>
    <t>OC-1165/1172</t>
  </si>
  <si>
    <t>OC-1142</t>
  </si>
  <si>
    <t>indicador 11771548</t>
  </si>
  <si>
    <t>bucha 12401220</t>
  </si>
  <si>
    <t>luva 11651080</t>
  </si>
  <si>
    <t>filtro 11770415</t>
  </si>
  <si>
    <t>OC-1144</t>
  </si>
  <si>
    <t>terminal 11650350</t>
  </si>
  <si>
    <t>terminal 11650340</t>
  </si>
  <si>
    <t>OC-1159</t>
  </si>
  <si>
    <t>conector 12805410</t>
  </si>
  <si>
    <t>conector 12805020</t>
  </si>
  <si>
    <t>Terminal 11650326</t>
  </si>
  <si>
    <t>OC-1171</t>
  </si>
  <si>
    <t>OC-1176</t>
  </si>
  <si>
    <t>Valvula 12386245</t>
  </si>
  <si>
    <t>OC-1205</t>
  </si>
  <si>
    <t xml:space="preserve">Dosador 12386760 </t>
  </si>
  <si>
    <t>Placa 12383450</t>
  </si>
  <si>
    <t>OC-1240/1290</t>
  </si>
  <si>
    <t>12643170 (70)</t>
  </si>
  <si>
    <t>OC-1240</t>
  </si>
  <si>
    <t>12643170 (50)</t>
  </si>
  <si>
    <t>OC-1270</t>
  </si>
  <si>
    <t>619-26473-1</t>
  </si>
  <si>
    <t>OC-1151</t>
  </si>
  <si>
    <t>regulador 12605355</t>
  </si>
  <si>
    <t>OC-1320</t>
  </si>
  <si>
    <t>VGBV 12800010</t>
  </si>
  <si>
    <t>2022-06-07</t>
  </si>
  <si>
    <t>LL/12660400</t>
  </si>
  <si>
    <t>LL/12771850</t>
  </si>
  <si>
    <t>VGBV 12502336</t>
  </si>
  <si>
    <t>LL/12662900</t>
  </si>
  <si>
    <t>LL/12660682</t>
  </si>
  <si>
    <t>LL/12661600</t>
  </si>
  <si>
    <t>VGBP KFGS3MX1XXXXEB 486</t>
  </si>
  <si>
    <t>528-31341-3 (5)</t>
  </si>
  <si>
    <t>Sanequip</t>
  </si>
  <si>
    <t>OC-1088</t>
  </si>
  <si>
    <t xml:space="preserve">bomba MFE5-4000 1FV </t>
  </si>
  <si>
    <t>OC-1134</t>
  </si>
  <si>
    <t>OC-1152</t>
  </si>
  <si>
    <t>OC-1429</t>
  </si>
  <si>
    <t>Laos 062567</t>
  </si>
  <si>
    <t>OC-1137</t>
  </si>
  <si>
    <t>OC-951</t>
  </si>
  <si>
    <t>bujão 12644585</t>
  </si>
  <si>
    <t>OC-1063</t>
  </si>
  <si>
    <t xml:space="preserve">anilha 12643010 </t>
  </si>
  <si>
    <t>OC-809</t>
  </si>
  <si>
    <t>339359-C1</t>
  </si>
  <si>
    <t>OC-853</t>
  </si>
  <si>
    <t>Ball</t>
  </si>
  <si>
    <t>OC-855</t>
  </si>
  <si>
    <t>LL/244802</t>
  </si>
  <si>
    <t>LL/241768</t>
  </si>
  <si>
    <t>LL/242787</t>
  </si>
  <si>
    <t>OC-1089</t>
  </si>
  <si>
    <t>OC-977</t>
  </si>
  <si>
    <t xml:space="preserve">LL/12384350 </t>
  </si>
  <si>
    <t>OC-942</t>
  </si>
  <si>
    <t>11771548 (2)</t>
  </si>
  <si>
    <t>OC-1071</t>
  </si>
  <si>
    <t>Fibrasa</t>
  </si>
  <si>
    <t>OC-1049</t>
  </si>
  <si>
    <t>INJETOR 501-301-011</t>
  </si>
  <si>
    <t xml:space="preserve">Oficina </t>
  </si>
  <si>
    <t>OC-794</t>
  </si>
  <si>
    <t>LL/600-25047-3</t>
  </si>
  <si>
    <t>LAPF 1M/4S</t>
  </si>
  <si>
    <t xml:space="preserve">Sayama </t>
  </si>
  <si>
    <t>OC-916</t>
  </si>
  <si>
    <t>LL/11651087</t>
  </si>
  <si>
    <t>OC-914</t>
  </si>
  <si>
    <t>LL/11643400</t>
  </si>
  <si>
    <t>OC-904/906</t>
  </si>
  <si>
    <t>VGAV/12770650 (64)</t>
  </si>
  <si>
    <t>OC-819</t>
  </si>
  <si>
    <t>OC-804</t>
  </si>
  <si>
    <t>LL/628-25463-1 (197)</t>
  </si>
  <si>
    <t>LL/628-25463-1 (3)</t>
  </si>
  <si>
    <t>Gartec</t>
  </si>
  <si>
    <t>OC-870</t>
  </si>
  <si>
    <t xml:space="preserve">343-400-44400-ZZ </t>
  </si>
  <si>
    <t>OC-1076</t>
  </si>
  <si>
    <t>OC-935 US</t>
  </si>
  <si>
    <t>432-24162-1</t>
  </si>
  <si>
    <t>OC-884</t>
  </si>
  <si>
    <t xml:space="preserve">Ele e eu </t>
  </si>
  <si>
    <t>OC-796</t>
  </si>
  <si>
    <t>LL/241680</t>
  </si>
  <si>
    <t>OC-960</t>
  </si>
  <si>
    <t>619-26648-2</t>
  </si>
  <si>
    <t>LL/20029-OLD</t>
  </si>
  <si>
    <t>OC-893</t>
  </si>
  <si>
    <t>505-36089-1</t>
  </si>
  <si>
    <t>OC-1072 US</t>
  </si>
  <si>
    <t>OC-1067 US</t>
  </si>
  <si>
    <t>LL/85770-4</t>
  </si>
  <si>
    <t>LL/10182</t>
  </si>
  <si>
    <t>LL/080090</t>
  </si>
  <si>
    <t>226-14105-5</t>
  </si>
  <si>
    <t>432-23031-1</t>
  </si>
  <si>
    <t>532-30739-1</t>
  </si>
  <si>
    <t>223-13620-4</t>
  </si>
  <si>
    <t xml:space="preserve">LL/12387610 </t>
  </si>
  <si>
    <t>OC-938</t>
  </si>
  <si>
    <t>SGA-11-SS DOSER</t>
  </si>
  <si>
    <t>OC-861</t>
  </si>
  <si>
    <t>KFG1.U0-OLD (2)</t>
  </si>
  <si>
    <t>VGAV/12770650 (36)</t>
  </si>
  <si>
    <t xml:space="preserve">Eldorado </t>
  </si>
  <si>
    <t>OC-967</t>
  </si>
  <si>
    <t xml:space="preserve"> TMAS 50-100</t>
  </si>
  <si>
    <t>OC-1065</t>
  </si>
  <si>
    <t>Descrição</t>
  </si>
  <si>
    <t>Quantidade</t>
  </si>
  <si>
    <t xml:space="preserve">Data de chegada </t>
  </si>
  <si>
    <t>OC-1867</t>
  </si>
  <si>
    <t>LL/85770-2</t>
  </si>
  <si>
    <t>LL/85770-3</t>
  </si>
  <si>
    <t>LL/85770-5</t>
  </si>
  <si>
    <t>OC-1582</t>
  </si>
  <si>
    <t>85770-4</t>
  </si>
  <si>
    <t>OC-1973 US</t>
  </si>
  <si>
    <t>85770-5</t>
  </si>
  <si>
    <t>OC-2776</t>
  </si>
  <si>
    <t>LL/90471</t>
  </si>
  <si>
    <t>LL/223-12270-7</t>
  </si>
  <si>
    <t>LL/113-35075-3</t>
  </si>
  <si>
    <t>OC-1279 US</t>
  </si>
  <si>
    <t>LL/271249</t>
  </si>
  <si>
    <t>OC-2411</t>
  </si>
  <si>
    <t>LL/223-13620-4</t>
  </si>
  <si>
    <t>LL/85770-1</t>
  </si>
  <si>
    <t>OC-1222 US</t>
  </si>
  <si>
    <t>LL/94024 C</t>
  </si>
  <si>
    <t>LL/094424 C</t>
  </si>
  <si>
    <t>LL/619-27122-1</t>
  </si>
  <si>
    <t>094424 C</t>
  </si>
  <si>
    <t>LL/600-26877-2</t>
  </si>
  <si>
    <t>OC-2569</t>
  </si>
  <si>
    <t>LL/80090</t>
  </si>
  <si>
    <t>600-26877-2</t>
  </si>
  <si>
    <t>OC-1457 US</t>
  </si>
  <si>
    <t>OC-1334 US</t>
  </si>
  <si>
    <t>LL/278931</t>
  </si>
  <si>
    <t>OC-2105</t>
  </si>
  <si>
    <t>GHT</t>
  </si>
  <si>
    <t>OC-2100</t>
  </si>
  <si>
    <t>OC-1581/2</t>
  </si>
  <si>
    <t>LL/111-35114-1</t>
  </si>
  <si>
    <t xml:space="preserve">OC-1581 </t>
  </si>
  <si>
    <t>LL/223-12273-6</t>
  </si>
  <si>
    <t>LL/223-12482-9</t>
  </si>
  <si>
    <t xml:space="preserve">OC-1581/2 </t>
  </si>
  <si>
    <t>223-12273-6</t>
  </si>
  <si>
    <t>LL/226-14105-5</t>
  </si>
  <si>
    <t>LL/624-28892-1</t>
  </si>
  <si>
    <t>OC-1396 US</t>
  </si>
  <si>
    <t>LL/619-26648-2</t>
  </si>
  <si>
    <t>LL/532-30739-1</t>
  </si>
  <si>
    <t>LL/432-23031-1</t>
  </si>
  <si>
    <t>LL/10181</t>
  </si>
  <si>
    <t>20028-OLD</t>
  </si>
  <si>
    <t>LL/249520 LL/271249</t>
  </si>
  <si>
    <t>LT/20028</t>
  </si>
  <si>
    <t>1570853</t>
  </si>
  <si>
    <t>OC-1241</t>
  </si>
  <si>
    <t>LL/619-26646-2</t>
  </si>
  <si>
    <t>OC-1102</t>
  </si>
  <si>
    <t>OC-1103</t>
  </si>
  <si>
    <t>LL/247023</t>
  </si>
  <si>
    <t>LT/20029</t>
  </si>
  <si>
    <t>619-26646-2</t>
  </si>
  <si>
    <t xml:space="preserve">OC-1202 </t>
  </si>
  <si>
    <t>LL/432-24162-1</t>
  </si>
  <si>
    <t>LT/67448</t>
  </si>
  <si>
    <t>LL/303-17499-3</t>
  </si>
  <si>
    <t>LL/504-30344-4</t>
  </si>
  <si>
    <t>Data faturamento</t>
  </si>
  <si>
    <t>Status</t>
  </si>
  <si>
    <t>OC-2474</t>
  </si>
  <si>
    <t>NO</t>
  </si>
  <si>
    <t>SGA-22-SS DOSER</t>
  </si>
  <si>
    <t>B</t>
  </si>
  <si>
    <t>2022-11-14</t>
  </si>
  <si>
    <t>2023-04-30</t>
  </si>
  <si>
    <t>SGA-21-SS DOSER</t>
  </si>
  <si>
    <t>2023-05-27</t>
  </si>
  <si>
    <t>2023-01-04</t>
  </si>
  <si>
    <t>2023-05-31</t>
  </si>
  <si>
    <t>LL/12386610</t>
  </si>
  <si>
    <t>SGA-012-SS DOSER</t>
  </si>
  <si>
    <t>SGA-011-SS DOSER</t>
  </si>
  <si>
    <t>SGA-22-ZN DOSER</t>
  </si>
  <si>
    <t>SGA-21-ZN DOSER</t>
  </si>
  <si>
    <t>SGA-12-ZN DOSER</t>
  </si>
  <si>
    <t>2023-04-13</t>
  </si>
  <si>
    <t>SGA-11-ZN DOSER</t>
  </si>
  <si>
    <t>2023-05-29</t>
  </si>
  <si>
    <t>SLEEVE ZN PA8/4</t>
  </si>
  <si>
    <t>SPINDLE 6ZN 8/4</t>
  </si>
  <si>
    <t>CONNECTOR NUT M 6LL ZN</t>
  </si>
  <si>
    <t>LL/519-85224-1</t>
  </si>
  <si>
    <t>519-85224-1</t>
  </si>
  <si>
    <t>2023-01-18</t>
  </si>
  <si>
    <t>IF-103 USER INTERFACE</t>
  </si>
  <si>
    <t>THERMOP. HOSE 8/4</t>
  </si>
  <si>
    <t>2023-04-12</t>
  </si>
  <si>
    <t>LL/12384350</t>
  </si>
  <si>
    <t>BPSG-02-SS BASE PLATE</t>
  </si>
  <si>
    <t>2022-12-05</t>
  </si>
  <si>
    <t>2023-06-12</t>
  </si>
  <si>
    <t>LL/VPBM-4</t>
  </si>
  <si>
    <t>VPBM-4</t>
  </si>
  <si>
    <t>SGA-012-ZN DOSER</t>
  </si>
  <si>
    <t>SGA-011-ZN DOSER</t>
  </si>
  <si>
    <t>LL/KFG1.U0</t>
  </si>
  <si>
    <t>LL/VPBM-5</t>
  </si>
  <si>
    <t>VPBM-5</t>
  </si>
  <si>
    <t>2023-01-02</t>
  </si>
  <si>
    <t>FERRULE LER 6LL SS</t>
  </si>
  <si>
    <t>CAP SGA-01XYZSGA-1</t>
  </si>
  <si>
    <t>CAP SGA-2</t>
  </si>
  <si>
    <t>LL/11651085</t>
  </si>
  <si>
    <t>SLEEVE SS PA 8/4 ROTABLE</t>
  </si>
  <si>
    <t>2023-05-28</t>
  </si>
  <si>
    <t>MALE CONN. PEL 6LL R 1/8</t>
  </si>
  <si>
    <t>2023-06-16</t>
  </si>
  <si>
    <t>MALE CONN. XPEL6LLR1/8 Z</t>
  </si>
  <si>
    <t>THREADED SLEEVE ZN 8/4</t>
  </si>
  <si>
    <t>LL/12805020</t>
  </si>
  <si>
    <t>MALE CONN. PEL 6LL R1/8</t>
  </si>
  <si>
    <t>FERRULE LER 6LL ZN</t>
  </si>
  <si>
    <t>THREADED SPINDLE 6ZN 8/4</t>
  </si>
  <si>
    <t>ST103 CONTROL CARD 24V</t>
  </si>
  <si>
    <t>BPSG-03-SS BASE PLATE</t>
  </si>
  <si>
    <t>BPSG-04-SS BASE PLATE</t>
  </si>
  <si>
    <t>LL/12388110</t>
  </si>
  <si>
    <t>SG-31-ZN DOSER</t>
  </si>
  <si>
    <t>LL/12388160</t>
  </si>
  <si>
    <t>SG-32-ZN DOSER</t>
  </si>
  <si>
    <t>PRESS.TRANSMITTER DANFOS</t>
  </si>
  <si>
    <t>LL/11770415</t>
  </si>
  <si>
    <t>FILTER 250MIC</t>
  </si>
  <si>
    <t>LINE VALVE MLPX/MINL</t>
  </si>
  <si>
    <t>LL/11390142</t>
  </si>
  <si>
    <t>MOTOR KIT MLP-MIN</t>
  </si>
  <si>
    <t>LL/11408720</t>
  </si>
  <si>
    <t>LL/12381066</t>
  </si>
  <si>
    <t>IND. LOW LEVEL SWITCH M5</t>
  </si>
  <si>
    <t>LL/11650650</t>
  </si>
  <si>
    <t>TEMA FEMALE 2510</t>
  </si>
  <si>
    <t>LL/12401220</t>
  </si>
  <si>
    <t>LENGTH.PIECE R1/8-25-SS</t>
  </si>
  <si>
    <t>LL/11771545</t>
  </si>
  <si>
    <t>2023-06-21</t>
  </si>
  <si>
    <t>LEVEL INDICATOR L=185 ML</t>
  </si>
  <si>
    <t>LL/12805220</t>
  </si>
  <si>
    <t>UNION XJAL 6LL ZN</t>
  </si>
  <si>
    <t>LL/11500130</t>
  </si>
  <si>
    <t>MALE CONN. PEL 12 LR 1/4</t>
  </si>
  <si>
    <t>LL/11650340</t>
  </si>
  <si>
    <t>CABLE SET 24V-MLP</t>
  </si>
  <si>
    <t>LL/11650350</t>
  </si>
  <si>
    <t>8ZN THERM 1/4 THREAD.SPI</t>
  </si>
  <si>
    <t>LL/11650327</t>
  </si>
  <si>
    <t>8ZN THERM 1/4 90 THREAD.</t>
  </si>
  <si>
    <t>LL/12651232</t>
  </si>
  <si>
    <t>PORT CONNECTOR 6SS PA 8/</t>
  </si>
  <si>
    <t>HOSE ASSY R2T-3/8-2500 P</t>
  </si>
  <si>
    <t>LL/12501253</t>
  </si>
  <si>
    <t>THREAD.SLEEVE 4 ZN THERM</t>
  </si>
  <si>
    <t>LL/12501252</t>
  </si>
  <si>
    <t>ST-1440 DK-CARD 030249</t>
  </si>
  <si>
    <t>LL/11601450</t>
  </si>
  <si>
    <t>ST-1440 CPU-CARD 030250</t>
  </si>
  <si>
    <t>LL/664-85282-7</t>
  </si>
  <si>
    <t>2023-08-16</t>
  </si>
  <si>
    <t>PLUG MPM-712</t>
  </si>
  <si>
    <t>519-34271-2</t>
  </si>
  <si>
    <t>MLPI-10-2-230-IF103-PSE</t>
  </si>
  <si>
    <t>Quant</t>
  </si>
  <si>
    <t>OC-2119</t>
  </si>
  <si>
    <t>2022-12-07</t>
  </si>
  <si>
    <t>2023-01-13</t>
  </si>
  <si>
    <t>OC-2119/2421</t>
  </si>
  <si>
    <t>2 un repor estoque comercio</t>
  </si>
  <si>
    <t>OC-2421</t>
  </si>
  <si>
    <t>Placa 11500700</t>
  </si>
  <si>
    <t xml:space="preserve">2 un repor estoque comercio </t>
  </si>
  <si>
    <t>OC-2610</t>
  </si>
  <si>
    <t>Valvula direcional 11600965</t>
  </si>
  <si>
    <t xml:space="preserve">1 un repor estoque comercio </t>
  </si>
  <si>
    <t>OC-3126</t>
  </si>
  <si>
    <t>LL/11601065</t>
  </si>
  <si>
    <t>ok</t>
  </si>
  <si>
    <t>LL/393514</t>
  </si>
  <si>
    <t>2023-01-25</t>
  </si>
  <si>
    <t>LL/12501370</t>
  </si>
  <si>
    <t>LL/11408680</t>
  </si>
  <si>
    <t xml:space="preserve">2 repor estoque comercio </t>
  </si>
  <si>
    <t>LL/12400095</t>
  </si>
  <si>
    <t>LL/12381068</t>
  </si>
  <si>
    <t>LL/11500138</t>
  </si>
  <si>
    <t>Cabo 11500138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</si>
</sst>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&quot;\ #,##0.00"/>
    <numFmt numFmtId="165" formatCode="&quot;R$&quot;\ #,##0.00;[Red]\-&quot;R$&quot;\ #,##0.00"/>
    <numFmt numFmtId="166" formatCode="_-&quot;R$&quot;\ * #,##0.00_-;\-&quot;R$&quot;\ * #,##0.00_-;_-&quot;R$&quot;\ * &quot;-&quot;??_-;_-@"/>
    <numFmt numFmtId="167" formatCode="[$R$ -416]#,##0.00"/>
    <numFmt numFmtId="168" formatCode="yyyy\-m"/>
  </numFmts>
  <fonts count="14">
    <font>
      <sz val="11.0"/>
      <color theme="1"/>
      <name val="Calibri"/>
      <scheme val="minor"/>
    </font>
    <font>
      <sz val="12.0"/>
      <color theme="1"/>
      <name val="Calibri"/>
    </font>
    <font>
      <sz val="28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212529"/>
      <name val="Calibri"/>
    </font>
    <font>
      <sz val="11.0"/>
      <color rgb="FF222222"/>
      <name val="Calibri"/>
    </font>
    <font>
      <sz val="11.0"/>
      <color rgb="FF232121"/>
      <name val="Calibri"/>
    </font>
    <font>
      <b/>
      <sz val="13.0"/>
      <color rgb="FF2C3E50"/>
      <name val="Arial"/>
    </font>
    <font>
      <sz val="10.0"/>
      <color rgb="FF000000"/>
      <name val="Calibri"/>
    </font>
    <font>
      <sz val="11.0"/>
      <color theme="1"/>
      <name val="Arial"/>
    </font>
    <font>
      <sz val="12.0"/>
      <color rgb="FF485A64"/>
      <name val="Quattrocento Sans"/>
    </font>
    <font>
      <sz val="11.0"/>
      <color rgb="FFFFFF00"/>
      <name val="Calibri"/>
    </font>
    <font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205867"/>
        <bgColor rgb="FF20586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9"/>
        <bgColor theme="9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5" fontId="3" numFmtId="14" xfId="0" applyAlignment="1" applyBorder="1" applyFill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6" fontId="3" numFmtId="14" xfId="0" applyAlignment="1" applyBorder="1" applyFill="1" applyFont="1" applyNumberFormat="1">
      <alignment horizontal="center" vertical="center"/>
    </xf>
    <xf borderId="6" fillId="6" fontId="3" numFmtId="0" xfId="0" applyAlignment="1" applyBorder="1" applyFont="1">
      <alignment horizontal="center" vertical="center"/>
    </xf>
    <xf borderId="7" fillId="6" fontId="3" numFmtId="0" xfId="0" applyAlignment="1" applyBorder="1" applyFont="1">
      <alignment horizontal="center" vertical="center"/>
    </xf>
    <xf borderId="8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0" fillId="0" fontId="3" numFmtId="16" xfId="0" applyAlignment="1" applyFont="1" applyNumberFormat="1">
      <alignment horizontal="center" vertical="center"/>
    </xf>
    <xf borderId="8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0" fillId="0" fontId="3" numFmtId="0" xfId="0" applyFont="1"/>
    <xf borderId="0" fillId="0" fontId="3" numFmtId="20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5" fontId="3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1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1" fillId="9" fontId="3" numFmtId="14" xfId="0" applyAlignment="1" applyBorder="1" applyFill="1" applyFont="1" applyNumberForma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9" fontId="3" numFmtId="164" xfId="0" applyAlignment="1" applyBorder="1" applyFont="1" applyNumberFormat="1">
      <alignment horizontal="center" shrinkToFit="0" vertical="center" wrapText="1"/>
    </xf>
    <xf borderId="1" fillId="9" fontId="3" numFmtId="14" xfId="0" applyAlignment="1" applyBorder="1" applyFont="1" applyNumberForma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10" fontId="3" numFmtId="14" xfId="0" applyAlignment="1" applyBorder="1" applyFill="1" applyFont="1" applyNumberFormat="1">
      <alignment horizontal="center" vertical="center"/>
    </xf>
    <xf borderId="6" fillId="10" fontId="3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0" fontId="3" numFmtId="164" xfId="0" applyAlignment="1" applyBorder="1" applyFont="1" applyNumberFormat="1">
      <alignment horizontal="center" vertical="center"/>
    </xf>
    <xf borderId="1" fillId="10" fontId="3" numFmtId="0" xfId="0" applyBorder="1" applyFont="1"/>
    <xf borderId="1" fillId="11" fontId="3" numFmtId="14" xfId="0" applyAlignment="1" applyBorder="1" applyFill="1" applyFont="1" applyNumberFormat="1">
      <alignment horizontal="center" vertical="center"/>
    </xf>
    <xf borderId="7" fillId="11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1" fontId="3" numFmtId="164" xfId="0" applyAlignment="1" applyBorder="1" applyFont="1" applyNumberFormat="1">
      <alignment horizontal="center" vertical="center"/>
    </xf>
    <xf borderId="4" fillId="10" fontId="3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/>
    </xf>
    <xf borderId="6" fillId="11" fontId="3" numFmtId="0" xfId="0" applyAlignment="1" applyBorder="1" applyFont="1">
      <alignment horizontal="center" vertical="center"/>
    </xf>
    <xf borderId="7" fillId="10" fontId="3" numFmtId="0" xfId="0" applyAlignment="1" applyBorder="1" applyFont="1">
      <alignment horizontal="center" vertical="center"/>
    </xf>
    <xf borderId="8" fillId="11" fontId="3" numFmtId="0" xfId="0" applyAlignment="1" applyBorder="1" applyFont="1">
      <alignment horizontal="center" vertical="center"/>
    </xf>
    <xf borderId="1" fillId="11" fontId="3" numFmtId="0" xfId="0" applyBorder="1" applyFont="1"/>
    <xf borderId="8" fillId="10" fontId="3" numFmtId="0" xfId="0" applyAlignment="1" applyBorder="1" applyFont="1">
      <alignment horizontal="center" vertical="center"/>
    </xf>
    <xf borderId="1" fillId="10" fontId="4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/>
    </xf>
    <xf borderId="4" fillId="11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shrinkToFit="0" vertical="center" wrapText="1"/>
    </xf>
    <xf borderId="1" fillId="11" fontId="3" numFmtId="164" xfId="0" applyAlignment="1" applyBorder="1" applyFont="1" applyNumberFormat="1">
      <alignment horizontal="center"/>
    </xf>
    <xf borderId="1" fillId="11" fontId="4" numFmtId="0" xfId="0" applyAlignment="1" applyBorder="1" applyFont="1">
      <alignment horizontal="center"/>
    </xf>
    <xf borderId="1" fillId="10" fontId="4" numFmtId="0" xfId="0" applyAlignment="1" applyBorder="1" applyFont="1">
      <alignment horizontal="center"/>
    </xf>
    <xf borderId="1" fillId="10" fontId="3" numFmtId="164" xfId="0" applyAlignment="1" applyBorder="1" applyFont="1" applyNumberFormat="1">
      <alignment horizontal="center"/>
    </xf>
    <xf borderId="1" fillId="10" fontId="3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vertical="center"/>
    </xf>
    <xf borderId="1" fillId="11" fontId="8" numFmtId="0" xfId="0" applyBorder="1" applyFont="1"/>
    <xf borderId="1" fillId="10" fontId="9" numFmtId="0" xfId="0" applyAlignment="1" applyBorder="1" applyFont="1">
      <alignment horizontal="center" vertical="center"/>
    </xf>
    <xf borderId="1" fillId="10" fontId="3" numFmtId="165" xfId="0" applyAlignment="1" applyBorder="1" applyFont="1" applyNumberFormat="1">
      <alignment horizontal="center" vertical="center"/>
    </xf>
    <xf borderId="1" fillId="10" fontId="10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left" vertical="center"/>
    </xf>
    <xf borderId="1" fillId="10" fontId="11" numFmtId="0" xfId="0" applyAlignment="1" applyBorder="1" applyFont="1">
      <alignment horizontal="left" shrinkToFit="0" vertical="center" wrapText="1"/>
    </xf>
    <xf borderId="1" fillId="11" fontId="1" numFmtId="0" xfId="0" applyBorder="1" applyFont="1"/>
    <xf borderId="1" fillId="10" fontId="12" numFmtId="14" xfId="0" applyAlignment="1" applyBorder="1" applyFont="1" applyNumberFormat="1">
      <alignment horizontal="center" vertical="center"/>
    </xf>
    <xf borderId="1" fillId="10" fontId="12" numFmtId="0" xfId="0" applyAlignment="1" applyBorder="1" applyFont="1">
      <alignment horizontal="center" vertical="center"/>
    </xf>
    <xf borderId="1" fillId="10" fontId="12" numFmtId="164" xfId="0" applyAlignment="1" applyBorder="1" applyFont="1" applyNumberFormat="1">
      <alignment horizontal="center" vertical="center"/>
    </xf>
    <xf borderId="1" fillId="10" fontId="12" numFmtId="0" xfId="0" applyBorder="1" applyFont="1"/>
    <xf borderId="1" fillId="11" fontId="3" numFmtId="0" xfId="0" applyAlignment="1" applyBorder="1" applyFont="1">
      <alignment horizontal="left" shrinkToFit="0" vertical="center" wrapText="1"/>
    </xf>
    <xf borderId="1" fillId="10" fontId="1" numFmtId="0" xfId="0" applyBorder="1" applyFont="1"/>
    <xf borderId="9" fillId="11" fontId="3" numFmtId="0" xfId="0" applyAlignment="1" applyBorder="1" applyFont="1">
      <alignment horizontal="center" vertical="center"/>
    </xf>
    <xf borderId="10" fillId="10" fontId="3" numFmtId="14" xfId="0" applyAlignment="1" applyBorder="1" applyFont="1" applyNumberFormat="1">
      <alignment horizontal="center" vertical="center"/>
    </xf>
    <xf borderId="11" fillId="10" fontId="3" numFmtId="0" xfId="0" applyAlignment="1" applyBorder="1" applyFont="1">
      <alignment horizontal="center" vertical="center"/>
    </xf>
    <xf borderId="10" fillId="11" fontId="3" numFmtId="14" xfId="0" applyAlignment="1" applyBorder="1" applyFont="1" applyNumberFormat="1">
      <alignment horizontal="center" vertical="center"/>
    </xf>
    <xf borderId="12" fillId="11" fontId="3" numFmtId="0" xfId="0" applyAlignment="1" applyBorder="1" applyFont="1">
      <alignment horizontal="center" vertical="center"/>
    </xf>
    <xf borderId="0" fillId="0" fontId="3" numFmtId="166" xfId="0" applyFont="1" applyNumberFormat="1"/>
    <xf borderId="0" fillId="0" fontId="3" numFmtId="0" xfId="0" applyFont="1"/>
    <xf borderId="1" fillId="5" fontId="3" numFmtId="0" xfId="0" applyBorder="1" applyFont="1"/>
    <xf borderId="1" fillId="2" fontId="3" numFmtId="14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2" fontId="3" numFmtId="167" xfId="0" applyAlignment="1" applyBorder="1" applyFont="1" applyNumberFormat="1">
      <alignment horizontal="center" shrinkToFit="0" vertical="center" wrapText="1"/>
    </xf>
    <xf borderId="1" fillId="2" fontId="3" numFmtId="14" xfId="0" applyAlignment="1" applyBorder="1" applyFont="1" applyNumberForma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10" numFmtId="1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4" fillId="0" fontId="3" numFmtId="1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1" fillId="13" fontId="10" numFmtId="0" xfId="0" applyAlignment="1" applyBorder="1" applyFill="1" applyFont="1">
      <alignment horizontal="center" vertical="center"/>
    </xf>
    <xf borderId="0" fillId="0" fontId="10" numFmtId="14" xfId="0" applyAlignment="1" applyFont="1" applyNumberForma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5" fillId="0" fontId="3" numFmtId="1" xfId="0" applyAlignment="1" applyBorder="1" applyFont="1" applyNumberFormat="1">
      <alignment horizontal="center" vertical="center"/>
    </xf>
    <xf borderId="0" fillId="0" fontId="3" numFmtId="1" xfId="0" applyFont="1" applyNumberFormat="1"/>
    <xf borderId="0" fillId="0" fontId="10" numFmtId="0" xfId="0" applyFont="1"/>
    <xf borderId="0" fillId="0" fontId="3" numFmtId="14" xfId="0" applyFont="1" applyNumberFormat="1"/>
    <xf borderId="3" fillId="0" fontId="3" numFmtId="1" xfId="0" applyAlignment="1" applyBorder="1" applyFont="1" applyNumberForma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5" fontId="3" numFmtId="14" xfId="0" applyAlignment="1" applyBorder="1" applyFont="1" applyNumberFormat="1">
      <alignment horizontal="center" vertical="center"/>
    </xf>
    <xf borderId="1" fillId="5" fontId="3" numFmtId="1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5" fontId="3" numFmtId="167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1" fillId="13" fontId="3" numFmtId="1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1" fillId="6" fontId="3" numFmtId="14" xfId="0" applyAlignment="1" applyBorder="1" applyFont="1" applyNumberFormat="1">
      <alignment horizontal="center" vertical="center"/>
    </xf>
    <xf borderId="1" fillId="6" fontId="3" numFmtId="1" xfId="0" applyAlignment="1" applyBorder="1" applyFont="1" applyNumberFormat="1">
      <alignment horizontal="center" vertical="center"/>
    </xf>
    <xf borderId="1" fillId="6" fontId="3" numFmtId="167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10" numFmtId="14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168" xfId="0" applyAlignment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14" xfId="0" applyAlignment="1" applyBorder="1" applyFont="1" applyNumberForma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16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ont="1">
      <alignment horizontal="center" vertical="center"/>
    </xf>
    <xf borderId="1" fillId="15" fontId="3" numFmtId="14" xfId="0" applyAlignment="1" applyBorder="1" applyFont="1" applyNumberFormat="1">
      <alignment horizontal="center" vertical="center"/>
    </xf>
    <xf borderId="1" fillId="16" fontId="3" numFmtId="0" xfId="0" applyAlignment="1" applyBorder="1" applyFont="1">
      <alignment horizontal="center" vertical="center"/>
    </xf>
    <xf borderId="1" fillId="16" fontId="4" numFmtId="0" xfId="0" applyAlignment="1" applyBorder="1" applyFont="1">
      <alignment horizontal="center" vertical="center"/>
    </xf>
    <xf borderId="1" fillId="16" fontId="3" numFmtId="14" xfId="0" applyAlignment="1" applyBorder="1" applyFont="1" applyNumberFormat="1">
      <alignment horizontal="center" vertical="center"/>
    </xf>
    <xf borderId="1" fillId="16" fontId="3" numFmtId="14" xfId="0" applyAlignment="1" applyBorder="1" applyFont="1" applyNumberFormat="1">
      <alignment horizontal="center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3" numFmtId="14" xfId="0" applyAlignment="1" applyBorder="1" applyFont="1" applyNumberForma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1" fillId="2" fontId="4" numFmtId="1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3" fillId="0" fontId="3" numFmtId="0" xfId="0" applyBorder="1" applyFont="1"/>
    <xf borderId="1" fillId="17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0" fillId="0" fontId="3" numFmtId="14" xfId="0" applyAlignment="1" applyFont="1" applyNumberFormat="1">
      <alignment horizont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205867"/>
          <bgColor rgb="FF20586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3" pivot="0" name="Orçamentos 2021-style">
      <tableStyleElement dxfId="1" type="headerRow"/>
      <tableStyleElement dxfId="2" type="firstRowStripe"/>
      <tableStyleElement dxfId="3" type="secondRowStripe"/>
    </tableStyle>
    <tableStyle count="3" pivot="0" name="Controle de pedido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829" displayName="Table_1" id="1">
  <tableColumns count="15">
    <tableColumn name="DATA " id="1"/>
    <tableColumn name="ORÇ" id="2"/>
    <tableColumn name="CLIENTE " id="3"/>
    <tableColumn name="DESCRIÇÃO" id="4"/>
    <tableColumn name="QUANT" id="5"/>
    <tableColumn name="VALOR ORÇ " id="6"/>
    <tableColumn name="STATUS " id="7"/>
    <tableColumn name="OBSERVAÇÃO " id="8"/>
    <tableColumn name="WCL" id="9"/>
    <tableColumn name="VALOR FATURADO " id="10"/>
    <tableColumn name="DATA DE EMISSÃO" id="11"/>
    <tableColumn name="NF " id="12"/>
    <tableColumn name="PEDIDO DE COMPRA" id="13"/>
    <tableColumn name="PREVISÃO DO FATURAMENTO" id="14"/>
    <tableColumn name="PREVISÃO DE RECEBIMENTO " id="15"/>
  </tableColumns>
  <tableStyleInfo name="Orçamentos 2021-style" showColumnStripes="0" showFirstColumn="1" showLastColumn="1" showRowStripes="1"/>
</table>
</file>

<file path=xl/tables/table2.xml><?xml version="1.0" encoding="utf-8"?>
<table xmlns="http://schemas.openxmlformats.org/spreadsheetml/2006/main" ref="A1:F222" displayName="Table_2" id="2">
  <tableColumns count="6">
    <tableColumn name="Cliente " id="1"/>
    <tableColumn name="Ordem de compra " id="2"/>
    <tableColumn name="Descrição " id="3"/>
    <tableColumn name="Data de faturamento" id="4"/>
    <tableColumn name="Previsão de entrega cliente" id="5"/>
    <tableColumn name="Obs" id="6"/>
  </tableColumns>
  <tableStyleInfo name="Controle de ped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7.0"/>
    <col customWidth="1" min="3" max="3" width="16.29"/>
    <col customWidth="1" min="4" max="4" width="56.71"/>
    <col customWidth="1" min="5" max="5" width="9.71"/>
    <col customWidth="1" min="6" max="6" width="14.57"/>
    <col customWidth="1" min="7" max="7" width="12.14"/>
    <col customWidth="1" hidden="1" min="8" max="8" width="19.29"/>
    <col customWidth="1" hidden="1" min="9" max="9" width="21.86"/>
    <col customWidth="1" min="10" max="10" width="13.29"/>
    <col customWidth="1" min="11" max="11" width="12.57"/>
    <col customWidth="1" min="12" max="12" width="6.43"/>
    <col customWidth="1" min="13" max="13" width="12.71"/>
    <col customWidth="1" min="14" max="14" width="15.71"/>
    <col customWidth="1" min="15" max="15" width="15.0"/>
    <col customWidth="1" min="16" max="26" width="8.71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4" t="s">
        <v>13</v>
      </c>
      <c r="O1" s="4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8.25" customHeight="1">
      <c r="A2" s="7"/>
      <c r="B2" s="7"/>
      <c r="C2" s="7"/>
      <c r="D2" s="7" t="s">
        <v>15</v>
      </c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1"/>
      <c r="C3" s="11" t="s">
        <v>16</v>
      </c>
      <c r="D3" s="11" t="s">
        <v>17</v>
      </c>
      <c r="E3" s="11"/>
      <c r="F3" s="12"/>
      <c r="G3" s="11" t="s">
        <v>18</v>
      </c>
      <c r="H3" s="11"/>
      <c r="I3" s="11"/>
      <c r="J3" s="12"/>
      <c r="K3" s="10"/>
      <c r="L3" s="11"/>
      <c r="M3" s="11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44210.0</v>
      </c>
      <c r="B4" s="13">
        <v>1073.0</v>
      </c>
      <c r="C4" s="11" t="s">
        <v>19</v>
      </c>
      <c r="D4" s="11" t="s">
        <v>20</v>
      </c>
      <c r="E4" s="11">
        <v>300.0</v>
      </c>
      <c r="F4" s="12">
        <v>1950.0</v>
      </c>
      <c r="G4" s="14" t="s">
        <v>21</v>
      </c>
      <c r="H4" s="11"/>
      <c r="I4" s="11"/>
      <c r="J4" s="12">
        <v>1950.0</v>
      </c>
      <c r="K4" s="10">
        <v>44316.0</v>
      </c>
      <c r="L4" s="11">
        <v>1508.0</v>
      </c>
      <c r="M4" s="11"/>
      <c r="N4" s="10"/>
      <c r="O4" s="10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44210.0</v>
      </c>
      <c r="B5" s="15">
        <v>1073.0</v>
      </c>
      <c r="C5" s="11" t="s">
        <v>19</v>
      </c>
      <c r="D5" s="11" t="s">
        <v>22</v>
      </c>
      <c r="E5" s="11">
        <v>300.0</v>
      </c>
      <c r="F5" s="12">
        <v>915.0</v>
      </c>
      <c r="G5" s="14" t="s">
        <v>21</v>
      </c>
      <c r="H5" s="11"/>
      <c r="I5" s="11"/>
      <c r="J5" s="12">
        <v>915.0</v>
      </c>
      <c r="K5" s="10">
        <v>44293.0</v>
      </c>
      <c r="L5" s="11">
        <v>1491.0</v>
      </c>
      <c r="M5" s="11"/>
      <c r="N5" s="10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44210.0</v>
      </c>
      <c r="B6" s="15">
        <v>1073.0</v>
      </c>
      <c r="C6" s="11" t="s">
        <v>19</v>
      </c>
      <c r="D6" s="11" t="s">
        <v>23</v>
      </c>
      <c r="E6" s="11">
        <v>300.0</v>
      </c>
      <c r="F6" s="12">
        <v>3900.0</v>
      </c>
      <c r="G6" s="14" t="s">
        <v>21</v>
      </c>
      <c r="H6" s="11"/>
      <c r="I6" s="11"/>
      <c r="J6" s="12">
        <v>3900.0</v>
      </c>
      <c r="K6" s="10">
        <v>44293.0</v>
      </c>
      <c r="L6" s="11">
        <v>1491.0</v>
      </c>
      <c r="M6" s="11"/>
      <c r="N6" s="10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44210.0</v>
      </c>
      <c r="B7" s="15">
        <v>1073.0</v>
      </c>
      <c r="C7" s="11" t="s">
        <v>19</v>
      </c>
      <c r="D7" s="11" t="s">
        <v>24</v>
      </c>
      <c r="E7" s="11">
        <v>150.0</v>
      </c>
      <c r="F7" s="12">
        <v>5100.0</v>
      </c>
      <c r="G7" s="14" t="s">
        <v>21</v>
      </c>
      <c r="H7" s="11"/>
      <c r="I7" s="11"/>
      <c r="J7" s="12">
        <v>5100.0</v>
      </c>
      <c r="K7" s="10">
        <v>44305.0</v>
      </c>
      <c r="L7" s="11">
        <v>1502.0</v>
      </c>
      <c r="M7" s="11"/>
      <c r="N7" s="10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44200.0</v>
      </c>
      <c r="B8" s="16">
        <v>1058.0</v>
      </c>
      <c r="C8" s="11" t="s">
        <v>25</v>
      </c>
      <c r="D8" s="11" t="s">
        <v>26</v>
      </c>
      <c r="E8" s="11">
        <v>10.0</v>
      </c>
      <c r="F8" s="12">
        <v>675.28</v>
      </c>
      <c r="G8" s="11" t="s">
        <v>27</v>
      </c>
      <c r="H8" s="11"/>
      <c r="I8" s="11"/>
      <c r="J8" s="12"/>
      <c r="K8" s="10"/>
      <c r="L8" s="11"/>
      <c r="M8" s="11"/>
      <c r="N8" s="10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44200.0</v>
      </c>
      <c r="B9" s="15">
        <v>1059.0</v>
      </c>
      <c r="C9" s="11" t="s">
        <v>28</v>
      </c>
      <c r="D9" s="11" t="s">
        <v>29</v>
      </c>
      <c r="E9" s="11">
        <v>1.0</v>
      </c>
      <c r="F9" s="12" t="s">
        <v>30</v>
      </c>
      <c r="G9" s="11" t="s">
        <v>27</v>
      </c>
      <c r="H9" s="11"/>
      <c r="I9" s="11"/>
      <c r="J9" s="12"/>
      <c r="K9" s="10"/>
      <c r="L9" s="11"/>
      <c r="M9" s="11"/>
      <c r="N9" s="10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44200.0</v>
      </c>
      <c r="B10" s="15">
        <v>1059.0</v>
      </c>
      <c r="C10" s="11" t="s">
        <v>28</v>
      </c>
      <c r="D10" s="11" t="s">
        <v>31</v>
      </c>
      <c r="E10" s="11">
        <v>1.0</v>
      </c>
      <c r="F10" s="12" t="s">
        <v>32</v>
      </c>
      <c r="G10" s="11" t="s">
        <v>27</v>
      </c>
      <c r="H10" s="11"/>
      <c r="I10" s="11"/>
      <c r="J10" s="12"/>
      <c r="K10" s="10"/>
      <c r="L10" s="11"/>
      <c r="M10" s="11"/>
      <c r="N10" s="10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44207.0</v>
      </c>
      <c r="B11" s="16">
        <v>1070.0</v>
      </c>
      <c r="C11" s="11" t="s">
        <v>19</v>
      </c>
      <c r="D11" s="11" t="s">
        <v>33</v>
      </c>
      <c r="E11" s="11">
        <v>80.0</v>
      </c>
      <c r="F11" s="12">
        <v>1595.2</v>
      </c>
      <c r="G11" s="14" t="s">
        <v>21</v>
      </c>
      <c r="H11" s="11"/>
      <c r="I11" s="11"/>
      <c r="J11" s="12">
        <v>1595.2</v>
      </c>
      <c r="K11" s="10">
        <v>44207.0</v>
      </c>
      <c r="L11" s="11">
        <v>1456.0</v>
      </c>
      <c r="M11" s="11"/>
      <c r="N11" s="10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44218.0</v>
      </c>
      <c r="B12" s="15">
        <v>1089.0</v>
      </c>
      <c r="C12" s="11" t="s">
        <v>34</v>
      </c>
      <c r="D12" s="11" t="s">
        <v>35</v>
      </c>
      <c r="E12" s="11">
        <v>1.0</v>
      </c>
      <c r="F12" s="12">
        <v>289.97</v>
      </c>
      <c r="G12" s="11" t="s">
        <v>27</v>
      </c>
      <c r="H12" s="11"/>
      <c r="I12" s="11"/>
      <c r="J12" s="12"/>
      <c r="K12" s="10"/>
      <c r="L12" s="11"/>
      <c r="M12" s="11"/>
      <c r="N12" s="10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44218.0</v>
      </c>
      <c r="B13" s="15">
        <v>1089.0</v>
      </c>
      <c r="C13" s="11" t="s">
        <v>34</v>
      </c>
      <c r="D13" s="11" t="s">
        <v>36</v>
      </c>
      <c r="E13" s="11">
        <v>2.0</v>
      </c>
      <c r="F13" s="12">
        <v>57.23</v>
      </c>
      <c r="G13" s="11" t="s">
        <v>27</v>
      </c>
      <c r="H13" s="11"/>
      <c r="I13" s="11"/>
      <c r="J13" s="12"/>
      <c r="K13" s="10"/>
      <c r="L13" s="11"/>
      <c r="M13" s="11"/>
      <c r="N13" s="10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>
        <v>44218.0</v>
      </c>
      <c r="B14" s="15">
        <v>1089.0</v>
      </c>
      <c r="C14" s="11" t="s">
        <v>34</v>
      </c>
      <c r="D14" s="11" t="s">
        <v>37</v>
      </c>
      <c r="E14" s="11">
        <v>1.0</v>
      </c>
      <c r="F14" s="12">
        <v>637.29</v>
      </c>
      <c r="G14" s="11" t="s">
        <v>27</v>
      </c>
      <c r="H14" s="11"/>
      <c r="I14" s="11"/>
      <c r="J14" s="12"/>
      <c r="K14" s="10"/>
      <c r="L14" s="11"/>
      <c r="M14" s="11"/>
      <c r="N14" s="10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>
        <v>44218.0</v>
      </c>
      <c r="B15" s="15">
        <v>1089.0</v>
      </c>
      <c r="C15" s="11" t="s">
        <v>34</v>
      </c>
      <c r="D15" s="11" t="s">
        <v>38</v>
      </c>
      <c r="E15" s="11">
        <v>1.0</v>
      </c>
      <c r="F15" s="12">
        <v>66.77</v>
      </c>
      <c r="G15" s="11" t="s">
        <v>27</v>
      </c>
      <c r="H15" s="11"/>
      <c r="I15" s="11"/>
      <c r="J15" s="12"/>
      <c r="K15" s="10"/>
      <c r="L15" s="11"/>
      <c r="M15" s="11"/>
      <c r="N15" s="10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44202.0</v>
      </c>
      <c r="B16" s="16">
        <v>1062.0</v>
      </c>
      <c r="C16" s="11" t="s">
        <v>39</v>
      </c>
      <c r="D16" s="11" t="s">
        <v>40</v>
      </c>
      <c r="E16" s="11">
        <v>10.0</v>
      </c>
      <c r="F16" s="12">
        <v>7349.58</v>
      </c>
      <c r="G16" s="11" t="s">
        <v>27</v>
      </c>
      <c r="H16" s="11"/>
      <c r="I16" s="11"/>
      <c r="J16" s="12"/>
      <c r="K16" s="10"/>
      <c r="L16" s="11"/>
      <c r="M16" s="11"/>
      <c r="N16" s="10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>
        <v>44201.0</v>
      </c>
      <c r="B17" s="17">
        <v>1060.0</v>
      </c>
      <c r="C17" s="11" t="s">
        <v>39</v>
      </c>
      <c r="D17" s="11" t="s">
        <v>41</v>
      </c>
      <c r="E17" s="11">
        <v>1.0</v>
      </c>
      <c r="F17" s="12">
        <v>1522.91</v>
      </c>
      <c r="G17" s="11" t="s">
        <v>27</v>
      </c>
      <c r="H17" s="11"/>
      <c r="I17" s="11"/>
      <c r="J17" s="12"/>
      <c r="K17" s="10"/>
      <c r="L17" s="11"/>
      <c r="M17" s="11"/>
      <c r="N17" s="10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/>
      <c r="B18" s="11"/>
      <c r="C18" s="11" t="s">
        <v>42</v>
      </c>
      <c r="D18" s="11" t="s">
        <v>43</v>
      </c>
      <c r="E18" s="11"/>
      <c r="F18" s="12"/>
      <c r="G18" s="11" t="s">
        <v>18</v>
      </c>
      <c r="H18" s="11"/>
      <c r="I18" s="11"/>
      <c r="J18" s="12"/>
      <c r="K18" s="10"/>
      <c r="L18" s="11"/>
      <c r="M18" s="11"/>
      <c r="N18" s="10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>
        <v>44207.0</v>
      </c>
      <c r="B19" s="13">
        <v>1067.0</v>
      </c>
      <c r="C19" s="11" t="s">
        <v>44</v>
      </c>
      <c r="D19" s="11" t="s">
        <v>45</v>
      </c>
      <c r="E19" s="11">
        <v>1.0</v>
      </c>
      <c r="F19" s="12">
        <v>1522.92</v>
      </c>
      <c r="G19" s="14" t="s">
        <v>21</v>
      </c>
      <c r="H19" s="11"/>
      <c r="I19" s="11"/>
      <c r="J19" s="12">
        <v>1522.92</v>
      </c>
      <c r="K19" s="10">
        <v>44222.0</v>
      </c>
      <c r="L19" s="11">
        <v>1466.0</v>
      </c>
      <c r="M19" s="11"/>
      <c r="N19" s="10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>
        <v>44207.0</v>
      </c>
      <c r="B20" s="13">
        <v>1068.0</v>
      </c>
      <c r="C20" s="11" t="s">
        <v>46</v>
      </c>
      <c r="D20" s="11" t="s">
        <v>47</v>
      </c>
      <c r="E20" s="11">
        <v>1.0</v>
      </c>
      <c r="F20" s="12">
        <v>269.71</v>
      </c>
      <c r="G20" s="11" t="s">
        <v>27</v>
      </c>
      <c r="H20" s="11"/>
      <c r="I20" s="11"/>
      <c r="J20" s="12"/>
      <c r="K20" s="10"/>
      <c r="L20" s="11"/>
      <c r="M20" s="11"/>
      <c r="N20" s="10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>
        <v>44207.0</v>
      </c>
      <c r="B21" s="15">
        <v>1068.0</v>
      </c>
      <c r="C21" s="11" t="s">
        <v>46</v>
      </c>
      <c r="D21" s="11" t="s">
        <v>48</v>
      </c>
      <c r="E21" s="11">
        <v>1.0</v>
      </c>
      <c r="F21" s="12">
        <v>269.0</v>
      </c>
      <c r="G21" s="11" t="s">
        <v>27</v>
      </c>
      <c r="H21" s="11"/>
      <c r="I21" s="11"/>
      <c r="J21" s="12"/>
      <c r="K21" s="10"/>
      <c r="L21" s="11"/>
      <c r="M21" s="11"/>
      <c r="N21" s="10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>
        <v>44207.0</v>
      </c>
      <c r="B22" s="15">
        <v>1068.0</v>
      </c>
      <c r="C22" s="11" t="s">
        <v>46</v>
      </c>
      <c r="D22" s="11" t="s">
        <v>49</v>
      </c>
      <c r="E22" s="11">
        <v>2.0</v>
      </c>
      <c r="F22" s="12">
        <v>1847.74</v>
      </c>
      <c r="G22" s="11" t="s">
        <v>27</v>
      </c>
      <c r="H22" s="11"/>
      <c r="I22" s="11"/>
      <c r="J22" s="12"/>
      <c r="K22" s="10"/>
      <c r="L22" s="11"/>
      <c r="M22" s="11"/>
      <c r="N22" s="10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>
        <v>44207.0</v>
      </c>
      <c r="B23" s="15">
        <v>1068.0</v>
      </c>
      <c r="C23" s="11" t="s">
        <v>46</v>
      </c>
      <c r="D23" s="11" t="s">
        <v>50</v>
      </c>
      <c r="E23" s="11">
        <v>6.0</v>
      </c>
      <c r="F23" s="12">
        <v>121.58</v>
      </c>
      <c r="G23" s="11" t="s">
        <v>27</v>
      </c>
      <c r="H23" s="11"/>
      <c r="I23" s="11"/>
      <c r="J23" s="12"/>
      <c r="K23" s="10"/>
      <c r="L23" s="11"/>
      <c r="M23" s="11"/>
      <c r="N23" s="10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>
        <v>44207.0</v>
      </c>
      <c r="B24" s="15">
        <v>1068.0</v>
      </c>
      <c r="C24" s="11" t="s">
        <v>46</v>
      </c>
      <c r="D24" s="11" t="s">
        <v>51</v>
      </c>
      <c r="E24" s="11">
        <v>6.0</v>
      </c>
      <c r="F24" s="12">
        <v>15.42</v>
      </c>
      <c r="G24" s="11" t="s">
        <v>27</v>
      </c>
      <c r="H24" s="11"/>
      <c r="I24" s="11"/>
      <c r="J24" s="12"/>
      <c r="K24" s="10"/>
      <c r="L24" s="11"/>
      <c r="M24" s="11"/>
      <c r="N24" s="10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>
        <v>44207.0</v>
      </c>
      <c r="B25" s="17">
        <v>1068.0</v>
      </c>
      <c r="C25" s="11" t="s">
        <v>46</v>
      </c>
      <c r="D25" s="11" t="s">
        <v>52</v>
      </c>
      <c r="E25" s="11">
        <v>1.0</v>
      </c>
      <c r="F25" s="12">
        <v>8174.31</v>
      </c>
      <c r="G25" s="11" t="s">
        <v>27</v>
      </c>
      <c r="H25" s="11"/>
      <c r="I25" s="11"/>
      <c r="J25" s="12"/>
      <c r="K25" s="10"/>
      <c r="L25" s="11"/>
      <c r="M25" s="11"/>
      <c r="N25" s="10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>
        <v>44207.0</v>
      </c>
      <c r="B26" s="16">
        <v>1069.0</v>
      </c>
      <c r="C26" s="11" t="s">
        <v>53</v>
      </c>
      <c r="D26" s="11" t="s">
        <v>54</v>
      </c>
      <c r="E26" s="11">
        <v>1.0</v>
      </c>
      <c r="F26" s="12">
        <v>1069.14</v>
      </c>
      <c r="G26" s="11" t="s">
        <v>27</v>
      </c>
      <c r="H26" s="11"/>
      <c r="I26" s="11"/>
      <c r="J26" s="12"/>
      <c r="K26" s="10"/>
      <c r="L26" s="11"/>
      <c r="M26" s="11"/>
      <c r="N26" s="10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>
        <v>44204.0</v>
      </c>
      <c r="B27" s="17">
        <v>1065.0</v>
      </c>
      <c r="C27" s="11" t="s">
        <v>55</v>
      </c>
      <c r="D27" s="11" t="s">
        <v>56</v>
      </c>
      <c r="E27" s="11">
        <v>8.0</v>
      </c>
      <c r="F27" s="12" t="s">
        <v>57</v>
      </c>
      <c r="G27" s="11" t="s">
        <v>27</v>
      </c>
      <c r="H27" s="11"/>
      <c r="I27" s="11"/>
      <c r="J27" s="12"/>
      <c r="K27" s="10"/>
      <c r="L27" s="11"/>
      <c r="M27" s="11"/>
      <c r="N27" s="10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/>
      <c r="B28" s="11"/>
      <c r="C28" s="11" t="s">
        <v>44</v>
      </c>
      <c r="D28" s="11" t="s">
        <v>58</v>
      </c>
      <c r="E28" s="11"/>
      <c r="F28" s="12"/>
      <c r="G28" s="11" t="s">
        <v>18</v>
      </c>
      <c r="H28" s="11"/>
      <c r="I28" s="11"/>
      <c r="J28" s="12"/>
      <c r="K28" s="10"/>
      <c r="L28" s="11"/>
      <c r="M28" s="11"/>
      <c r="N28" s="10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>
        <v>44202.0</v>
      </c>
      <c r="B29" s="13">
        <v>1061.0</v>
      </c>
      <c r="C29" s="11" t="s">
        <v>53</v>
      </c>
      <c r="D29" s="11" t="s">
        <v>59</v>
      </c>
      <c r="E29" s="11">
        <v>2.0</v>
      </c>
      <c r="F29" s="12">
        <v>6572.7</v>
      </c>
      <c r="G29" s="14" t="s">
        <v>21</v>
      </c>
      <c r="H29" s="11"/>
      <c r="I29" s="11"/>
      <c r="J29" s="12">
        <v>3286.85</v>
      </c>
      <c r="K29" s="10">
        <v>44208.0</v>
      </c>
      <c r="L29" s="11">
        <v>1455.0</v>
      </c>
      <c r="M29" s="11"/>
      <c r="N29" s="10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>
        <v>44202.0</v>
      </c>
      <c r="B30" s="17">
        <v>1061.0</v>
      </c>
      <c r="C30" s="11" t="s">
        <v>53</v>
      </c>
      <c r="D30" s="11" t="s">
        <v>59</v>
      </c>
      <c r="E30" s="11"/>
      <c r="F30" s="12"/>
      <c r="G30" s="14" t="s">
        <v>21</v>
      </c>
      <c r="H30" s="11"/>
      <c r="I30" s="11"/>
      <c r="J30" s="12">
        <v>3286.85</v>
      </c>
      <c r="K30" s="10">
        <v>44293.0</v>
      </c>
      <c r="L30" s="11">
        <v>1489.0</v>
      </c>
      <c r="M30" s="11"/>
      <c r="N30" s="10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/>
      <c r="B31" s="11"/>
      <c r="C31" s="11" t="s">
        <v>60</v>
      </c>
      <c r="D31" s="11" t="s">
        <v>61</v>
      </c>
      <c r="E31" s="11"/>
      <c r="F31" s="12"/>
      <c r="G31" s="11" t="s">
        <v>18</v>
      </c>
      <c r="H31" s="11"/>
      <c r="I31" s="11"/>
      <c r="J31" s="12"/>
      <c r="K31" s="10"/>
      <c r="L31" s="11"/>
      <c r="M31" s="11"/>
      <c r="N31" s="10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>
        <v>44204.0</v>
      </c>
      <c r="B32" s="13">
        <v>1066.0</v>
      </c>
      <c r="C32" s="11" t="s">
        <v>53</v>
      </c>
      <c r="D32" s="11" t="s">
        <v>62</v>
      </c>
      <c r="E32" s="11">
        <v>1.0</v>
      </c>
      <c r="F32" s="12" t="s">
        <v>63</v>
      </c>
      <c r="G32" s="11" t="s">
        <v>27</v>
      </c>
      <c r="H32" s="11"/>
      <c r="I32" s="11"/>
      <c r="J32" s="12"/>
      <c r="K32" s="10"/>
      <c r="L32" s="11"/>
      <c r="M32" s="11"/>
      <c r="N32" s="10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>
        <v>44204.0</v>
      </c>
      <c r="B33" s="17">
        <v>1066.0</v>
      </c>
      <c r="C33" s="11" t="s">
        <v>53</v>
      </c>
      <c r="D33" s="11" t="s">
        <v>64</v>
      </c>
      <c r="E33" s="11">
        <v>1.0</v>
      </c>
      <c r="F33" s="12" t="s">
        <v>65</v>
      </c>
      <c r="G33" s="11" t="s">
        <v>27</v>
      </c>
      <c r="H33" s="11"/>
      <c r="I33" s="11"/>
      <c r="J33" s="12"/>
      <c r="K33" s="10"/>
      <c r="L33" s="11"/>
      <c r="M33" s="11"/>
      <c r="N33" s="10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/>
      <c r="B34" s="11"/>
      <c r="C34" s="11" t="s">
        <v>66</v>
      </c>
      <c r="D34" s="11" t="s">
        <v>67</v>
      </c>
      <c r="E34" s="11"/>
      <c r="F34" s="12"/>
      <c r="G34" s="11" t="s">
        <v>18</v>
      </c>
      <c r="H34" s="11"/>
      <c r="I34" s="11"/>
      <c r="J34" s="12"/>
      <c r="K34" s="10"/>
      <c r="L34" s="11"/>
      <c r="M34" s="11"/>
      <c r="N34" s="10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/>
      <c r="B35" s="11"/>
      <c r="C35" s="11" t="s">
        <v>68</v>
      </c>
      <c r="D35" s="11" t="s">
        <v>69</v>
      </c>
      <c r="E35" s="11"/>
      <c r="F35" s="12"/>
      <c r="G35" s="11" t="s">
        <v>18</v>
      </c>
      <c r="H35" s="11"/>
      <c r="I35" s="11"/>
      <c r="J35" s="12"/>
      <c r="K35" s="10"/>
      <c r="L35" s="11"/>
      <c r="M35" s="11"/>
      <c r="N35" s="10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>
        <v>44224.0</v>
      </c>
      <c r="B36" s="16">
        <v>1106.0</v>
      </c>
      <c r="C36" s="11" t="s">
        <v>70</v>
      </c>
      <c r="D36" s="11" t="s">
        <v>71</v>
      </c>
      <c r="E36" s="11"/>
      <c r="F36" s="12"/>
      <c r="G36" s="11" t="s">
        <v>27</v>
      </c>
      <c r="H36" s="11"/>
      <c r="I36" s="11"/>
      <c r="J36" s="12"/>
      <c r="K36" s="10"/>
      <c r="L36" s="11"/>
      <c r="M36" s="11"/>
      <c r="N36" s="10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>
        <v>44210.0</v>
      </c>
      <c r="B37" s="15">
        <v>1074.0</v>
      </c>
      <c r="C37" s="11" t="s">
        <v>46</v>
      </c>
      <c r="D37" s="11" t="s">
        <v>72</v>
      </c>
      <c r="E37" s="11">
        <v>1.0</v>
      </c>
      <c r="F37" s="12">
        <v>3571.69</v>
      </c>
      <c r="G37" s="11" t="s">
        <v>27</v>
      </c>
      <c r="H37" s="11"/>
      <c r="I37" s="11"/>
      <c r="J37" s="12"/>
      <c r="K37" s="10"/>
      <c r="L37" s="11"/>
      <c r="M37" s="11"/>
      <c r="N37" s="10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>
        <v>44210.0</v>
      </c>
      <c r="B38" s="15">
        <v>1074.0</v>
      </c>
      <c r="C38" s="11" t="s">
        <v>46</v>
      </c>
      <c r="D38" s="11" t="s">
        <v>72</v>
      </c>
      <c r="E38" s="11">
        <v>1.0</v>
      </c>
      <c r="F38" s="12">
        <v>3664.94</v>
      </c>
      <c r="G38" s="11" t="s">
        <v>27</v>
      </c>
      <c r="H38" s="11"/>
      <c r="I38" s="11"/>
      <c r="J38" s="12"/>
      <c r="K38" s="10"/>
      <c r="L38" s="11"/>
      <c r="M38" s="11"/>
      <c r="N38" s="10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>
        <v>44210.0</v>
      </c>
      <c r="B39" s="15">
        <v>1074.0</v>
      </c>
      <c r="C39" s="11" t="s">
        <v>46</v>
      </c>
      <c r="D39" s="11" t="s">
        <v>72</v>
      </c>
      <c r="E39" s="11">
        <v>1.0</v>
      </c>
      <c r="F39" s="12">
        <v>3357.41</v>
      </c>
      <c r="G39" s="11" t="s">
        <v>27</v>
      </c>
      <c r="H39" s="11"/>
      <c r="I39" s="11"/>
      <c r="J39" s="12"/>
      <c r="K39" s="10"/>
      <c r="L39" s="11"/>
      <c r="M39" s="11"/>
      <c r="N39" s="10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>
        <v>44210.0</v>
      </c>
      <c r="B40" s="15">
        <v>1074.0</v>
      </c>
      <c r="C40" s="11" t="s">
        <v>46</v>
      </c>
      <c r="D40" s="11" t="s">
        <v>72</v>
      </c>
      <c r="E40" s="11">
        <v>1.0</v>
      </c>
      <c r="F40" s="12">
        <v>7275.96</v>
      </c>
      <c r="G40" s="11" t="s">
        <v>27</v>
      </c>
      <c r="H40" s="11"/>
      <c r="I40" s="11"/>
      <c r="J40" s="12"/>
      <c r="K40" s="10"/>
      <c r="L40" s="11"/>
      <c r="M40" s="11"/>
      <c r="N40" s="10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>
        <v>44211.0</v>
      </c>
      <c r="B41" s="16">
        <v>1078.0</v>
      </c>
      <c r="C41" s="11" t="s">
        <v>73</v>
      </c>
      <c r="D41" s="11" t="s">
        <v>74</v>
      </c>
      <c r="E41" s="11">
        <v>10.0</v>
      </c>
      <c r="F41" s="12">
        <v>1600.0</v>
      </c>
      <c r="G41" s="11" t="s">
        <v>27</v>
      </c>
      <c r="H41" s="11"/>
      <c r="I41" s="11"/>
      <c r="J41" s="12"/>
      <c r="K41" s="10"/>
      <c r="L41" s="11"/>
      <c r="M41" s="11"/>
      <c r="N41" s="10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>
        <v>44218.0</v>
      </c>
      <c r="B42" s="15">
        <v>1086.0</v>
      </c>
      <c r="C42" s="11" t="s">
        <v>75</v>
      </c>
      <c r="D42" s="11" t="s">
        <v>76</v>
      </c>
      <c r="E42" s="11">
        <v>60.0</v>
      </c>
      <c r="F42" s="12">
        <v>400.0</v>
      </c>
      <c r="G42" s="11" t="s">
        <v>27</v>
      </c>
      <c r="H42" s="11"/>
      <c r="I42" s="11"/>
      <c r="J42" s="12"/>
      <c r="K42" s="10"/>
      <c r="L42" s="11"/>
      <c r="M42" s="11"/>
      <c r="N42" s="10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>
        <v>44222.0</v>
      </c>
      <c r="B43" s="13">
        <v>1101.0</v>
      </c>
      <c r="C43" s="11" t="s">
        <v>77</v>
      </c>
      <c r="D43" s="11" t="s">
        <v>78</v>
      </c>
      <c r="E43" s="11">
        <v>1.0</v>
      </c>
      <c r="F43" s="12">
        <v>9110.71</v>
      </c>
      <c r="G43" s="11" t="s">
        <v>27</v>
      </c>
      <c r="H43" s="11"/>
      <c r="I43" s="11"/>
      <c r="J43" s="12"/>
      <c r="K43" s="10"/>
      <c r="L43" s="11"/>
      <c r="M43" s="11"/>
      <c r="N43" s="10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>
        <v>44222.0</v>
      </c>
      <c r="B44" s="15">
        <v>1101.0</v>
      </c>
      <c r="C44" s="11" t="s">
        <v>77</v>
      </c>
      <c r="D44" s="11" t="s">
        <v>54</v>
      </c>
      <c r="E44" s="11">
        <v>1.0</v>
      </c>
      <c r="F44" s="12">
        <v>6091.02</v>
      </c>
      <c r="G44" s="11" t="s">
        <v>27</v>
      </c>
      <c r="H44" s="11"/>
      <c r="I44" s="11"/>
      <c r="J44" s="12"/>
      <c r="K44" s="10"/>
      <c r="L44" s="11"/>
      <c r="M44" s="11"/>
      <c r="N44" s="10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>
        <v>44222.0</v>
      </c>
      <c r="B45" s="15">
        <v>1101.0</v>
      </c>
      <c r="C45" s="11" t="s">
        <v>77</v>
      </c>
      <c r="D45" s="11" t="s">
        <v>79</v>
      </c>
      <c r="E45" s="11">
        <v>1.0</v>
      </c>
      <c r="F45" s="12" t="s">
        <v>80</v>
      </c>
      <c r="G45" s="11" t="s">
        <v>27</v>
      </c>
      <c r="H45" s="11"/>
      <c r="I45" s="11"/>
      <c r="J45" s="12"/>
      <c r="K45" s="10"/>
      <c r="L45" s="11"/>
      <c r="M45" s="11"/>
      <c r="N45" s="10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>
        <v>44222.0</v>
      </c>
      <c r="B46" s="15">
        <v>1101.0</v>
      </c>
      <c r="C46" s="11" t="s">
        <v>77</v>
      </c>
      <c r="D46" s="11" t="s">
        <v>81</v>
      </c>
      <c r="E46" s="11">
        <v>1.0</v>
      </c>
      <c r="F46" s="12" t="s">
        <v>82</v>
      </c>
      <c r="G46" s="11" t="s">
        <v>27</v>
      </c>
      <c r="H46" s="11"/>
      <c r="I46" s="11"/>
      <c r="J46" s="12"/>
      <c r="K46" s="10"/>
      <c r="L46" s="11"/>
      <c r="M46" s="11"/>
      <c r="N46" s="10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>
        <v>44222.0</v>
      </c>
      <c r="B47" s="15">
        <v>1101.0</v>
      </c>
      <c r="C47" s="11" t="s">
        <v>77</v>
      </c>
      <c r="D47" s="11" t="s">
        <v>83</v>
      </c>
      <c r="E47" s="11">
        <v>1.0</v>
      </c>
      <c r="F47" s="12">
        <v>804.2</v>
      </c>
      <c r="G47" s="11" t="s">
        <v>27</v>
      </c>
      <c r="H47" s="11"/>
      <c r="I47" s="11"/>
      <c r="J47" s="12"/>
      <c r="K47" s="10"/>
      <c r="L47" s="11"/>
      <c r="M47" s="11"/>
      <c r="N47" s="10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>
        <v>44222.0</v>
      </c>
      <c r="B48" s="15">
        <v>1101.0</v>
      </c>
      <c r="C48" s="11" t="s">
        <v>77</v>
      </c>
      <c r="D48" s="11" t="s">
        <v>84</v>
      </c>
      <c r="E48" s="11">
        <v>1.0</v>
      </c>
      <c r="F48" s="12" t="s">
        <v>85</v>
      </c>
      <c r="G48" s="11" t="s">
        <v>27</v>
      </c>
      <c r="H48" s="11"/>
      <c r="I48" s="11"/>
      <c r="J48" s="12"/>
      <c r="K48" s="10"/>
      <c r="L48" s="11"/>
      <c r="M48" s="11"/>
      <c r="N48" s="10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>
        <v>44222.0</v>
      </c>
      <c r="B49" s="17">
        <v>1101.0</v>
      </c>
      <c r="C49" s="11" t="s">
        <v>77</v>
      </c>
      <c r="D49" s="11" t="s">
        <v>86</v>
      </c>
      <c r="E49" s="11">
        <v>1.0</v>
      </c>
      <c r="F49" s="12" t="s">
        <v>87</v>
      </c>
      <c r="G49" s="11" t="s">
        <v>27</v>
      </c>
      <c r="H49" s="11"/>
      <c r="I49" s="11"/>
      <c r="J49" s="12"/>
      <c r="K49" s="10"/>
      <c r="L49" s="11"/>
      <c r="M49" s="11"/>
      <c r="N49" s="10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>
        <v>44211.0</v>
      </c>
      <c r="B50" s="15">
        <v>1077.0</v>
      </c>
      <c r="C50" s="11" t="s">
        <v>39</v>
      </c>
      <c r="D50" s="11" t="s">
        <v>88</v>
      </c>
      <c r="E50" s="11">
        <v>1.0</v>
      </c>
      <c r="F50" s="12" t="s">
        <v>89</v>
      </c>
      <c r="G50" s="14" t="s">
        <v>21</v>
      </c>
      <c r="H50" s="11"/>
      <c r="I50" s="11"/>
      <c r="J50" s="12">
        <v>18341.68</v>
      </c>
      <c r="K50" s="10">
        <v>44212.0</v>
      </c>
      <c r="L50" s="11">
        <v>1460.0</v>
      </c>
      <c r="M50" s="11"/>
      <c r="N50" s="10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>
        <v>44215.0</v>
      </c>
      <c r="B51" s="13">
        <v>1079.0</v>
      </c>
      <c r="C51" s="11" t="s">
        <v>77</v>
      </c>
      <c r="D51" s="11" t="s">
        <v>90</v>
      </c>
      <c r="E51" s="11">
        <v>1.0</v>
      </c>
      <c r="F51" s="12">
        <v>16.0</v>
      </c>
      <c r="G51" s="11" t="s">
        <v>27</v>
      </c>
      <c r="H51" s="11"/>
      <c r="I51" s="11"/>
      <c r="J51" s="12"/>
      <c r="K51" s="10"/>
      <c r="L51" s="11"/>
      <c r="M51" s="11"/>
      <c r="N51" s="10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>
        <v>44215.0</v>
      </c>
      <c r="B52" s="15">
        <v>1079.0</v>
      </c>
      <c r="C52" s="11" t="s">
        <v>77</v>
      </c>
      <c r="D52" s="11" t="s">
        <v>91</v>
      </c>
      <c r="E52" s="11">
        <v>1.0</v>
      </c>
      <c r="F52" s="12">
        <v>1813.99</v>
      </c>
      <c r="G52" s="11" t="s">
        <v>27</v>
      </c>
      <c r="H52" s="11"/>
      <c r="I52" s="11"/>
      <c r="J52" s="12"/>
      <c r="K52" s="10"/>
      <c r="L52" s="11"/>
      <c r="M52" s="11"/>
      <c r="N52" s="10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>
        <v>44215.0</v>
      </c>
      <c r="B53" s="17">
        <v>1079.0</v>
      </c>
      <c r="C53" s="11" t="s">
        <v>77</v>
      </c>
      <c r="D53" s="11" t="s">
        <v>92</v>
      </c>
      <c r="E53" s="11">
        <v>1.0</v>
      </c>
      <c r="F53" s="12">
        <v>5033.71</v>
      </c>
      <c r="G53" s="11" t="s">
        <v>27</v>
      </c>
      <c r="H53" s="11"/>
      <c r="I53" s="11"/>
      <c r="J53" s="12"/>
      <c r="K53" s="10"/>
      <c r="L53" s="11"/>
      <c r="M53" s="11"/>
      <c r="N53" s="10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>
        <v>44216.0</v>
      </c>
      <c r="B54" s="15">
        <v>1080.0</v>
      </c>
      <c r="C54" s="11" t="s">
        <v>39</v>
      </c>
      <c r="D54" s="11" t="s">
        <v>93</v>
      </c>
      <c r="E54" s="11">
        <v>3.0</v>
      </c>
      <c r="F54" s="12" t="s">
        <v>94</v>
      </c>
      <c r="G54" s="14" t="s">
        <v>21</v>
      </c>
      <c r="H54" s="11"/>
      <c r="I54" s="11"/>
      <c r="J54" s="12">
        <v>55025.04</v>
      </c>
      <c r="K54" s="10">
        <v>44252.0</v>
      </c>
      <c r="L54" s="11">
        <v>1479.0</v>
      </c>
      <c r="M54" s="11"/>
      <c r="N54" s="10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>
        <v>44216.0</v>
      </c>
      <c r="B55" s="16">
        <v>1081.0</v>
      </c>
      <c r="C55" s="11" t="s">
        <v>95</v>
      </c>
      <c r="D55" s="11" t="s">
        <v>96</v>
      </c>
      <c r="E55" s="11">
        <v>2.0</v>
      </c>
      <c r="F55" s="12">
        <v>6400.0</v>
      </c>
      <c r="G55" s="14" t="s">
        <v>21</v>
      </c>
      <c r="H55" s="11"/>
      <c r="I55" s="11"/>
      <c r="J55" s="12">
        <v>6400.0</v>
      </c>
      <c r="K55" s="10">
        <v>44294.0</v>
      </c>
      <c r="L55" s="11">
        <v>1493.0</v>
      </c>
      <c r="M55" s="11"/>
      <c r="N55" s="10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>
        <v>44217.0</v>
      </c>
      <c r="B56" s="17">
        <v>1083.0</v>
      </c>
      <c r="C56" s="11" t="s">
        <v>77</v>
      </c>
      <c r="D56" s="11" t="s">
        <v>97</v>
      </c>
      <c r="E56" s="11">
        <v>1.0</v>
      </c>
      <c r="F56" s="12">
        <v>7500.0</v>
      </c>
      <c r="G56" s="14" t="s">
        <v>21</v>
      </c>
      <c r="H56" s="11"/>
      <c r="I56" s="11"/>
      <c r="J56" s="12">
        <v>7500.0</v>
      </c>
      <c r="K56" s="10">
        <v>44314.0</v>
      </c>
      <c r="L56" s="11">
        <v>1507.0</v>
      </c>
      <c r="M56" s="11"/>
      <c r="N56" s="10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/>
      <c r="B57" s="11"/>
      <c r="C57" s="11" t="s">
        <v>98</v>
      </c>
      <c r="D57" s="11" t="s">
        <v>99</v>
      </c>
      <c r="E57" s="11"/>
      <c r="F57" s="12"/>
      <c r="G57" s="11" t="s">
        <v>18</v>
      </c>
      <c r="H57" s="11"/>
      <c r="I57" s="11"/>
      <c r="J57" s="12"/>
      <c r="K57" s="10"/>
      <c r="L57" s="11"/>
      <c r="M57" s="11"/>
      <c r="N57" s="10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>
        <v>44217.0</v>
      </c>
      <c r="B58" s="16">
        <v>1085.0</v>
      </c>
      <c r="C58" s="11" t="s">
        <v>100</v>
      </c>
      <c r="D58" s="11" t="s">
        <v>101</v>
      </c>
      <c r="E58" s="11">
        <v>1.0</v>
      </c>
      <c r="F58" s="12">
        <v>9200.0</v>
      </c>
      <c r="G58" s="11" t="s">
        <v>27</v>
      </c>
      <c r="H58" s="11"/>
      <c r="I58" s="11"/>
      <c r="J58" s="12"/>
      <c r="K58" s="10"/>
      <c r="L58" s="11"/>
      <c r="M58" s="11"/>
      <c r="N58" s="10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/>
      <c r="B59" s="11"/>
      <c r="C59" s="11" t="s">
        <v>102</v>
      </c>
      <c r="D59" s="11" t="s">
        <v>103</v>
      </c>
      <c r="E59" s="11"/>
      <c r="F59" s="12"/>
      <c r="G59" s="11" t="s">
        <v>18</v>
      </c>
      <c r="H59" s="11"/>
      <c r="I59" s="11"/>
      <c r="J59" s="12"/>
      <c r="K59" s="10"/>
      <c r="L59" s="11"/>
      <c r="M59" s="11"/>
      <c r="N59" s="10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/>
      <c r="B60" s="11"/>
      <c r="C60" s="11" t="s">
        <v>104</v>
      </c>
      <c r="D60" s="11" t="s">
        <v>105</v>
      </c>
      <c r="E60" s="11"/>
      <c r="F60" s="12"/>
      <c r="G60" s="11" t="s">
        <v>18</v>
      </c>
      <c r="H60" s="11"/>
      <c r="I60" s="11"/>
      <c r="J60" s="12"/>
      <c r="K60" s="10"/>
      <c r="L60" s="11"/>
      <c r="M60" s="11"/>
      <c r="N60" s="10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>
        <v>44218.0</v>
      </c>
      <c r="B61" s="13">
        <v>1088.0</v>
      </c>
      <c r="C61" s="11" t="s">
        <v>39</v>
      </c>
      <c r="D61" s="11" t="s">
        <v>106</v>
      </c>
      <c r="E61" s="11">
        <v>1.0</v>
      </c>
      <c r="F61" s="12">
        <v>154.94</v>
      </c>
      <c r="G61" s="11" t="s">
        <v>27</v>
      </c>
      <c r="H61" s="11"/>
      <c r="I61" s="11"/>
      <c r="J61" s="12"/>
      <c r="K61" s="10"/>
      <c r="L61" s="11"/>
      <c r="M61" s="11"/>
      <c r="N61" s="10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>
        <v>44218.0</v>
      </c>
      <c r="B62" s="15">
        <v>1088.0</v>
      </c>
      <c r="C62" s="11" t="s">
        <v>44</v>
      </c>
      <c r="D62" s="11" t="s">
        <v>107</v>
      </c>
      <c r="E62" s="11">
        <v>1.0</v>
      </c>
      <c r="F62" s="12">
        <v>134.62</v>
      </c>
      <c r="G62" s="11" t="s">
        <v>27</v>
      </c>
      <c r="H62" s="11"/>
      <c r="I62" s="11"/>
      <c r="J62" s="12"/>
      <c r="K62" s="10"/>
      <c r="L62" s="11"/>
      <c r="M62" s="11"/>
      <c r="N62" s="10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>
        <v>44218.0</v>
      </c>
      <c r="B63" s="15">
        <v>1088.0</v>
      </c>
      <c r="C63" s="11" t="s">
        <v>44</v>
      </c>
      <c r="D63" s="11" t="s">
        <v>108</v>
      </c>
      <c r="E63" s="11">
        <v>1.0</v>
      </c>
      <c r="F63" s="12">
        <v>222.01</v>
      </c>
      <c r="G63" s="11" t="s">
        <v>27</v>
      </c>
      <c r="H63" s="11"/>
      <c r="I63" s="11"/>
      <c r="J63" s="12"/>
      <c r="K63" s="10"/>
      <c r="L63" s="11"/>
      <c r="M63" s="11"/>
      <c r="N63" s="10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>
        <v>44218.0</v>
      </c>
      <c r="B64" s="15">
        <v>1088.0</v>
      </c>
      <c r="C64" s="11" t="s">
        <v>44</v>
      </c>
      <c r="D64" s="11" t="s">
        <v>109</v>
      </c>
      <c r="E64" s="11">
        <v>1.0</v>
      </c>
      <c r="F64" s="12">
        <v>190.21</v>
      </c>
      <c r="G64" s="11" t="s">
        <v>27</v>
      </c>
      <c r="H64" s="11"/>
      <c r="I64" s="11"/>
      <c r="J64" s="12"/>
      <c r="K64" s="10"/>
      <c r="L64" s="11"/>
      <c r="M64" s="11"/>
      <c r="N64" s="10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>
        <v>44218.0</v>
      </c>
      <c r="B65" s="15">
        <v>1088.0</v>
      </c>
      <c r="C65" s="11" t="s">
        <v>44</v>
      </c>
      <c r="D65" s="11" t="s">
        <v>110</v>
      </c>
      <c r="E65" s="11">
        <v>1.0</v>
      </c>
      <c r="F65" s="12">
        <v>141.3</v>
      </c>
      <c r="G65" s="11" t="s">
        <v>27</v>
      </c>
      <c r="H65" s="11"/>
      <c r="I65" s="11"/>
      <c r="J65" s="12"/>
      <c r="K65" s="10"/>
      <c r="L65" s="11"/>
      <c r="M65" s="11"/>
      <c r="N65" s="10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>
        <v>44218.0</v>
      </c>
      <c r="B66" s="15">
        <v>1088.0</v>
      </c>
      <c r="C66" s="11" t="s">
        <v>44</v>
      </c>
      <c r="D66" s="11" t="s">
        <v>111</v>
      </c>
      <c r="E66" s="11">
        <v>1.0</v>
      </c>
      <c r="F66" s="12">
        <v>36.71</v>
      </c>
      <c r="G66" s="11" t="s">
        <v>27</v>
      </c>
      <c r="H66" s="11"/>
      <c r="I66" s="11"/>
      <c r="J66" s="12"/>
      <c r="K66" s="10"/>
      <c r="L66" s="11"/>
      <c r="M66" s="11"/>
      <c r="N66" s="10"/>
      <c r="O66" s="1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>
        <v>44217.0</v>
      </c>
      <c r="B67" s="16">
        <v>1084.0</v>
      </c>
      <c r="C67" s="11" t="s">
        <v>44</v>
      </c>
      <c r="D67" s="11" t="s">
        <v>112</v>
      </c>
      <c r="E67" s="11">
        <v>1.0</v>
      </c>
      <c r="F67" s="12">
        <v>1589.34</v>
      </c>
      <c r="G67" s="14" t="s">
        <v>21</v>
      </c>
      <c r="H67" s="11"/>
      <c r="I67" s="11"/>
      <c r="J67" s="12">
        <v>1589.34</v>
      </c>
      <c r="K67" s="10">
        <v>44221.0</v>
      </c>
      <c r="L67" s="11">
        <v>1465.0</v>
      </c>
      <c r="M67" s="11"/>
      <c r="N67" s="10"/>
      <c r="O67" s="1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>
        <v>44218.0</v>
      </c>
      <c r="B68" s="15">
        <v>1090.0</v>
      </c>
      <c r="C68" s="11" t="s">
        <v>44</v>
      </c>
      <c r="D68" s="11" t="s">
        <v>113</v>
      </c>
      <c r="E68" s="11">
        <v>1.0</v>
      </c>
      <c r="F68" s="12">
        <v>154.04</v>
      </c>
      <c r="G68" s="11" t="s">
        <v>27</v>
      </c>
      <c r="H68" s="11"/>
      <c r="I68" s="11"/>
      <c r="J68" s="12"/>
      <c r="K68" s="10"/>
      <c r="L68" s="11"/>
      <c r="M68" s="11"/>
      <c r="N68" s="10"/>
      <c r="O68" s="1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">
        <v>44218.0</v>
      </c>
      <c r="B69" s="15">
        <v>1090.0</v>
      </c>
      <c r="C69" s="11" t="s">
        <v>44</v>
      </c>
      <c r="D69" s="11" t="s">
        <v>114</v>
      </c>
      <c r="E69" s="11">
        <v>1.0</v>
      </c>
      <c r="F69" s="12">
        <v>196.43</v>
      </c>
      <c r="G69" s="11" t="s">
        <v>27</v>
      </c>
      <c r="H69" s="11"/>
      <c r="I69" s="11"/>
      <c r="J69" s="12"/>
      <c r="K69" s="10"/>
      <c r="L69" s="11"/>
      <c r="M69" s="11"/>
      <c r="N69" s="10"/>
      <c r="O69" s="1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">
        <v>44218.0</v>
      </c>
      <c r="B70" s="15">
        <v>1090.0</v>
      </c>
      <c r="C70" s="11" t="s">
        <v>44</v>
      </c>
      <c r="D70" s="11" t="s">
        <v>115</v>
      </c>
      <c r="E70" s="11">
        <v>1.0</v>
      </c>
      <c r="F70" s="12">
        <v>51.62</v>
      </c>
      <c r="G70" s="11" t="s">
        <v>27</v>
      </c>
      <c r="H70" s="11"/>
      <c r="I70" s="11"/>
      <c r="J70" s="12"/>
      <c r="K70" s="10"/>
      <c r="L70" s="11"/>
      <c r="M70" s="11"/>
      <c r="N70" s="10"/>
      <c r="O70" s="10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">
        <v>44218.0</v>
      </c>
      <c r="B71" s="16">
        <v>1097.0</v>
      </c>
      <c r="C71" s="11" t="s">
        <v>44</v>
      </c>
      <c r="D71" s="11" t="s">
        <v>116</v>
      </c>
      <c r="E71" s="11">
        <v>1.0</v>
      </c>
      <c r="F71" s="12">
        <v>518.67</v>
      </c>
      <c r="G71" s="11" t="s">
        <v>27</v>
      </c>
      <c r="H71" s="11"/>
      <c r="I71" s="11"/>
      <c r="J71" s="12"/>
      <c r="K71" s="10"/>
      <c r="L71" s="11"/>
      <c r="M71" s="11"/>
      <c r="N71" s="10"/>
      <c r="O71" s="1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"/>
      <c r="B72" s="11"/>
      <c r="C72" s="11" t="s">
        <v>117</v>
      </c>
      <c r="D72" s="11" t="s">
        <v>118</v>
      </c>
      <c r="E72" s="11"/>
      <c r="F72" s="12"/>
      <c r="G72" s="11" t="s">
        <v>18</v>
      </c>
      <c r="H72" s="11"/>
      <c r="I72" s="11"/>
      <c r="J72" s="12"/>
      <c r="K72" s="10"/>
      <c r="L72" s="11"/>
      <c r="M72" s="11"/>
      <c r="N72" s="10"/>
      <c r="O72" s="10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">
        <v>44218.0</v>
      </c>
      <c r="B73" s="13">
        <v>1098.0</v>
      </c>
      <c r="C73" s="11" t="s">
        <v>44</v>
      </c>
      <c r="D73" s="11" t="s">
        <v>67</v>
      </c>
      <c r="E73" s="11">
        <v>34.0</v>
      </c>
      <c r="F73" s="12" t="s">
        <v>119</v>
      </c>
      <c r="G73" s="11" t="s">
        <v>27</v>
      </c>
      <c r="H73" s="11"/>
      <c r="I73" s="11"/>
      <c r="J73" s="12"/>
      <c r="K73" s="10"/>
      <c r="L73" s="11"/>
      <c r="M73" s="11"/>
      <c r="N73" s="10"/>
      <c r="O73" s="10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">
        <v>44218.0</v>
      </c>
      <c r="B74" s="16">
        <v>1087.0</v>
      </c>
      <c r="C74" s="11" t="s">
        <v>120</v>
      </c>
      <c r="D74" s="11" t="s">
        <v>121</v>
      </c>
      <c r="E74" s="11">
        <v>1.0</v>
      </c>
      <c r="F74" s="12">
        <v>4600.0</v>
      </c>
      <c r="G74" s="11" t="s">
        <v>27</v>
      </c>
      <c r="H74" s="11"/>
      <c r="I74" s="11"/>
      <c r="J74" s="12"/>
      <c r="K74" s="10"/>
      <c r="L74" s="11"/>
      <c r="M74" s="11"/>
      <c r="N74" s="10"/>
      <c r="O74" s="10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">
        <v>44222.0</v>
      </c>
      <c r="B75" s="15">
        <v>1102.0</v>
      </c>
      <c r="C75" s="11" t="s">
        <v>44</v>
      </c>
      <c r="D75" s="11" t="s">
        <v>67</v>
      </c>
      <c r="E75" s="11">
        <v>12.0</v>
      </c>
      <c r="F75" s="12" t="s">
        <v>122</v>
      </c>
      <c r="G75" s="11" t="s">
        <v>27</v>
      </c>
      <c r="H75" s="11"/>
      <c r="I75" s="11"/>
      <c r="J75" s="12"/>
      <c r="K75" s="10"/>
      <c r="L75" s="11"/>
      <c r="M75" s="11"/>
      <c r="N75" s="10"/>
      <c r="O75" s="10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">
        <v>44224.0</v>
      </c>
      <c r="B76" s="13">
        <v>1103.0</v>
      </c>
      <c r="C76" s="11" t="s">
        <v>123</v>
      </c>
      <c r="D76" s="11" t="s">
        <v>124</v>
      </c>
      <c r="E76" s="11">
        <v>1.0</v>
      </c>
      <c r="F76" s="12">
        <v>932.6</v>
      </c>
      <c r="G76" s="11" t="s">
        <v>27</v>
      </c>
      <c r="H76" s="11"/>
      <c r="I76" s="11"/>
      <c r="J76" s="12"/>
      <c r="K76" s="10"/>
      <c r="L76" s="11"/>
      <c r="M76" s="11"/>
      <c r="N76" s="10"/>
      <c r="O76" s="1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">
        <v>44224.0</v>
      </c>
      <c r="B77" s="15">
        <v>1103.0</v>
      </c>
      <c r="C77" s="11" t="s">
        <v>123</v>
      </c>
      <c r="D77" s="11" t="s">
        <v>125</v>
      </c>
      <c r="E77" s="11">
        <v>1.0</v>
      </c>
      <c r="F77" s="12">
        <v>950.94</v>
      </c>
      <c r="G77" s="11" t="s">
        <v>27</v>
      </c>
      <c r="H77" s="11"/>
      <c r="I77" s="11"/>
      <c r="J77" s="12"/>
      <c r="K77" s="10"/>
      <c r="L77" s="11"/>
      <c r="M77" s="11"/>
      <c r="N77" s="10"/>
      <c r="O77" s="1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">
        <v>44224.0</v>
      </c>
      <c r="B78" s="17">
        <v>1103.0</v>
      </c>
      <c r="C78" s="11" t="s">
        <v>123</v>
      </c>
      <c r="D78" s="11" t="s">
        <v>126</v>
      </c>
      <c r="E78" s="11">
        <v>1.0</v>
      </c>
      <c r="F78" s="12">
        <v>1208.67</v>
      </c>
      <c r="G78" s="11" t="s">
        <v>27</v>
      </c>
      <c r="H78" s="11"/>
      <c r="I78" s="11"/>
      <c r="J78" s="12"/>
      <c r="K78" s="10"/>
      <c r="L78" s="11"/>
      <c r="M78" s="11"/>
      <c r="N78" s="10"/>
      <c r="O78" s="10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">
        <v>44225.0</v>
      </c>
      <c r="B79" s="15">
        <v>1109.0</v>
      </c>
      <c r="C79" s="11" t="s">
        <v>44</v>
      </c>
      <c r="D79" s="11" t="s">
        <v>127</v>
      </c>
      <c r="E79" s="11">
        <v>25.0</v>
      </c>
      <c r="F79" s="12" t="s">
        <v>128</v>
      </c>
      <c r="G79" s="14" t="s">
        <v>21</v>
      </c>
      <c r="H79" s="11"/>
      <c r="I79" s="11"/>
      <c r="J79" s="12">
        <v>79468.93</v>
      </c>
      <c r="K79" s="10">
        <v>44323.0</v>
      </c>
      <c r="L79" s="11">
        <v>1515.0</v>
      </c>
      <c r="M79" s="11"/>
      <c r="N79" s="10"/>
      <c r="O79" s="10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">
        <v>44225.0</v>
      </c>
      <c r="B80" s="15">
        <v>1109.0</v>
      </c>
      <c r="C80" s="11" t="s">
        <v>44</v>
      </c>
      <c r="D80" s="11" t="s">
        <v>127</v>
      </c>
      <c r="E80" s="11">
        <v>14.0</v>
      </c>
      <c r="F80" s="12" t="s">
        <v>129</v>
      </c>
      <c r="G80" s="14" t="s">
        <v>21</v>
      </c>
      <c r="H80" s="11"/>
      <c r="I80" s="11"/>
      <c r="J80" s="12">
        <v>10402.1</v>
      </c>
      <c r="K80" s="10">
        <v>44349.0</v>
      </c>
      <c r="L80" s="11">
        <v>1527.0</v>
      </c>
      <c r="M80" s="11"/>
      <c r="N80" s="10"/>
      <c r="O80" s="10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">
        <v>44225.0</v>
      </c>
      <c r="B81" s="15">
        <v>1109.0</v>
      </c>
      <c r="C81" s="11" t="s">
        <v>44</v>
      </c>
      <c r="D81" s="11" t="s">
        <v>127</v>
      </c>
      <c r="E81" s="11">
        <v>4.0</v>
      </c>
      <c r="F81" s="12">
        <v>6204.36</v>
      </c>
      <c r="G81" s="14" t="s">
        <v>21</v>
      </c>
      <c r="H81" s="11"/>
      <c r="I81" s="11"/>
      <c r="J81" s="12">
        <v>6204.36</v>
      </c>
      <c r="K81" s="10">
        <v>44364.0</v>
      </c>
      <c r="L81" s="11">
        <v>1533.0</v>
      </c>
      <c r="M81" s="11"/>
      <c r="N81" s="10"/>
      <c r="O81" s="10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">
        <v>44225.0</v>
      </c>
      <c r="B82" s="15">
        <v>1109.0</v>
      </c>
      <c r="C82" s="11" t="s">
        <v>44</v>
      </c>
      <c r="D82" s="11" t="s">
        <v>130</v>
      </c>
      <c r="E82" s="11">
        <v>4.0</v>
      </c>
      <c r="F82" s="12" t="s">
        <v>131</v>
      </c>
      <c r="G82" s="14" t="s">
        <v>21</v>
      </c>
      <c r="H82" s="11"/>
      <c r="I82" s="11"/>
      <c r="J82" s="12">
        <v>3360.0</v>
      </c>
      <c r="K82" s="10">
        <v>44391.0</v>
      </c>
      <c r="L82" s="11">
        <v>1548.0</v>
      </c>
      <c r="M82" s="11"/>
      <c r="N82" s="10"/>
      <c r="O82" s="10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">
        <v>44224.0</v>
      </c>
      <c r="B83" s="13">
        <v>1104.0</v>
      </c>
      <c r="C83" s="11" t="s">
        <v>44</v>
      </c>
      <c r="D83" s="11" t="s">
        <v>132</v>
      </c>
      <c r="E83" s="11">
        <v>1.0</v>
      </c>
      <c r="F83" s="12">
        <v>6409.19</v>
      </c>
      <c r="G83" s="14" t="s">
        <v>21</v>
      </c>
      <c r="H83" s="11"/>
      <c r="I83" s="11"/>
      <c r="J83" s="12">
        <v>5129.71</v>
      </c>
      <c r="K83" s="10">
        <v>44389.0</v>
      </c>
      <c r="L83" s="11">
        <v>1547.0</v>
      </c>
      <c r="M83" s="11"/>
      <c r="N83" s="10"/>
      <c r="O83" s="10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0">
        <v>44225.0</v>
      </c>
      <c r="B84" s="15">
        <v>1104.0</v>
      </c>
      <c r="C84" s="11" t="s">
        <v>44</v>
      </c>
      <c r="D84" s="11" t="s">
        <v>133</v>
      </c>
      <c r="E84" s="11">
        <v>1.0</v>
      </c>
      <c r="F84" s="12" t="s">
        <v>134</v>
      </c>
      <c r="G84" s="14" t="s">
        <v>21</v>
      </c>
      <c r="H84" s="11"/>
      <c r="I84" s="11"/>
      <c r="J84" s="12">
        <v>11778.58</v>
      </c>
      <c r="K84" s="10">
        <v>44413.0</v>
      </c>
      <c r="L84" s="11">
        <v>1563.0</v>
      </c>
      <c r="M84" s="11"/>
      <c r="N84" s="10"/>
      <c r="O84" s="10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">
        <v>44226.0</v>
      </c>
      <c r="B85" s="15">
        <v>1104.0</v>
      </c>
      <c r="C85" s="11" t="s">
        <v>44</v>
      </c>
      <c r="D85" s="11" t="s">
        <v>135</v>
      </c>
      <c r="E85" s="11">
        <v>100.0</v>
      </c>
      <c r="F85" s="12">
        <v>2475.06</v>
      </c>
      <c r="G85" s="14" t="s">
        <v>21</v>
      </c>
      <c r="H85" s="11"/>
      <c r="I85" s="11"/>
      <c r="J85" s="12">
        <v>1981.0</v>
      </c>
      <c r="K85" s="10">
        <v>44389.0</v>
      </c>
      <c r="L85" s="11">
        <v>1547.0</v>
      </c>
      <c r="M85" s="11"/>
      <c r="N85" s="10"/>
      <c r="O85" s="10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">
        <v>44227.0</v>
      </c>
      <c r="B86" s="15">
        <v>1104.0</v>
      </c>
      <c r="C86" s="11" t="s">
        <v>44</v>
      </c>
      <c r="D86" s="11" t="s">
        <v>136</v>
      </c>
      <c r="E86" s="11">
        <v>100.0</v>
      </c>
      <c r="F86" s="12">
        <v>3879.51</v>
      </c>
      <c r="G86" s="14" t="s">
        <v>21</v>
      </c>
      <c r="H86" s="11"/>
      <c r="I86" s="11"/>
      <c r="J86" s="12">
        <v>3105.0</v>
      </c>
      <c r="K86" s="10">
        <v>44323.0</v>
      </c>
      <c r="L86" s="11">
        <v>1514.0</v>
      </c>
      <c r="M86" s="11"/>
      <c r="N86" s="10"/>
      <c r="O86" s="10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0">
        <v>44228.0</v>
      </c>
      <c r="B87" s="15">
        <v>1104.0</v>
      </c>
      <c r="C87" s="11" t="s">
        <v>44</v>
      </c>
      <c r="D87" s="11" t="s">
        <v>137</v>
      </c>
      <c r="E87" s="11">
        <v>5.0</v>
      </c>
      <c r="F87" s="12">
        <v>4696.51</v>
      </c>
      <c r="G87" s="14" t="s">
        <v>21</v>
      </c>
      <c r="H87" s="11"/>
      <c r="I87" s="11"/>
      <c r="J87" s="12">
        <v>3132.45</v>
      </c>
      <c r="K87" s="10">
        <v>44335.0</v>
      </c>
      <c r="L87" s="11">
        <v>1519.0</v>
      </c>
      <c r="M87" s="11"/>
      <c r="N87" s="10"/>
      <c r="O87" s="10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">
        <v>44228.0</v>
      </c>
      <c r="B88" s="15">
        <v>1104.0</v>
      </c>
      <c r="C88" s="11" t="s">
        <v>44</v>
      </c>
      <c r="D88" s="11" t="s">
        <v>137</v>
      </c>
      <c r="E88" s="11">
        <v>1.0</v>
      </c>
      <c r="F88" s="12">
        <v>626.49</v>
      </c>
      <c r="G88" s="14" t="s">
        <v>21</v>
      </c>
      <c r="H88" s="11"/>
      <c r="I88" s="11"/>
      <c r="J88" s="12">
        <v>626.49</v>
      </c>
      <c r="K88" s="10">
        <v>44323.0</v>
      </c>
      <c r="L88" s="11">
        <v>1514.0</v>
      </c>
      <c r="M88" s="11"/>
      <c r="N88" s="10"/>
      <c r="O88" s="10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>
        <v>44229.0</v>
      </c>
      <c r="B89" s="15">
        <v>1104.0</v>
      </c>
      <c r="C89" s="11" t="s">
        <v>44</v>
      </c>
      <c r="D89" s="11" t="s">
        <v>138</v>
      </c>
      <c r="E89" s="11">
        <v>30.0</v>
      </c>
      <c r="F89" s="12">
        <v>547.39</v>
      </c>
      <c r="G89" s="14" t="s">
        <v>21</v>
      </c>
      <c r="H89" s="11"/>
      <c r="I89" s="11"/>
      <c r="J89" s="12">
        <v>438.11</v>
      </c>
      <c r="K89" s="10">
        <v>44323.0</v>
      </c>
      <c r="L89" s="11">
        <v>1514.0</v>
      </c>
      <c r="M89" s="11"/>
      <c r="N89" s="10"/>
      <c r="O89" s="10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">
        <v>44230.0</v>
      </c>
      <c r="B90" s="15">
        <v>1104.0</v>
      </c>
      <c r="C90" s="11" t="s">
        <v>44</v>
      </c>
      <c r="D90" s="11" t="s">
        <v>139</v>
      </c>
      <c r="E90" s="11">
        <v>100.0</v>
      </c>
      <c r="F90" s="12">
        <v>3568.69</v>
      </c>
      <c r="G90" s="14" t="s">
        <v>21</v>
      </c>
      <c r="H90" s="11"/>
      <c r="I90" s="11"/>
      <c r="J90" s="12">
        <v>2856.0</v>
      </c>
      <c r="K90" s="10">
        <v>44323.0</v>
      </c>
      <c r="L90" s="11">
        <v>1514.0</v>
      </c>
      <c r="M90" s="11"/>
      <c r="N90" s="10"/>
      <c r="O90" s="10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">
        <v>44231.0</v>
      </c>
      <c r="B91" s="17">
        <v>1104.0</v>
      </c>
      <c r="C91" s="11" t="s">
        <v>44</v>
      </c>
      <c r="D91" s="11" t="s">
        <v>140</v>
      </c>
      <c r="E91" s="11">
        <v>1.0</v>
      </c>
      <c r="F91" s="12">
        <v>1919.42</v>
      </c>
      <c r="G91" s="14" t="s">
        <v>21</v>
      </c>
      <c r="H91" s="11"/>
      <c r="I91" s="11"/>
      <c r="J91" s="12">
        <v>1536.24</v>
      </c>
      <c r="K91" s="10">
        <v>44323.0</v>
      </c>
      <c r="L91" s="11">
        <v>1514.0</v>
      </c>
      <c r="M91" s="11"/>
      <c r="N91" s="10"/>
      <c r="O91" s="10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">
        <v>44224.0</v>
      </c>
      <c r="B92" s="15">
        <v>1106.0</v>
      </c>
      <c r="C92" s="11" t="s">
        <v>141</v>
      </c>
      <c r="D92" s="11" t="s">
        <v>142</v>
      </c>
      <c r="E92" s="11">
        <v>1.0</v>
      </c>
      <c r="F92" s="12">
        <v>2240.35</v>
      </c>
      <c r="G92" s="11" t="s">
        <v>27</v>
      </c>
      <c r="H92" s="11"/>
      <c r="I92" s="11"/>
      <c r="J92" s="12"/>
      <c r="K92" s="10"/>
      <c r="L92" s="11"/>
      <c r="M92" s="11"/>
      <c r="N92" s="10"/>
      <c r="O92" s="10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">
        <v>44224.0</v>
      </c>
      <c r="B93" s="13">
        <v>1105.0</v>
      </c>
      <c r="C93" s="11" t="s">
        <v>77</v>
      </c>
      <c r="D93" s="11" t="s">
        <v>132</v>
      </c>
      <c r="E93" s="11">
        <v>1.0</v>
      </c>
      <c r="F93" s="12">
        <v>6409.19</v>
      </c>
      <c r="G93" s="11" t="s">
        <v>27</v>
      </c>
      <c r="H93" s="11"/>
      <c r="I93" s="11"/>
      <c r="J93" s="12"/>
      <c r="K93" s="10"/>
      <c r="L93" s="11"/>
      <c r="M93" s="11"/>
      <c r="N93" s="10"/>
      <c r="O93" s="10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">
        <v>44224.0</v>
      </c>
      <c r="B94" s="15">
        <v>1105.0</v>
      </c>
      <c r="C94" s="11" t="s">
        <v>77</v>
      </c>
      <c r="D94" s="11" t="s">
        <v>133</v>
      </c>
      <c r="E94" s="11">
        <v>1.0</v>
      </c>
      <c r="F94" s="12" t="s">
        <v>143</v>
      </c>
      <c r="G94" s="11" t="s">
        <v>27</v>
      </c>
      <c r="H94" s="11"/>
      <c r="I94" s="11"/>
      <c r="J94" s="12"/>
      <c r="K94" s="10"/>
      <c r="L94" s="11"/>
      <c r="M94" s="11"/>
      <c r="N94" s="10"/>
      <c r="O94" s="10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">
        <v>44224.0</v>
      </c>
      <c r="B95" s="15">
        <v>1105.0</v>
      </c>
      <c r="C95" s="11" t="s">
        <v>77</v>
      </c>
      <c r="D95" s="11" t="s">
        <v>135</v>
      </c>
      <c r="E95" s="11">
        <v>100.0</v>
      </c>
      <c r="F95" s="12">
        <v>2475.06</v>
      </c>
      <c r="G95" s="11" t="s">
        <v>27</v>
      </c>
      <c r="H95" s="11"/>
      <c r="I95" s="11"/>
      <c r="J95" s="12"/>
      <c r="K95" s="10"/>
      <c r="L95" s="11"/>
      <c r="M95" s="11"/>
      <c r="N95" s="10"/>
      <c r="O95" s="10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">
        <v>44224.0</v>
      </c>
      <c r="B96" s="15">
        <v>1105.0</v>
      </c>
      <c r="C96" s="11" t="s">
        <v>77</v>
      </c>
      <c r="D96" s="11" t="s">
        <v>136</v>
      </c>
      <c r="E96" s="11">
        <v>100.0</v>
      </c>
      <c r="F96" s="12">
        <v>3879.51</v>
      </c>
      <c r="G96" s="11" t="s">
        <v>27</v>
      </c>
      <c r="H96" s="11"/>
      <c r="I96" s="11"/>
      <c r="J96" s="12"/>
      <c r="K96" s="10"/>
      <c r="L96" s="11"/>
      <c r="M96" s="11"/>
      <c r="N96" s="10"/>
      <c r="O96" s="10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">
        <v>44224.0</v>
      </c>
      <c r="B97" s="15">
        <v>1105.0</v>
      </c>
      <c r="C97" s="11" t="s">
        <v>77</v>
      </c>
      <c r="D97" s="11" t="s">
        <v>137</v>
      </c>
      <c r="E97" s="11">
        <v>6.0</v>
      </c>
      <c r="F97" s="12">
        <v>4696.51</v>
      </c>
      <c r="G97" s="11" t="s">
        <v>27</v>
      </c>
      <c r="H97" s="11"/>
      <c r="I97" s="11"/>
      <c r="J97" s="12"/>
      <c r="K97" s="10"/>
      <c r="L97" s="11"/>
      <c r="M97" s="11"/>
      <c r="N97" s="10"/>
      <c r="O97" s="10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">
        <v>44224.0</v>
      </c>
      <c r="B98" s="15">
        <v>1105.0</v>
      </c>
      <c r="C98" s="11" t="s">
        <v>77</v>
      </c>
      <c r="D98" s="11" t="s">
        <v>138</v>
      </c>
      <c r="E98" s="11">
        <v>30.0</v>
      </c>
      <c r="F98" s="12">
        <v>547.39</v>
      </c>
      <c r="G98" s="11" t="s">
        <v>27</v>
      </c>
      <c r="H98" s="11"/>
      <c r="I98" s="11"/>
      <c r="J98" s="12"/>
      <c r="K98" s="10"/>
      <c r="L98" s="11"/>
      <c r="M98" s="11"/>
      <c r="N98" s="10"/>
      <c r="O98" s="10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">
        <v>44224.0</v>
      </c>
      <c r="B99" s="15">
        <v>1105.0</v>
      </c>
      <c r="C99" s="11" t="s">
        <v>77</v>
      </c>
      <c r="D99" s="11" t="s">
        <v>139</v>
      </c>
      <c r="E99" s="11">
        <v>100.0</v>
      </c>
      <c r="F99" s="12">
        <v>3568.69</v>
      </c>
      <c r="G99" s="11" t="s">
        <v>27</v>
      </c>
      <c r="H99" s="11"/>
      <c r="I99" s="11"/>
      <c r="J99" s="12"/>
      <c r="K99" s="10"/>
      <c r="L99" s="11"/>
      <c r="M99" s="11"/>
      <c r="N99" s="10"/>
      <c r="O99" s="10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">
        <v>44224.0</v>
      </c>
      <c r="B100" s="17">
        <v>1105.0</v>
      </c>
      <c r="C100" s="11" t="s">
        <v>77</v>
      </c>
      <c r="D100" s="11" t="s">
        <v>140</v>
      </c>
      <c r="E100" s="11">
        <v>1.0</v>
      </c>
      <c r="F100" s="12">
        <v>1919.42</v>
      </c>
      <c r="G100" s="11" t="s">
        <v>27</v>
      </c>
      <c r="H100" s="11"/>
      <c r="I100" s="11"/>
      <c r="J100" s="12"/>
      <c r="K100" s="10"/>
      <c r="L100" s="11"/>
      <c r="M100" s="11"/>
      <c r="N100" s="10"/>
      <c r="O100" s="10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">
        <v>44224.0</v>
      </c>
      <c r="B101" s="15">
        <v>1103.0</v>
      </c>
      <c r="C101" s="11" t="s">
        <v>123</v>
      </c>
      <c r="D101" s="11" t="s">
        <v>144</v>
      </c>
      <c r="E101" s="11"/>
      <c r="F101" s="12"/>
      <c r="G101" s="11" t="s">
        <v>27</v>
      </c>
      <c r="H101" s="11"/>
      <c r="I101" s="11"/>
      <c r="J101" s="12"/>
      <c r="K101" s="10"/>
      <c r="L101" s="11"/>
      <c r="M101" s="11"/>
      <c r="N101" s="10"/>
      <c r="O101" s="10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0"/>
      <c r="B102" s="13">
        <v>1118.0</v>
      </c>
      <c r="C102" s="11" t="s">
        <v>145</v>
      </c>
      <c r="D102" s="11" t="s">
        <v>146</v>
      </c>
      <c r="E102" s="11"/>
      <c r="F102" s="12"/>
      <c r="G102" s="11" t="s">
        <v>27</v>
      </c>
      <c r="H102" s="11"/>
      <c r="I102" s="11"/>
      <c r="J102" s="12"/>
      <c r="K102" s="10"/>
      <c r="L102" s="11"/>
      <c r="M102" s="11"/>
      <c r="N102" s="10"/>
      <c r="O102" s="10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0">
        <v>44225.0</v>
      </c>
      <c r="B103" s="15">
        <v>1108.0</v>
      </c>
      <c r="C103" s="11" t="s">
        <v>44</v>
      </c>
      <c r="D103" s="11" t="s">
        <v>147</v>
      </c>
      <c r="E103" s="11">
        <v>400.0</v>
      </c>
      <c r="F103" s="12" t="s">
        <v>148</v>
      </c>
      <c r="G103" s="11" t="s">
        <v>27</v>
      </c>
      <c r="H103" s="11"/>
      <c r="I103" s="11"/>
      <c r="J103" s="12"/>
      <c r="K103" s="10"/>
      <c r="L103" s="11"/>
      <c r="M103" s="11"/>
      <c r="N103" s="10"/>
      <c r="O103" s="10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0">
        <v>44225.0</v>
      </c>
      <c r="B104" s="15">
        <v>1108.0</v>
      </c>
      <c r="C104" s="11" t="s">
        <v>44</v>
      </c>
      <c r="D104" s="11" t="s">
        <v>149</v>
      </c>
      <c r="E104" s="11">
        <v>400.0</v>
      </c>
      <c r="F104" s="12" t="s">
        <v>150</v>
      </c>
      <c r="G104" s="11" t="s">
        <v>27</v>
      </c>
      <c r="H104" s="11"/>
      <c r="I104" s="11"/>
      <c r="J104" s="12"/>
      <c r="K104" s="10"/>
      <c r="L104" s="11"/>
      <c r="M104" s="11"/>
      <c r="N104" s="10"/>
      <c r="O104" s="10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0">
        <v>44225.0</v>
      </c>
      <c r="B105" s="17">
        <v>1108.0</v>
      </c>
      <c r="C105" s="11" t="s">
        <v>44</v>
      </c>
      <c r="D105" s="11" t="s">
        <v>24</v>
      </c>
      <c r="E105" s="11">
        <v>400.0</v>
      </c>
      <c r="F105" s="12" t="s">
        <v>151</v>
      </c>
      <c r="G105" s="11" t="s">
        <v>27</v>
      </c>
      <c r="H105" s="11"/>
      <c r="I105" s="11"/>
      <c r="J105" s="12"/>
      <c r="K105" s="10"/>
      <c r="L105" s="11"/>
      <c r="M105" s="11"/>
      <c r="N105" s="10"/>
      <c r="O105" s="10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0">
        <v>44216.0</v>
      </c>
      <c r="B106" s="17">
        <v>1080.0</v>
      </c>
      <c r="C106" s="11" t="s">
        <v>44</v>
      </c>
      <c r="D106" s="11" t="s">
        <v>152</v>
      </c>
      <c r="E106" s="11"/>
      <c r="F106" s="12"/>
      <c r="G106" s="11" t="s">
        <v>27</v>
      </c>
      <c r="H106" s="11"/>
      <c r="I106" s="11"/>
      <c r="J106" s="12"/>
      <c r="K106" s="10"/>
      <c r="L106" s="11"/>
      <c r="M106" s="11"/>
      <c r="N106" s="10"/>
      <c r="O106" s="10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8"/>
      <c r="B107" s="19"/>
      <c r="C107" s="19"/>
      <c r="D107" s="19"/>
      <c r="E107" s="19"/>
      <c r="F107" s="20"/>
      <c r="G107" s="19"/>
      <c r="H107" s="19"/>
      <c r="I107" s="19"/>
      <c r="J107" s="20"/>
      <c r="K107" s="18"/>
      <c r="L107" s="19"/>
      <c r="M107" s="19"/>
      <c r="N107" s="18"/>
      <c r="O107" s="18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0">
        <v>44229.0</v>
      </c>
      <c r="B108" s="13">
        <v>1111.0</v>
      </c>
      <c r="C108" s="11" t="s">
        <v>77</v>
      </c>
      <c r="D108" s="11" t="s">
        <v>127</v>
      </c>
      <c r="E108" s="11">
        <v>18.0</v>
      </c>
      <c r="F108" s="12" t="s">
        <v>153</v>
      </c>
      <c r="G108" s="11" t="s">
        <v>27</v>
      </c>
      <c r="H108" s="11"/>
      <c r="I108" s="11"/>
      <c r="J108" s="12"/>
      <c r="K108" s="10"/>
      <c r="L108" s="11"/>
      <c r="M108" s="11"/>
      <c r="N108" s="10"/>
      <c r="O108" s="10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21">
        <v>44229.0</v>
      </c>
      <c r="B109" s="16">
        <v>1112.0</v>
      </c>
      <c r="C109" s="11" t="s">
        <v>154</v>
      </c>
      <c r="D109" s="11" t="s">
        <v>155</v>
      </c>
      <c r="E109" s="11">
        <v>1.0</v>
      </c>
      <c r="F109" s="12">
        <v>225.4</v>
      </c>
      <c r="G109" s="11" t="s">
        <v>27</v>
      </c>
      <c r="H109" s="11"/>
      <c r="I109" s="11"/>
      <c r="J109" s="12"/>
      <c r="K109" s="10"/>
      <c r="L109" s="11"/>
      <c r="M109" s="11"/>
      <c r="N109" s="10"/>
      <c r="O109" s="10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21">
        <v>44229.0</v>
      </c>
      <c r="B110" s="15">
        <v>1110.0</v>
      </c>
      <c r="C110" s="11" t="s">
        <v>77</v>
      </c>
      <c r="D110" s="11" t="s">
        <v>156</v>
      </c>
      <c r="E110" s="11">
        <v>1.0</v>
      </c>
      <c r="F110" s="12" t="s">
        <v>157</v>
      </c>
      <c r="G110" s="11" t="s">
        <v>27</v>
      </c>
      <c r="H110" s="11"/>
      <c r="I110" s="11"/>
      <c r="J110" s="12"/>
      <c r="K110" s="10"/>
      <c r="L110" s="11"/>
      <c r="M110" s="11"/>
      <c r="N110" s="10"/>
      <c r="O110" s="10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21">
        <v>44229.0</v>
      </c>
      <c r="B111" s="15">
        <v>1110.0</v>
      </c>
      <c r="C111" s="11" t="s">
        <v>77</v>
      </c>
      <c r="D111" s="11" t="s">
        <v>158</v>
      </c>
      <c r="E111" s="11">
        <v>1.0</v>
      </c>
      <c r="F111" s="12">
        <v>1045.49</v>
      </c>
      <c r="G111" s="11" t="s">
        <v>27</v>
      </c>
      <c r="H111" s="11"/>
      <c r="I111" s="11"/>
      <c r="J111" s="12"/>
      <c r="K111" s="10"/>
      <c r="L111" s="11"/>
      <c r="M111" s="11"/>
      <c r="N111" s="10"/>
      <c r="O111" s="10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21">
        <v>44229.0</v>
      </c>
      <c r="B112" s="16">
        <v>1113.0</v>
      </c>
      <c r="C112" s="11" t="s">
        <v>159</v>
      </c>
      <c r="D112" s="11" t="s">
        <v>160</v>
      </c>
      <c r="E112" s="11">
        <v>1.0</v>
      </c>
      <c r="F112" s="12">
        <v>476.57</v>
      </c>
      <c r="G112" s="14" t="s">
        <v>21</v>
      </c>
      <c r="H112" s="11"/>
      <c r="I112" s="11"/>
      <c r="J112" s="12">
        <v>476.57</v>
      </c>
      <c r="K112" s="10">
        <v>44237.0</v>
      </c>
      <c r="L112" s="11">
        <v>1472.0</v>
      </c>
      <c r="M112" s="11"/>
      <c r="N112" s="10"/>
      <c r="O112" s="10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21">
        <v>44229.0</v>
      </c>
      <c r="B113" s="15">
        <v>1115.0</v>
      </c>
      <c r="C113" s="11" t="s">
        <v>77</v>
      </c>
      <c r="D113" s="11" t="s">
        <v>161</v>
      </c>
      <c r="E113" s="11">
        <v>1.0</v>
      </c>
      <c r="F113" s="12">
        <v>2007.2</v>
      </c>
      <c r="G113" s="11" t="s">
        <v>27</v>
      </c>
      <c r="H113" s="11"/>
      <c r="I113" s="11"/>
      <c r="J113" s="12"/>
      <c r="K113" s="10"/>
      <c r="L113" s="11"/>
      <c r="M113" s="11"/>
      <c r="N113" s="10"/>
      <c r="O113" s="10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21">
        <v>44230.0</v>
      </c>
      <c r="B114" s="16">
        <v>1126.0</v>
      </c>
      <c r="C114" s="11" t="s">
        <v>19</v>
      </c>
      <c r="D114" s="11" t="s">
        <v>162</v>
      </c>
      <c r="E114" s="11"/>
      <c r="F114" s="12"/>
      <c r="G114" s="11" t="s">
        <v>27</v>
      </c>
      <c r="H114" s="11"/>
      <c r="I114" s="11"/>
      <c r="J114" s="12"/>
      <c r="K114" s="10"/>
      <c r="L114" s="11"/>
      <c r="M114" s="11"/>
      <c r="N114" s="10"/>
      <c r="O114" s="10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21">
        <v>44230.0</v>
      </c>
      <c r="B115" s="15">
        <v>1118.0</v>
      </c>
      <c r="C115" s="11" t="s">
        <v>145</v>
      </c>
      <c r="D115" s="11" t="s">
        <v>146</v>
      </c>
      <c r="E115" s="11">
        <v>6.0</v>
      </c>
      <c r="F115" s="12">
        <v>900.0</v>
      </c>
      <c r="G115" s="11" t="s">
        <v>27</v>
      </c>
      <c r="H115" s="11"/>
      <c r="I115" s="11"/>
      <c r="J115" s="12"/>
      <c r="K115" s="10"/>
      <c r="L115" s="11"/>
      <c r="M115" s="11"/>
      <c r="N115" s="10"/>
      <c r="O115" s="10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21">
        <v>44230.0</v>
      </c>
      <c r="B116" s="16">
        <v>1117.0</v>
      </c>
      <c r="C116" s="11" t="s">
        <v>44</v>
      </c>
      <c r="D116" s="11" t="s">
        <v>93</v>
      </c>
      <c r="E116" s="11">
        <v>1.0</v>
      </c>
      <c r="F116" s="12" t="s">
        <v>163</v>
      </c>
      <c r="G116" s="11" t="s">
        <v>27</v>
      </c>
      <c r="H116" s="11"/>
      <c r="I116" s="11"/>
      <c r="J116" s="12"/>
      <c r="K116" s="10"/>
      <c r="L116" s="11"/>
      <c r="M116" s="11"/>
      <c r="N116" s="10"/>
      <c r="O116" s="10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21">
        <v>44230.0</v>
      </c>
      <c r="B117" s="15">
        <v>1116.0</v>
      </c>
      <c r="C117" s="11" t="s">
        <v>164</v>
      </c>
      <c r="D117" s="11" t="s">
        <v>54</v>
      </c>
      <c r="E117" s="11">
        <v>2.0</v>
      </c>
      <c r="F117" s="12">
        <v>2047.36</v>
      </c>
      <c r="G117" s="11" t="s">
        <v>27</v>
      </c>
      <c r="H117" s="11"/>
      <c r="I117" s="11"/>
      <c r="J117" s="12"/>
      <c r="K117" s="10"/>
      <c r="L117" s="11"/>
      <c r="M117" s="11"/>
      <c r="N117" s="10"/>
      <c r="O117" s="10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21">
        <v>44231.0</v>
      </c>
      <c r="B118" s="16">
        <v>1119.0</v>
      </c>
      <c r="C118" s="11" t="s">
        <v>165</v>
      </c>
      <c r="D118" s="11" t="s">
        <v>166</v>
      </c>
      <c r="E118" s="11"/>
      <c r="F118" s="12"/>
      <c r="G118" s="11" t="s">
        <v>167</v>
      </c>
      <c r="H118" s="11"/>
      <c r="I118" s="11"/>
      <c r="J118" s="12"/>
      <c r="K118" s="10"/>
      <c r="L118" s="11"/>
      <c r="M118" s="11"/>
      <c r="N118" s="10"/>
      <c r="O118" s="10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21">
        <v>44231.0</v>
      </c>
      <c r="B119" s="17">
        <v>1123.0</v>
      </c>
      <c r="C119" s="11" t="s">
        <v>77</v>
      </c>
      <c r="D119" s="11" t="s">
        <v>168</v>
      </c>
      <c r="E119" s="11">
        <v>1.0</v>
      </c>
      <c r="F119" s="12">
        <v>690.24</v>
      </c>
      <c r="G119" s="11" t="s">
        <v>27</v>
      </c>
      <c r="H119" s="11"/>
      <c r="I119" s="11"/>
      <c r="J119" s="12"/>
      <c r="K119" s="10"/>
      <c r="L119" s="11"/>
      <c r="M119" s="11"/>
      <c r="N119" s="10"/>
      <c r="O119" s="10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21">
        <v>44231.0</v>
      </c>
      <c r="B120" s="11"/>
      <c r="C120" s="11" t="s">
        <v>46</v>
      </c>
      <c r="D120" s="11" t="s">
        <v>169</v>
      </c>
      <c r="E120" s="11"/>
      <c r="F120" s="12"/>
      <c r="G120" s="11" t="s">
        <v>18</v>
      </c>
      <c r="H120" s="11"/>
      <c r="I120" s="11"/>
      <c r="J120" s="12"/>
      <c r="K120" s="10"/>
      <c r="L120" s="11"/>
      <c r="M120" s="11"/>
      <c r="N120" s="10"/>
      <c r="O120" s="10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21">
        <v>44231.0</v>
      </c>
      <c r="B121" s="11"/>
      <c r="C121" s="11" t="s">
        <v>170</v>
      </c>
      <c r="D121" s="11" t="s">
        <v>171</v>
      </c>
      <c r="E121" s="11"/>
      <c r="F121" s="12"/>
      <c r="G121" s="11" t="s">
        <v>18</v>
      </c>
      <c r="H121" s="11"/>
      <c r="I121" s="11"/>
      <c r="J121" s="12"/>
      <c r="K121" s="10"/>
      <c r="L121" s="11"/>
      <c r="M121" s="11"/>
      <c r="N121" s="10"/>
      <c r="O121" s="10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21">
        <v>44231.0</v>
      </c>
      <c r="B122" s="16">
        <v>1121.0</v>
      </c>
      <c r="C122" s="11" t="s">
        <v>172</v>
      </c>
      <c r="D122" s="11" t="s">
        <v>173</v>
      </c>
      <c r="E122" s="11">
        <v>1.0</v>
      </c>
      <c r="F122" s="12">
        <v>1957.16</v>
      </c>
      <c r="G122" s="11" t="s">
        <v>27</v>
      </c>
      <c r="H122" s="11"/>
      <c r="I122" s="11"/>
      <c r="J122" s="12"/>
      <c r="K122" s="10"/>
      <c r="L122" s="11"/>
      <c r="M122" s="11"/>
      <c r="N122" s="10"/>
      <c r="O122" s="10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21">
        <v>44232.0</v>
      </c>
      <c r="B123" s="11"/>
      <c r="C123" s="11" t="s">
        <v>174</v>
      </c>
      <c r="D123" s="11"/>
      <c r="E123" s="11"/>
      <c r="F123" s="12"/>
      <c r="G123" s="11" t="s">
        <v>18</v>
      </c>
      <c r="H123" s="11"/>
      <c r="I123" s="11"/>
      <c r="J123" s="12"/>
      <c r="K123" s="10"/>
      <c r="L123" s="11"/>
      <c r="M123" s="11"/>
      <c r="N123" s="10"/>
      <c r="O123" s="10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21">
        <v>44232.0</v>
      </c>
      <c r="B124" s="13">
        <v>1126.0</v>
      </c>
      <c r="C124" s="11" t="s">
        <v>123</v>
      </c>
      <c r="D124" s="11" t="s">
        <v>175</v>
      </c>
      <c r="E124" s="11">
        <v>2.0</v>
      </c>
      <c r="F124" s="12" t="s">
        <v>176</v>
      </c>
      <c r="G124" s="11" t="s">
        <v>167</v>
      </c>
      <c r="H124" s="11"/>
      <c r="I124" s="11"/>
      <c r="J124" s="12"/>
      <c r="K124" s="10"/>
      <c r="L124" s="11"/>
      <c r="M124" s="11"/>
      <c r="N124" s="10"/>
      <c r="O124" s="10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21">
        <v>44232.0</v>
      </c>
      <c r="B125" s="16">
        <v>1122.0</v>
      </c>
      <c r="C125" s="11" t="s">
        <v>44</v>
      </c>
      <c r="D125" s="11" t="s">
        <v>177</v>
      </c>
      <c r="E125" s="11">
        <v>5.0</v>
      </c>
      <c r="F125" s="12">
        <v>2323.8</v>
      </c>
      <c r="G125" s="14" t="s">
        <v>21</v>
      </c>
      <c r="H125" s="11"/>
      <c r="I125" s="11"/>
      <c r="J125" s="12">
        <v>2323.8</v>
      </c>
      <c r="K125" s="10">
        <v>44326.0</v>
      </c>
      <c r="L125" s="11">
        <v>1513.0</v>
      </c>
      <c r="M125" s="11"/>
      <c r="N125" s="10"/>
      <c r="O125" s="10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21">
        <v>44232.0</v>
      </c>
      <c r="B126" s="15">
        <v>1124.0</v>
      </c>
      <c r="C126" s="11" t="s">
        <v>178</v>
      </c>
      <c r="D126" s="11" t="s">
        <v>179</v>
      </c>
      <c r="E126" s="11">
        <v>2.0</v>
      </c>
      <c r="F126" s="12">
        <v>1021.84</v>
      </c>
      <c r="G126" s="14" t="s">
        <v>180</v>
      </c>
      <c r="H126" s="11"/>
      <c r="I126" s="11"/>
      <c r="J126" s="12">
        <v>1021.84</v>
      </c>
      <c r="K126" s="10">
        <v>44245.0</v>
      </c>
      <c r="L126" s="11">
        <v>1474.0</v>
      </c>
      <c r="M126" s="11"/>
      <c r="N126" s="10"/>
      <c r="O126" s="10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21">
        <v>44235.0</v>
      </c>
      <c r="B127" s="16">
        <v>1139.0</v>
      </c>
      <c r="C127" s="11" t="s">
        <v>44</v>
      </c>
      <c r="D127" s="11" t="s">
        <v>181</v>
      </c>
      <c r="E127" s="11"/>
      <c r="F127" s="12"/>
      <c r="G127" s="11" t="s">
        <v>167</v>
      </c>
      <c r="H127" s="11"/>
      <c r="I127" s="11"/>
      <c r="J127" s="12"/>
      <c r="K127" s="10"/>
      <c r="L127" s="11"/>
      <c r="M127" s="11"/>
      <c r="N127" s="10"/>
      <c r="O127" s="10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21">
        <v>44235.0</v>
      </c>
      <c r="B128" s="15">
        <v>1134.0</v>
      </c>
      <c r="C128" s="11" t="s">
        <v>46</v>
      </c>
      <c r="D128" s="11" t="s">
        <v>182</v>
      </c>
      <c r="E128" s="11">
        <v>1.0</v>
      </c>
      <c r="F128" s="12">
        <v>1111.78</v>
      </c>
      <c r="G128" s="11" t="s">
        <v>167</v>
      </c>
      <c r="H128" s="11"/>
      <c r="I128" s="11"/>
      <c r="J128" s="12"/>
      <c r="K128" s="10"/>
      <c r="L128" s="11"/>
      <c r="M128" s="11"/>
      <c r="N128" s="10"/>
      <c r="O128" s="10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21">
        <v>44235.0</v>
      </c>
      <c r="B129" s="15">
        <v>1134.0</v>
      </c>
      <c r="C129" s="11" t="s">
        <v>46</v>
      </c>
      <c r="D129" s="11" t="s">
        <v>183</v>
      </c>
      <c r="E129" s="11">
        <v>2.0</v>
      </c>
      <c r="F129" s="12">
        <v>2386.56</v>
      </c>
      <c r="G129" s="11" t="s">
        <v>167</v>
      </c>
      <c r="H129" s="11"/>
      <c r="I129" s="11"/>
      <c r="J129" s="12"/>
      <c r="K129" s="10"/>
      <c r="L129" s="11"/>
      <c r="M129" s="11"/>
      <c r="N129" s="10"/>
      <c r="O129" s="10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21">
        <v>44235.0</v>
      </c>
      <c r="B130" s="15">
        <v>1134.0</v>
      </c>
      <c r="C130" s="11" t="s">
        <v>46</v>
      </c>
      <c r="D130" s="11" t="s">
        <v>184</v>
      </c>
      <c r="E130" s="11">
        <v>6.0</v>
      </c>
      <c r="F130" s="12">
        <v>7591.31</v>
      </c>
      <c r="G130" s="11" t="s">
        <v>167</v>
      </c>
      <c r="H130" s="11"/>
      <c r="I130" s="11"/>
      <c r="J130" s="12"/>
      <c r="K130" s="10"/>
      <c r="L130" s="11"/>
      <c r="M130" s="11"/>
      <c r="N130" s="10"/>
      <c r="O130" s="10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21">
        <v>44235.0</v>
      </c>
      <c r="B131" s="15">
        <v>1134.0</v>
      </c>
      <c r="C131" s="11" t="s">
        <v>46</v>
      </c>
      <c r="D131" s="11" t="s">
        <v>185</v>
      </c>
      <c r="E131" s="11">
        <v>1.0</v>
      </c>
      <c r="F131" s="12">
        <v>3210.74</v>
      </c>
      <c r="G131" s="11" t="s">
        <v>167</v>
      </c>
      <c r="H131" s="11"/>
      <c r="I131" s="11"/>
      <c r="J131" s="12"/>
      <c r="K131" s="10"/>
      <c r="L131" s="11"/>
      <c r="M131" s="11"/>
      <c r="N131" s="10"/>
      <c r="O131" s="10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21">
        <v>44235.0</v>
      </c>
      <c r="B132" s="17">
        <v>1134.0</v>
      </c>
      <c r="C132" s="11" t="s">
        <v>46</v>
      </c>
      <c r="D132" s="11" t="s">
        <v>186</v>
      </c>
      <c r="E132" s="11">
        <v>5.0</v>
      </c>
      <c r="F132" s="12">
        <v>1491.02</v>
      </c>
      <c r="G132" s="11" t="s">
        <v>167</v>
      </c>
      <c r="H132" s="11"/>
      <c r="I132" s="11"/>
      <c r="J132" s="12"/>
      <c r="K132" s="10"/>
      <c r="L132" s="11"/>
      <c r="M132" s="11"/>
      <c r="N132" s="10"/>
      <c r="O132" s="10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21">
        <v>44235.0</v>
      </c>
      <c r="B133" s="11"/>
      <c r="C133" s="11" t="s">
        <v>170</v>
      </c>
      <c r="D133" s="11" t="s">
        <v>187</v>
      </c>
      <c r="E133" s="11"/>
      <c r="F133" s="12"/>
      <c r="G133" s="11" t="s">
        <v>18</v>
      </c>
      <c r="H133" s="11"/>
      <c r="I133" s="11"/>
      <c r="J133" s="12"/>
      <c r="K133" s="10"/>
      <c r="L133" s="11"/>
      <c r="M133" s="11"/>
      <c r="N133" s="10"/>
      <c r="O133" s="10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21">
        <v>44235.0</v>
      </c>
      <c r="B134" s="13">
        <v>1130.0</v>
      </c>
      <c r="C134" s="11" t="s">
        <v>44</v>
      </c>
      <c r="D134" s="11" t="s">
        <v>147</v>
      </c>
      <c r="E134" s="11">
        <v>400.0</v>
      </c>
      <c r="F134" s="12" t="s">
        <v>148</v>
      </c>
      <c r="G134" s="11" t="s">
        <v>167</v>
      </c>
      <c r="H134" s="11"/>
      <c r="I134" s="11"/>
      <c r="J134" s="12"/>
      <c r="K134" s="10"/>
      <c r="L134" s="11"/>
      <c r="M134" s="11"/>
      <c r="N134" s="10"/>
      <c r="O134" s="10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21">
        <v>44235.0</v>
      </c>
      <c r="B135" s="15">
        <v>1130.0</v>
      </c>
      <c r="C135" s="11" t="s">
        <v>44</v>
      </c>
      <c r="D135" s="11" t="s">
        <v>149</v>
      </c>
      <c r="E135" s="11">
        <v>400.0</v>
      </c>
      <c r="F135" s="12" t="s">
        <v>150</v>
      </c>
      <c r="G135" s="11" t="s">
        <v>167</v>
      </c>
      <c r="H135" s="11"/>
      <c r="I135" s="11"/>
      <c r="J135" s="12"/>
      <c r="K135" s="10"/>
      <c r="L135" s="11"/>
      <c r="M135" s="11"/>
      <c r="N135" s="10"/>
      <c r="O135" s="10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21">
        <v>44235.0</v>
      </c>
      <c r="B136" s="15">
        <v>1130.0</v>
      </c>
      <c r="C136" s="11" t="s">
        <v>44</v>
      </c>
      <c r="D136" s="11" t="s">
        <v>24</v>
      </c>
      <c r="E136" s="11">
        <v>400.0</v>
      </c>
      <c r="F136" s="12">
        <v>9350.4</v>
      </c>
      <c r="G136" s="11" t="s">
        <v>167</v>
      </c>
      <c r="H136" s="11"/>
      <c r="I136" s="11"/>
      <c r="J136" s="12"/>
      <c r="K136" s="10"/>
      <c r="L136" s="11"/>
      <c r="M136" s="11"/>
      <c r="N136" s="10"/>
      <c r="O136" s="10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21">
        <v>44235.0</v>
      </c>
      <c r="B137" s="16">
        <v>1131.0</v>
      </c>
      <c r="C137" s="11" t="s">
        <v>188</v>
      </c>
      <c r="D137" s="11" t="s">
        <v>189</v>
      </c>
      <c r="E137" s="11">
        <v>28.0</v>
      </c>
      <c r="F137" s="12" t="s">
        <v>190</v>
      </c>
      <c r="G137" s="11" t="s">
        <v>27</v>
      </c>
      <c r="H137" s="11"/>
      <c r="I137" s="11"/>
      <c r="J137" s="12"/>
      <c r="K137" s="10"/>
      <c r="L137" s="11"/>
      <c r="M137" s="11"/>
      <c r="N137" s="10"/>
      <c r="O137" s="10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21">
        <v>44235.0</v>
      </c>
      <c r="B138" s="15">
        <v>1129.0</v>
      </c>
      <c r="C138" s="11" t="s">
        <v>44</v>
      </c>
      <c r="D138" s="11" t="s">
        <v>191</v>
      </c>
      <c r="E138" s="11">
        <v>2.0</v>
      </c>
      <c r="F138" s="12" t="s">
        <v>192</v>
      </c>
      <c r="G138" s="11" t="s">
        <v>27</v>
      </c>
      <c r="H138" s="11"/>
      <c r="I138" s="11"/>
      <c r="J138" s="12"/>
      <c r="K138" s="10"/>
      <c r="L138" s="11"/>
      <c r="M138" s="11"/>
      <c r="N138" s="10"/>
      <c r="O138" s="10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21">
        <v>44235.0</v>
      </c>
      <c r="B139" s="15">
        <v>1129.0</v>
      </c>
      <c r="C139" s="11" t="s">
        <v>44</v>
      </c>
      <c r="D139" s="11" t="s">
        <v>193</v>
      </c>
      <c r="E139" s="11">
        <v>2.0</v>
      </c>
      <c r="F139" s="12" t="s">
        <v>194</v>
      </c>
      <c r="G139" s="11" t="s">
        <v>27</v>
      </c>
      <c r="H139" s="11"/>
      <c r="I139" s="11"/>
      <c r="J139" s="12"/>
      <c r="K139" s="10"/>
      <c r="L139" s="11"/>
      <c r="M139" s="11"/>
      <c r="N139" s="10"/>
      <c r="O139" s="10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21">
        <v>44235.0</v>
      </c>
      <c r="B140" s="15">
        <v>1129.0</v>
      </c>
      <c r="C140" s="11" t="s">
        <v>44</v>
      </c>
      <c r="D140" s="11" t="s">
        <v>195</v>
      </c>
      <c r="E140" s="11">
        <v>4.0</v>
      </c>
      <c r="F140" s="12" t="s">
        <v>196</v>
      </c>
      <c r="G140" s="11" t="s">
        <v>27</v>
      </c>
      <c r="H140" s="11"/>
      <c r="I140" s="11"/>
      <c r="J140" s="12"/>
      <c r="K140" s="10"/>
      <c r="L140" s="11"/>
      <c r="M140" s="11"/>
      <c r="N140" s="10"/>
      <c r="O140" s="10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21">
        <v>44235.0</v>
      </c>
      <c r="B141" s="15">
        <v>1129.0</v>
      </c>
      <c r="C141" s="11" t="s">
        <v>44</v>
      </c>
      <c r="D141" s="11" t="s">
        <v>197</v>
      </c>
      <c r="E141" s="11">
        <v>2.0</v>
      </c>
      <c r="F141" s="12">
        <v>1432.0</v>
      </c>
      <c r="G141" s="11" t="s">
        <v>27</v>
      </c>
      <c r="H141" s="11"/>
      <c r="I141" s="11"/>
      <c r="J141" s="12"/>
      <c r="K141" s="10"/>
      <c r="L141" s="11"/>
      <c r="M141" s="11"/>
      <c r="N141" s="10"/>
      <c r="O141" s="10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21">
        <v>44235.0</v>
      </c>
      <c r="B142" s="15">
        <v>1129.0</v>
      </c>
      <c r="C142" s="11" t="s">
        <v>44</v>
      </c>
      <c r="D142" s="11" t="s">
        <v>198</v>
      </c>
      <c r="E142" s="11">
        <v>2.0</v>
      </c>
      <c r="F142" s="12" t="s">
        <v>199</v>
      </c>
      <c r="G142" s="11" t="s">
        <v>27</v>
      </c>
      <c r="H142" s="11"/>
      <c r="I142" s="11"/>
      <c r="J142" s="12"/>
      <c r="K142" s="10"/>
      <c r="L142" s="11"/>
      <c r="M142" s="11"/>
      <c r="N142" s="10"/>
      <c r="O142" s="10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21">
        <v>44235.0</v>
      </c>
      <c r="B143" s="17">
        <v>1129.0</v>
      </c>
      <c r="C143" s="11" t="s">
        <v>44</v>
      </c>
      <c r="D143" s="11" t="s">
        <v>200</v>
      </c>
      <c r="E143" s="11">
        <v>2.0</v>
      </c>
      <c r="F143" s="12">
        <v>606.72</v>
      </c>
      <c r="G143" s="11" t="s">
        <v>27</v>
      </c>
      <c r="H143" s="11"/>
      <c r="I143" s="11"/>
      <c r="J143" s="12"/>
      <c r="K143" s="10"/>
      <c r="L143" s="11"/>
      <c r="M143" s="11"/>
      <c r="N143" s="10"/>
      <c r="O143" s="10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21">
        <v>44236.0</v>
      </c>
      <c r="B144" s="11"/>
      <c r="C144" s="11" t="s">
        <v>201</v>
      </c>
      <c r="D144" s="11" t="s">
        <v>202</v>
      </c>
      <c r="E144" s="11"/>
      <c r="F144" s="12"/>
      <c r="G144" s="11" t="s">
        <v>18</v>
      </c>
      <c r="H144" s="11"/>
      <c r="I144" s="11"/>
      <c r="J144" s="12"/>
      <c r="K144" s="10"/>
      <c r="L144" s="11"/>
      <c r="M144" s="11"/>
      <c r="N144" s="10"/>
      <c r="O144" s="10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21">
        <v>44237.0</v>
      </c>
      <c r="B145" s="16">
        <v>1133.0</v>
      </c>
      <c r="C145" s="11" t="s">
        <v>203</v>
      </c>
      <c r="D145" s="11" t="s">
        <v>202</v>
      </c>
      <c r="E145" s="11">
        <v>1.0</v>
      </c>
      <c r="F145" s="12">
        <v>7535.0</v>
      </c>
      <c r="G145" s="11" t="s">
        <v>27</v>
      </c>
      <c r="H145" s="11"/>
      <c r="I145" s="11"/>
      <c r="J145" s="12"/>
      <c r="K145" s="10"/>
      <c r="L145" s="11"/>
      <c r="M145" s="11"/>
      <c r="N145" s="10"/>
      <c r="O145" s="10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21">
        <v>44238.0</v>
      </c>
      <c r="B146" s="17" t="s">
        <v>204</v>
      </c>
      <c r="C146" s="11" t="s">
        <v>44</v>
      </c>
      <c r="D146" s="11" t="s">
        <v>205</v>
      </c>
      <c r="E146" s="11"/>
      <c r="F146" s="12"/>
      <c r="G146" s="11" t="s">
        <v>167</v>
      </c>
      <c r="H146" s="11"/>
      <c r="I146" s="11"/>
      <c r="J146" s="12"/>
      <c r="K146" s="10"/>
      <c r="L146" s="11"/>
      <c r="M146" s="11"/>
      <c r="N146" s="10"/>
      <c r="O146" s="10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21">
        <v>44238.0</v>
      </c>
      <c r="B147" s="11"/>
      <c r="C147" s="11" t="s">
        <v>77</v>
      </c>
      <c r="D147" s="11" t="s">
        <v>67</v>
      </c>
      <c r="E147" s="11"/>
      <c r="F147" s="12"/>
      <c r="G147" s="11" t="s">
        <v>18</v>
      </c>
      <c r="H147" s="11"/>
      <c r="I147" s="11"/>
      <c r="J147" s="12"/>
      <c r="K147" s="10"/>
      <c r="L147" s="11"/>
      <c r="M147" s="11"/>
      <c r="N147" s="10"/>
      <c r="O147" s="10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21">
        <v>44238.0</v>
      </c>
      <c r="B148" s="13">
        <v>1137.0</v>
      </c>
      <c r="C148" s="11" t="s">
        <v>44</v>
      </c>
      <c r="D148" s="11" t="s">
        <v>206</v>
      </c>
      <c r="E148" s="11">
        <v>4.0</v>
      </c>
      <c r="F148" s="12" t="s">
        <v>207</v>
      </c>
      <c r="G148" s="11" t="s">
        <v>27</v>
      </c>
      <c r="H148" s="11"/>
      <c r="I148" s="11"/>
      <c r="J148" s="12"/>
      <c r="K148" s="10"/>
      <c r="L148" s="11"/>
      <c r="M148" s="11"/>
      <c r="N148" s="10"/>
      <c r="O148" s="10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21">
        <v>44238.0</v>
      </c>
      <c r="B149" s="16">
        <v>1139.0</v>
      </c>
      <c r="C149" s="11" t="s">
        <v>44</v>
      </c>
      <c r="D149" s="11" t="s">
        <v>208</v>
      </c>
      <c r="E149" s="11">
        <v>11.0</v>
      </c>
      <c r="F149" s="12" t="s">
        <v>209</v>
      </c>
      <c r="G149" s="11" t="s">
        <v>167</v>
      </c>
      <c r="H149" s="11"/>
      <c r="I149" s="11"/>
      <c r="J149" s="12"/>
      <c r="K149" s="10"/>
      <c r="L149" s="11"/>
      <c r="M149" s="11"/>
      <c r="N149" s="10"/>
      <c r="O149" s="10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21">
        <v>44239.0</v>
      </c>
      <c r="B150" s="15">
        <v>1136.0</v>
      </c>
      <c r="C150" s="11" t="s">
        <v>44</v>
      </c>
      <c r="D150" s="11" t="s">
        <v>54</v>
      </c>
      <c r="E150" s="11">
        <v>2.0</v>
      </c>
      <c r="F150" s="12">
        <v>2047.36</v>
      </c>
      <c r="G150" s="14" t="s">
        <v>21</v>
      </c>
      <c r="H150" s="11"/>
      <c r="I150" s="11"/>
      <c r="J150" s="12">
        <v>2047.36</v>
      </c>
      <c r="K150" s="10">
        <v>44239.0</v>
      </c>
      <c r="L150" s="11">
        <v>1473.0</v>
      </c>
      <c r="M150" s="11"/>
      <c r="N150" s="10"/>
      <c r="O150" s="10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21">
        <v>44239.0</v>
      </c>
      <c r="B151" s="16">
        <v>1138.0</v>
      </c>
      <c r="C151" s="11" t="s">
        <v>44</v>
      </c>
      <c r="D151" s="11" t="s">
        <v>210</v>
      </c>
      <c r="E151" s="11">
        <v>1.0</v>
      </c>
      <c r="F151" s="12">
        <v>610.0</v>
      </c>
      <c r="G151" s="11" t="s">
        <v>27</v>
      </c>
      <c r="H151" s="11"/>
      <c r="I151" s="11"/>
      <c r="J151" s="12"/>
      <c r="K151" s="10"/>
      <c r="L151" s="11"/>
      <c r="M151" s="11"/>
      <c r="N151" s="10"/>
      <c r="O151" s="10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21">
        <v>44242.0</v>
      </c>
      <c r="B152" s="15" t="s">
        <v>211</v>
      </c>
      <c r="C152" s="11" t="s">
        <v>154</v>
      </c>
      <c r="D152" s="11" t="s">
        <v>212</v>
      </c>
      <c r="E152" s="11">
        <v>5.0</v>
      </c>
      <c r="F152" s="12">
        <v>5377.06</v>
      </c>
      <c r="G152" s="11" t="s">
        <v>27</v>
      </c>
      <c r="H152" s="11"/>
      <c r="I152" s="11"/>
      <c r="J152" s="12"/>
      <c r="K152" s="10"/>
      <c r="L152" s="11"/>
      <c r="M152" s="11"/>
      <c r="N152" s="10"/>
      <c r="O152" s="10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21">
        <v>44242.0</v>
      </c>
      <c r="B153" s="15" t="s">
        <v>211</v>
      </c>
      <c r="C153" s="11" t="s">
        <v>154</v>
      </c>
      <c r="D153" s="11" t="s">
        <v>213</v>
      </c>
      <c r="E153" s="11">
        <v>5.0</v>
      </c>
      <c r="F153" s="12">
        <v>4446.8</v>
      </c>
      <c r="G153" s="11" t="s">
        <v>27</v>
      </c>
      <c r="H153" s="11"/>
      <c r="I153" s="11"/>
      <c r="J153" s="12"/>
      <c r="K153" s="10"/>
      <c r="L153" s="11"/>
      <c r="M153" s="11"/>
      <c r="N153" s="10"/>
      <c r="O153" s="10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21">
        <v>44242.0</v>
      </c>
      <c r="B154" s="15" t="s">
        <v>211</v>
      </c>
      <c r="C154" s="11" t="s">
        <v>154</v>
      </c>
      <c r="D154" s="11" t="s">
        <v>49</v>
      </c>
      <c r="E154" s="11">
        <v>5.0</v>
      </c>
      <c r="F154" s="12">
        <v>5390.21</v>
      </c>
      <c r="G154" s="11" t="s">
        <v>27</v>
      </c>
      <c r="H154" s="11"/>
      <c r="I154" s="11"/>
      <c r="J154" s="12"/>
      <c r="K154" s="10"/>
      <c r="L154" s="11"/>
      <c r="M154" s="11"/>
      <c r="N154" s="10"/>
      <c r="O154" s="10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21">
        <v>44242.0</v>
      </c>
      <c r="B155" s="15" t="s">
        <v>211</v>
      </c>
      <c r="C155" s="11" t="s">
        <v>154</v>
      </c>
      <c r="D155" s="11" t="s">
        <v>214</v>
      </c>
      <c r="E155" s="11">
        <v>2.0</v>
      </c>
      <c r="F155" s="12" t="s">
        <v>215</v>
      </c>
      <c r="G155" s="11" t="s">
        <v>27</v>
      </c>
      <c r="H155" s="11"/>
      <c r="I155" s="11"/>
      <c r="J155" s="12"/>
      <c r="K155" s="10"/>
      <c r="L155" s="11"/>
      <c r="M155" s="11"/>
      <c r="N155" s="10"/>
      <c r="O155" s="10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21">
        <v>44242.0</v>
      </c>
      <c r="B156" s="15" t="s">
        <v>211</v>
      </c>
      <c r="C156" s="11" t="s">
        <v>154</v>
      </c>
      <c r="D156" s="11" t="s">
        <v>47</v>
      </c>
      <c r="E156" s="11">
        <v>1.0</v>
      </c>
      <c r="F156" s="12">
        <v>237.47</v>
      </c>
      <c r="G156" s="11" t="s">
        <v>27</v>
      </c>
      <c r="H156" s="11"/>
      <c r="I156" s="11"/>
      <c r="J156" s="12"/>
      <c r="K156" s="10"/>
      <c r="L156" s="11"/>
      <c r="M156" s="11"/>
      <c r="N156" s="10"/>
      <c r="O156" s="10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21">
        <v>44245.0</v>
      </c>
      <c r="B157" s="13">
        <v>1140.0</v>
      </c>
      <c r="C157" s="11" t="s">
        <v>39</v>
      </c>
      <c r="D157" s="11" t="s">
        <v>216</v>
      </c>
      <c r="E157" s="11">
        <v>12.0</v>
      </c>
      <c r="F157" s="12">
        <v>535.44</v>
      </c>
      <c r="G157" s="11" t="s">
        <v>27</v>
      </c>
      <c r="H157" s="11"/>
      <c r="I157" s="11"/>
      <c r="J157" s="12"/>
      <c r="K157" s="10"/>
      <c r="L157" s="11"/>
      <c r="M157" s="11"/>
      <c r="N157" s="10"/>
      <c r="O157" s="10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21">
        <v>44245.0</v>
      </c>
      <c r="B158" s="17">
        <v>1140.0</v>
      </c>
      <c r="C158" s="11" t="s">
        <v>39</v>
      </c>
      <c r="D158" s="11" t="s">
        <v>217</v>
      </c>
      <c r="E158" s="11">
        <v>6.0</v>
      </c>
      <c r="F158" s="12">
        <v>626.24</v>
      </c>
      <c r="G158" s="11" t="s">
        <v>27</v>
      </c>
      <c r="H158" s="11"/>
      <c r="I158" s="11"/>
      <c r="J158" s="12"/>
      <c r="K158" s="10"/>
      <c r="L158" s="11"/>
      <c r="M158" s="11"/>
      <c r="N158" s="10"/>
      <c r="O158" s="10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21">
        <v>44245.0</v>
      </c>
      <c r="B159" s="15">
        <v>1142.0</v>
      </c>
      <c r="C159" s="11" t="s">
        <v>77</v>
      </c>
      <c r="D159" s="11" t="s">
        <v>147</v>
      </c>
      <c r="E159" s="11">
        <v>400.0</v>
      </c>
      <c r="F159" s="12" t="s">
        <v>218</v>
      </c>
      <c r="G159" s="11" t="s">
        <v>27</v>
      </c>
      <c r="H159" s="11"/>
      <c r="I159" s="11"/>
      <c r="J159" s="12"/>
      <c r="K159" s="10"/>
      <c r="L159" s="11"/>
      <c r="M159" s="11"/>
      <c r="N159" s="10"/>
      <c r="O159" s="10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21">
        <v>44245.0</v>
      </c>
      <c r="B160" s="15">
        <v>1142.0</v>
      </c>
      <c r="C160" s="11" t="s">
        <v>77</v>
      </c>
      <c r="D160" s="11" t="s">
        <v>149</v>
      </c>
      <c r="E160" s="11">
        <v>400.0</v>
      </c>
      <c r="F160" s="12" t="s">
        <v>219</v>
      </c>
      <c r="G160" s="11" t="s">
        <v>27</v>
      </c>
      <c r="H160" s="11"/>
      <c r="I160" s="11"/>
      <c r="J160" s="12"/>
      <c r="K160" s="10"/>
      <c r="L160" s="11"/>
      <c r="M160" s="11"/>
      <c r="N160" s="10"/>
      <c r="O160" s="10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21">
        <v>44245.0</v>
      </c>
      <c r="B161" s="15">
        <v>1142.0</v>
      </c>
      <c r="C161" s="11" t="s">
        <v>77</v>
      </c>
      <c r="D161" s="11" t="s">
        <v>24</v>
      </c>
      <c r="E161" s="11">
        <v>400.0</v>
      </c>
      <c r="F161" s="12" t="s">
        <v>220</v>
      </c>
      <c r="G161" s="11" t="s">
        <v>27</v>
      </c>
      <c r="H161" s="11"/>
      <c r="I161" s="11"/>
      <c r="J161" s="12"/>
      <c r="K161" s="10"/>
      <c r="L161" s="11"/>
      <c r="M161" s="11"/>
      <c r="N161" s="10"/>
      <c r="O161" s="10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21">
        <v>44249.0</v>
      </c>
      <c r="B162" s="13">
        <v>1143.0</v>
      </c>
      <c r="C162" s="11" t="s">
        <v>44</v>
      </c>
      <c r="D162" s="21" t="s">
        <v>168</v>
      </c>
      <c r="E162" s="11">
        <v>8.0</v>
      </c>
      <c r="F162" s="12">
        <v>6209.2</v>
      </c>
      <c r="G162" s="11" t="s">
        <v>27</v>
      </c>
      <c r="H162" s="11"/>
      <c r="I162" s="11"/>
      <c r="J162" s="12"/>
      <c r="K162" s="10"/>
      <c r="L162" s="11"/>
      <c r="M162" s="11"/>
      <c r="N162" s="10"/>
      <c r="O162" s="10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21">
        <v>44249.0</v>
      </c>
      <c r="B163" s="15">
        <v>1143.0</v>
      </c>
      <c r="C163" s="11" t="s">
        <v>44</v>
      </c>
      <c r="D163" s="11" t="s">
        <v>221</v>
      </c>
      <c r="E163" s="11">
        <v>5.0</v>
      </c>
      <c r="F163" s="12">
        <v>3981.1</v>
      </c>
      <c r="G163" s="11" t="s">
        <v>27</v>
      </c>
      <c r="H163" s="11"/>
      <c r="I163" s="11"/>
      <c r="J163" s="12"/>
      <c r="K163" s="10"/>
      <c r="L163" s="11"/>
      <c r="M163" s="11"/>
      <c r="N163" s="10"/>
      <c r="O163" s="10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21">
        <v>44249.0</v>
      </c>
      <c r="B164" s="17">
        <v>1143.0</v>
      </c>
      <c r="C164" s="11" t="s">
        <v>44</v>
      </c>
      <c r="D164" s="11" t="s">
        <v>168</v>
      </c>
      <c r="E164" s="11">
        <v>2.0</v>
      </c>
      <c r="F164" s="12">
        <v>1552.3</v>
      </c>
      <c r="G164" s="11" t="s">
        <v>27</v>
      </c>
      <c r="H164" s="11"/>
      <c r="I164" s="11"/>
      <c r="J164" s="12"/>
      <c r="K164" s="10"/>
      <c r="L164" s="11"/>
      <c r="M164" s="11"/>
      <c r="N164" s="10"/>
      <c r="O164" s="10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21">
        <v>44249.0</v>
      </c>
      <c r="B165" s="15">
        <v>1145.0</v>
      </c>
      <c r="C165" s="11" t="s">
        <v>222</v>
      </c>
      <c r="D165" s="11" t="s">
        <v>223</v>
      </c>
      <c r="E165" s="11">
        <v>1.0</v>
      </c>
      <c r="F165" s="12">
        <v>224.02</v>
      </c>
      <c r="G165" s="14" t="s">
        <v>180</v>
      </c>
      <c r="H165" s="11"/>
      <c r="I165" s="11"/>
      <c r="J165" s="12">
        <v>259.86</v>
      </c>
      <c r="K165" s="10">
        <v>44267.0</v>
      </c>
      <c r="L165" s="11">
        <v>1484.0</v>
      </c>
      <c r="M165" s="11"/>
      <c r="N165" s="10"/>
      <c r="O165" s="10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21">
        <v>44249.0</v>
      </c>
      <c r="B166" s="16">
        <v>1144.0</v>
      </c>
      <c r="C166" s="11" t="s">
        <v>53</v>
      </c>
      <c r="D166" s="11" t="s">
        <v>97</v>
      </c>
      <c r="E166" s="11">
        <v>1.0</v>
      </c>
      <c r="F166" s="12" t="s">
        <v>224</v>
      </c>
      <c r="G166" s="14" t="s">
        <v>21</v>
      </c>
      <c r="H166" s="11"/>
      <c r="I166" s="11"/>
      <c r="J166" s="12">
        <v>10419.59</v>
      </c>
      <c r="K166" s="10">
        <v>44253.0</v>
      </c>
      <c r="L166" s="11">
        <v>1480.0</v>
      </c>
      <c r="M166" s="11"/>
      <c r="N166" s="10"/>
      <c r="O166" s="10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21">
        <v>44250.0</v>
      </c>
      <c r="B167" s="15">
        <v>1146.0</v>
      </c>
      <c r="C167" s="11" t="s">
        <v>225</v>
      </c>
      <c r="D167" s="11" t="s">
        <v>226</v>
      </c>
      <c r="E167" s="11">
        <v>1.0</v>
      </c>
      <c r="F167" s="12">
        <v>1520.28</v>
      </c>
      <c r="G167" s="11" t="s">
        <v>27</v>
      </c>
      <c r="H167" s="11"/>
      <c r="I167" s="11"/>
      <c r="J167" s="12"/>
      <c r="K167" s="10"/>
      <c r="L167" s="11"/>
      <c r="M167" s="11"/>
      <c r="N167" s="10"/>
      <c r="O167" s="10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21">
        <v>44250.0</v>
      </c>
      <c r="B168" s="16" t="s">
        <v>227</v>
      </c>
      <c r="C168" s="11" t="s">
        <v>44</v>
      </c>
      <c r="D168" s="11" t="s">
        <v>97</v>
      </c>
      <c r="E168" s="11"/>
      <c r="F168" s="12"/>
      <c r="G168" s="11" t="s">
        <v>167</v>
      </c>
      <c r="H168" s="11"/>
      <c r="I168" s="11"/>
      <c r="J168" s="12"/>
      <c r="K168" s="10"/>
      <c r="L168" s="11"/>
      <c r="M168" s="11"/>
      <c r="N168" s="10"/>
      <c r="O168" s="10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21">
        <v>44251.0</v>
      </c>
      <c r="B169" s="15">
        <v>1151.0</v>
      </c>
      <c r="C169" s="11" t="s">
        <v>154</v>
      </c>
      <c r="D169" s="11" t="s">
        <v>228</v>
      </c>
      <c r="E169" s="11">
        <v>1.0</v>
      </c>
      <c r="F169" s="12">
        <v>65.7</v>
      </c>
      <c r="G169" s="11" t="s">
        <v>27</v>
      </c>
      <c r="H169" s="11"/>
      <c r="I169" s="11"/>
      <c r="J169" s="12"/>
      <c r="K169" s="10"/>
      <c r="L169" s="11"/>
      <c r="M169" s="11"/>
      <c r="N169" s="10"/>
      <c r="O169" s="10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21">
        <v>44251.0</v>
      </c>
      <c r="B170" s="15">
        <v>1151.0</v>
      </c>
      <c r="C170" s="11" t="s">
        <v>154</v>
      </c>
      <c r="D170" s="11" t="s">
        <v>229</v>
      </c>
      <c r="E170" s="11">
        <v>1.0</v>
      </c>
      <c r="F170" s="12">
        <v>20.17</v>
      </c>
      <c r="G170" s="11" t="s">
        <v>27</v>
      </c>
      <c r="H170" s="11"/>
      <c r="I170" s="11"/>
      <c r="J170" s="12"/>
      <c r="K170" s="10"/>
      <c r="L170" s="11"/>
      <c r="M170" s="11"/>
      <c r="N170" s="10"/>
      <c r="O170" s="10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21">
        <v>44252.0</v>
      </c>
      <c r="B171" s="16">
        <v>1155.0</v>
      </c>
      <c r="C171" s="11" t="s">
        <v>44</v>
      </c>
      <c r="D171" s="11" t="s">
        <v>230</v>
      </c>
      <c r="E171" s="11">
        <v>1.0</v>
      </c>
      <c r="F171" s="12">
        <v>3293.0</v>
      </c>
      <c r="G171" s="14" t="s">
        <v>180</v>
      </c>
      <c r="H171" s="11"/>
      <c r="I171" s="11"/>
      <c r="J171" s="12">
        <v>3293.0</v>
      </c>
      <c r="K171" s="10">
        <v>44349.0</v>
      </c>
      <c r="L171" s="11">
        <v>1529.0</v>
      </c>
      <c r="M171" s="11"/>
      <c r="N171" s="10"/>
      <c r="O171" s="10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21">
        <v>44252.0</v>
      </c>
      <c r="B172" s="15">
        <v>1156.0</v>
      </c>
      <c r="C172" s="11" t="s">
        <v>44</v>
      </c>
      <c r="D172" s="11" t="s">
        <v>231</v>
      </c>
      <c r="E172" s="11">
        <v>2.0</v>
      </c>
      <c r="F172" s="12">
        <v>2695.26</v>
      </c>
      <c r="G172" s="14" t="s">
        <v>180</v>
      </c>
      <c r="H172" s="11"/>
      <c r="I172" s="11"/>
      <c r="J172" s="12"/>
      <c r="K172" s="10"/>
      <c r="L172" s="11"/>
      <c r="M172" s="11"/>
      <c r="N172" s="10"/>
      <c r="O172" s="10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21">
        <v>44252.0</v>
      </c>
      <c r="B173" s="15">
        <v>1156.0</v>
      </c>
      <c r="C173" s="11" t="s">
        <v>44</v>
      </c>
      <c r="D173" s="11" t="s">
        <v>232</v>
      </c>
      <c r="E173" s="11">
        <v>1.0</v>
      </c>
      <c r="F173" s="12">
        <v>2107.63</v>
      </c>
      <c r="G173" s="14" t="s">
        <v>180</v>
      </c>
      <c r="H173" s="11"/>
      <c r="I173" s="11"/>
      <c r="J173" s="12"/>
      <c r="K173" s="10"/>
      <c r="L173" s="11"/>
      <c r="M173" s="11"/>
      <c r="N173" s="10"/>
      <c r="O173" s="10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21">
        <v>44252.0</v>
      </c>
      <c r="B174" s="15">
        <v>1156.0</v>
      </c>
      <c r="C174" s="11" t="s">
        <v>44</v>
      </c>
      <c r="D174" s="11" t="s">
        <v>233</v>
      </c>
      <c r="E174" s="11">
        <v>30.0</v>
      </c>
      <c r="F174" s="12">
        <v>697.1</v>
      </c>
      <c r="G174" s="14" t="s">
        <v>180</v>
      </c>
      <c r="H174" s="11"/>
      <c r="I174" s="11"/>
      <c r="J174" s="12"/>
      <c r="K174" s="10"/>
      <c r="L174" s="11"/>
      <c r="M174" s="11"/>
      <c r="N174" s="10"/>
      <c r="O174" s="10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21">
        <v>44252.0</v>
      </c>
      <c r="B175" s="17">
        <v>1156.0</v>
      </c>
      <c r="C175" s="11" t="s">
        <v>44</v>
      </c>
      <c r="D175" s="11" t="s">
        <v>234</v>
      </c>
      <c r="E175" s="11">
        <v>1.0</v>
      </c>
      <c r="F175" s="12">
        <v>2062.25</v>
      </c>
      <c r="G175" s="14" t="s">
        <v>180</v>
      </c>
      <c r="H175" s="11"/>
      <c r="I175" s="11"/>
      <c r="J175" s="12"/>
      <c r="K175" s="10"/>
      <c r="L175" s="11"/>
      <c r="M175" s="11"/>
      <c r="N175" s="10"/>
      <c r="O175" s="10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8"/>
      <c r="B176" s="19"/>
      <c r="C176" s="19"/>
      <c r="D176" s="19"/>
      <c r="E176" s="19"/>
      <c r="F176" s="20"/>
      <c r="G176" s="19"/>
      <c r="H176" s="19"/>
      <c r="I176" s="19"/>
      <c r="J176" s="20"/>
      <c r="K176" s="18"/>
      <c r="L176" s="19"/>
      <c r="M176" s="19"/>
      <c r="N176" s="18"/>
      <c r="O176" s="18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0">
        <v>44256.0</v>
      </c>
      <c r="B177" s="13">
        <v>1157.0</v>
      </c>
      <c r="C177" s="11" t="s">
        <v>53</v>
      </c>
      <c r="D177" s="11" t="s">
        <v>235</v>
      </c>
      <c r="E177" s="11">
        <v>1.0</v>
      </c>
      <c r="F177" s="12">
        <v>2478.09</v>
      </c>
      <c r="G177" s="11" t="s">
        <v>27</v>
      </c>
      <c r="H177" s="11"/>
      <c r="I177" s="11"/>
      <c r="J177" s="12"/>
      <c r="K177" s="10"/>
      <c r="L177" s="11"/>
      <c r="M177" s="11"/>
      <c r="N177" s="10"/>
      <c r="O177" s="10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0">
        <v>44256.0</v>
      </c>
      <c r="B178" s="16">
        <v>1158.0</v>
      </c>
      <c r="C178" s="11" t="s">
        <v>19</v>
      </c>
      <c r="D178" s="11" t="s">
        <v>236</v>
      </c>
      <c r="E178" s="11">
        <v>2.0</v>
      </c>
      <c r="F178" s="12">
        <v>760.9</v>
      </c>
      <c r="G178" s="14" t="s">
        <v>180</v>
      </c>
      <c r="H178" s="11"/>
      <c r="I178" s="11"/>
      <c r="J178" s="12">
        <v>760.9</v>
      </c>
      <c r="K178" s="10">
        <v>44265.0</v>
      </c>
      <c r="L178" s="11">
        <v>1483.0</v>
      </c>
      <c r="M178" s="11"/>
      <c r="N178" s="10"/>
      <c r="O178" s="10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0">
        <v>44258.0</v>
      </c>
      <c r="B179" s="17">
        <v>1159.0</v>
      </c>
      <c r="C179" s="11" t="s">
        <v>44</v>
      </c>
      <c r="D179" s="11" t="s">
        <v>237</v>
      </c>
      <c r="E179" s="11">
        <v>2.0</v>
      </c>
      <c r="F179" s="12" t="s">
        <v>238</v>
      </c>
      <c r="G179" s="14" t="s">
        <v>180</v>
      </c>
      <c r="H179" s="11"/>
      <c r="I179" s="11"/>
      <c r="J179" s="12">
        <v>10639.42</v>
      </c>
      <c r="K179" s="10">
        <v>44349.0</v>
      </c>
      <c r="L179" s="11">
        <v>1530.0</v>
      </c>
      <c r="M179" s="11"/>
      <c r="N179" s="10"/>
      <c r="O179" s="10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0" customHeight="1">
      <c r="A180" s="10">
        <v>44258.0</v>
      </c>
      <c r="B180" s="11"/>
      <c r="C180" s="11" t="s">
        <v>239</v>
      </c>
      <c r="D180" s="11" t="s">
        <v>240</v>
      </c>
      <c r="E180" s="11"/>
      <c r="F180" s="12"/>
      <c r="G180" s="11" t="s">
        <v>241</v>
      </c>
      <c r="H180" s="11"/>
      <c r="I180" s="11"/>
      <c r="J180" s="12"/>
      <c r="K180" s="10"/>
      <c r="L180" s="11"/>
      <c r="M180" s="11"/>
      <c r="N180" s="10"/>
      <c r="O180" s="10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0" customHeight="1">
      <c r="A181" s="10">
        <v>44259.0</v>
      </c>
      <c r="B181" s="13">
        <v>1161.0</v>
      </c>
      <c r="C181" s="11" t="s">
        <v>188</v>
      </c>
      <c r="D181" s="11" t="s">
        <v>242</v>
      </c>
      <c r="E181" s="11">
        <v>1.0</v>
      </c>
      <c r="F181" s="12">
        <v>117.38</v>
      </c>
      <c r="G181" s="11" t="s">
        <v>167</v>
      </c>
      <c r="H181" s="11"/>
      <c r="I181" s="11"/>
      <c r="J181" s="12"/>
      <c r="K181" s="10"/>
      <c r="L181" s="11"/>
      <c r="M181" s="11"/>
      <c r="N181" s="10"/>
      <c r="O181" s="10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0" customHeight="1">
      <c r="A182" s="10">
        <v>44259.0</v>
      </c>
      <c r="B182" s="15">
        <v>1161.0</v>
      </c>
      <c r="C182" s="11" t="s">
        <v>188</v>
      </c>
      <c r="D182" s="11" t="s">
        <v>243</v>
      </c>
      <c r="E182" s="11">
        <v>1.0</v>
      </c>
      <c r="F182" s="12">
        <v>1911.54</v>
      </c>
      <c r="G182" s="11" t="s">
        <v>167</v>
      </c>
      <c r="H182" s="11"/>
      <c r="I182" s="11"/>
      <c r="J182" s="12"/>
      <c r="K182" s="10"/>
      <c r="L182" s="11"/>
      <c r="M182" s="11"/>
      <c r="N182" s="10"/>
      <c r="O182" s="10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0" customHeight="1">
      <c r="A183" s="10">
        <v>44259.0</v>
      </c>
      <c r="B183" s="13">
        <v>1162.0</v>
      </c>
      <c r="C183" s="11" t="s">
        <v>188</v>
      </c>
      <c r="D183" s="11" t="s">
        <v>244</v>
      </c>
      <c r="E183" s="11">
        <v>8.0</v>
      </c>
      <c r="F183" s="12">
        <v>824.1</v>
      </c>
      <c r="G183" s="14" t="s">
        <v>180</v>
      </c>
      <c r="H183" s="11"/>
      <c r="I183" s="11"/>
      <c r="J183" s="12">
        <v>824.1</v>
      </c>
      <c r="K183" s="10">
        <v>44260.0</v>
      </c>
      <c r="L183" s="11">
        <v>1482.0</v>
      </c>
      <c r="M183" s="11"/>
      <c r="N183" s="10"/>
      <c r="O183" s="10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0" customHeight="1">
      <c r="A184" s="10">
        <v>44259.0</v>
      </c>
      <c r="B184" s="17">
        <v>1162.0</v>
      </c>
      <c r="C184" s="11" t="s">
        <v>188</v>
      </c>
      <c r="D184" s="11" t="s">
        <v>245</v>
      </c>
      <c r="E184" s="11">
        <v>4.0</v>
      </c>
      <c r="F184" s="12">
        <v>1553.24</v>
      </c>
      <c r="G184" s="14" t="s">
        <v>180</v>
      </c>
      <c r="H184" s="11"/>
      <c r="I184" s="11"/>
      <c r="J184" s="12">
        <v>1553.24</v>
      </c>
      <c r="K184" s="10">
        <v>44260.0</v>
      </c>
      <c r="L184" s="11">
        <v>1482.0</v>
      </c>
      <c r="M184" s="11"/>
      <c r="N184" s="10"/>
      <c r="O184" s="10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0">
        <v>44260.0</v>
      </c>
      <c r="B185" s="11"/>
      <c r="C185" s="11" t="s">
        <v>246</v>
      </c>
      <c r="D185" s="11" t="s">
        <v>247</v>
      </c>
      <c r="E185" s="11"/>
      <c r="F185" s="12"/>
      <c r="G185" s="11" t="s">
        <v>241</v>
      </c>
      <c r="H185" s="11"/>
      <c r="I185" s="11"/>
      <c r="J185" s="12"/>
      <c r="K185" s="10"/>
      <c r="L185" s="11"/>
      <c r="M185" s="11"/>
      <c r="N185" s="10"/>
      <c r="O185" s="10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0">
        <v>44260.0</v>
      </c>
      <c r="B186" s="11"/>
      <c r="C186" s="11" t="s">
        <v>248</v>
      </c>
      <c r="D186" s="11" t="s">
        <v>249</v>
      </c>
      <c r="E186" s="11"/>
      <c r="F186" s="12"/>
      <c r="G186" s="11" t="s">
        <v>241</v>
      </c>
      <c r="H186" s="11"/>
      <c r="I186" s="11"/>
      <c r="J186" s="12"/>
      <c r="K186" s="10"/>
      <c r="L186" s="11"/>
      <c r="M186" s="11"/>
      <c r="N186" s="10"/>
      <c r="O186" s="10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0">
        <v>44264.0</v>
      </c>
      <c r="B187" s="13">
        <v>1170.0</v>
      </c>
      <c r="C187" s="11" t="s">
        <v>250</v>
      </c>
      <c r="D187" s="11" t="s">
        <v>251</v>
      </c>
      <c r="E187" s="11">
        <v>15.0</v>
      </c>
      <c r="F187" s="12" t="s">
        <v>252</v>
      </c>
      <c r="G187" s="11" t="s">
        <v>167</v>
      </c>
      <c r="H187" s="11"/>
      <c r="I187" s="11"/>
      <c r="J187" s="12"/>
      <c r="K187" s="10"/>
      <c r="L187" s="11"/>
      <c r="M187" s="11"/>
      <c r="N187" s="10"/>
      <c r="O187" s="10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0">
        <v>44264.0</v>
      </c>
      <c r="B188" s="15">
        <v>1166.0</v>
      </c>
      <c r="C188" s="11" t="s">
        <v>44</v>
      </c>
      <c r="D188" s="11" t="s">
        <v>136</v>
      </c>
      <c r="E188" s="11">
        <v>45.0</v>
      </c>
      <c r="F188" s="12">
        <v>1769.4</v>
      </c>
      <c r="G188" s="14" t="s">
        <v>180</v>
      </c>
      <c r="H188" s="11"/>
      <c r="I188" s="11"/>
      <c r="J188" s="12">
        <v>1769.4</v>
      </c>
      <c r="K188" s="10">
        <v>44432.0</v>
      </c>
      <c r="L188" s="11">
        <v>1571.0</v>
      </c>
      <c r="M188" s="11"/>
      <c r="N188" s="10"/>
      <c r="O188" s="10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0">
        <v>44266.0</v>
      </c>
      <c r="B189" s="15">
        <v>1167.0</v>
      </c>
      <c r="C189" s="11" t="s">
        <v>253</v>
      </c>
      <c r="D189" s="11" t="s">
        <v>244</v>
      </c>
      <c r="E189" s="11">
        <v>7.0</v>
      </c>
      <c r="F189" s="12">
        <v>927.08</v>
      </c>
      <c r="G189" s="14" t="s">
        <v>180</v>
      </c>
      <c r="H189" s="11"/>
      <c r="I189" s="11"/>
      <c r="J189" s="12">
        <v>927.08</v>
      </c>
      <c r="K189" s="10">
        <v>44309.0</v>
      </c>
      <c r="L189" s="11">
        <v>1503.0</v>
      </c>
      <c r="M189" s="11"/>
      <c r="N189" s="10"/>
      <c r="O189" s="10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0">
        <v>44266.0</v>
      </c>
      <c r="B190" s="15">
        <v>1167.0</v>
      </c>
      <c r="C190" s="11" t="s">
        <v>253</v>
      </c>
      <c r="D190" s="11" t="s">
        <v>254</v>
      </c>
      <c r="E190" s="11">
        <v>7.0</v>
      </c>
      <c r="F190" s="12" t="s">
        <v>255</v>
      </c>
      <c r="G190" s="14" t="s">
        <v>180</v>
      </c>
      <c r="H190" s="11"/>
      <c r="I190" s="11"/>
      <c r="J190" s="12">
        <v>1812.53</v>
      </c>
      <c r="K190" s="10">
        <v>44309.0</v>
      </c>
      <c r="L190" s="11">
        <v>1503.0</v>
      </c>
      <c r="M190" s="11"/>
      <c r="N190" s="10"/>
      <c r="O190" s="10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0">
        <v>44264.0</v>
      </c>
      <c r="B191" s="15">
        <v>1168.0</v>
      </c>
      <c r="C191" s="11" t="s">
        <v>44</v>
      </c>
      <c r="D191" s="11" t="s">
        <v>135</v>
      </c>
      <c r="E191" s="11">
        <v>47.0</v>
      </c>
      <c r="F191" s="12">
        <v>2487.5</v>
      </c>
      <c r="G191" s="14" t="s">
        <v>180</v>
      </c>
      <c r="H191" s="11"/>
      <c r="I191" s="11"/>
      <c r="J191" s="12">
        <v>1069.62</v>
      </c>
      <c r="K191" s="10">
        <v>44349.0</v>
      </c>
      <c r="L191" s="11">
        <v>1528.0</v>
      </c>
      <c r="M191" s="11"/>
      <c r="N191" s="10"/>
      <c r="O191" s="10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0">
        <v>44264.0</v>
      </c>
      <c r="B192" s="15">
        <v>1168.0</v>
      </c>
      <c r="C192" s="11" t="s">
        <v>44</v>
      </c>
      <c r="D192" s="11" t="s">
        <v>135</v>
      </c>
      <c r="E192" s="11">
        <v>53.0</v>
      </c>
      <c r="F192" s="12"/>
      <c r="G192" s="14" t="s">
        <v>180</v>
      </c>
      <c r="H192" s="11"/>
      <c r="I192" s="11"/>
      <c r="J192" s="12">
        <v>1417.88</v>
      </c>
      <c r="K192" s="10">
        <v>44382.0</v>
      </c>
      <c r="L192" s="11">
        <v>1542.0</v>
      </c>
      <c r="M192" s="11"/>
      <c r="N192" s="10"/>
      <c r="O192" s="10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0">
        <v>44264.0</v>
      </c>
      <c r="B193" s="15" t="s">
        <v>256</v>
      </c>
      <c r="C193" s="11" t="s">
        <v>44</v>
      </c>
      <c r="D193" s="11" t="s">
        <v>257</v>
      </c>
      <c r="E193" s="11">
        <v>10.0</v>
      </c>
      <c r="F193" s="12" t="s">
        <v>258</v>
      </c>
      <c r="G193" s="11" t="s">
        <v>167</v>
      </c>
      <c r="H193" s="11"/>
      <c r="I193" s="11"/>
      <c r="J193" s="12"/>
      <c r="K193" s="10"/>
      <c r="L193" s="11"/>
      <c r="M193" s="11"/>
      <c r="N193" s="10"/>
      <c r="O193" s="10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0">
        <v>44264.0</v>
      </c>
      <c r="B194" s="15" t="s">
        <v>256</v>
      </c>
      <c r="C194" s="11" t="s">
        <v>44</v>
      </c>
      <c r="D194" s="11" t="s">
        <v>259</v>
      </c>
      <c r="E194" s="11">
        <v>5.0</v>
      </c>
      <c r="F194" s="12" t="s">
        <v>260</v>
      </c>
      <c r="G194" s="14" t="s">
        <v>180</v>
      </c>
      <c r="H194" s="11"/>
      <c r="I194" s="11"/>
      <c r="J194" s="12">
        <v>16743.4</v>
      </c>
      <c r="K194" s="10">
        <v>44349.0</v>
      </c>
      <c r="L194" s="11">
        <v>1528.0</v>
      </c>
      <c r="M194" s="11"/>
      <c r="N194" s="10"/>
      <c r="O194" s="10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0">
        <v>44264.0</v>
      </c>
      <c r="B195" s="15" t="s">
        <v>256</v>
      </c>
      <c r="C195" s="11" t="s">
        <v>44</v>
      </c>
      <c r="D195" s="11" t="s">
        <v>259</v>
      </c>
      <c r="E195" s="11">
        <v>1.0</v>
      </c>
      <c r="F195" s="12">
        <v>3348.68</v>
      </c>
      <c r="G195" s="14" t="s">
        <v>180</v>
      </c>
      <c r="H195" s="11"/>
      <c r="I195" s="11"/>
      <c r="J195" s="12">
        <v>3348.68</v>
      </c>
      <c r="K195" s="10">
        <v>44529.0</v>
      </c>
      <c r="L195" s="11">
        <v>1630.0</v>
      </c>
      <c r="M195" s="11"/>
      <c r="N195" s="10"/>
      <c r="O195" s="10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0">
        <v>44264.0</v>
      </c>
      <c r="B196" s="17">
        <v>1168.0</v>
      </c>
      <c r="C196" s="11" t="s">
        <v>44</v>
      </c>
      <c r="D196" s="11" t="s">
        <v>261</v>
      </c>
      <c r="E196" s="11">
        <v>8.0</v>
      </c>
      <c r="F196" s="12" t="s">
        <v>262</v>
      </c>
      <c r="G196" s="11" t="s">
        <v>167</v>
      </c>
      <c r="H196" s="11"/>
      <c r="I196" s="11"/>
      <c r="J196" s="12"/>
      <c r="K196" s="10"/>
      <c r="L196" s="11"/>
      <c r="M196" s="11"/>
      <c r="N196" s="10"/>
      <c r="O196" s="10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0">
        <v>44265.0</v>
      </c>
      <c r="B197" s="11"/>
      <c r="C197" s="11" t="s">
        <v>77</v>
      </c>
      <c r="D197" s="11" t="s">
        <v>67</v>
      </c>
      <c r="E197" s="11"/>
      <c r="F197" s="12"/>
      <c r="G197" s="11" t="s">
        <v>241</v>
      </c>
      <c r="H197" s="11"/>
      <c r="I197" s="11"/>
      <c r="J197" s="12"/>
      <c r="K197" s="10"/>
      <c r="L197" s="11"/>
      <c r="M197" s="11"/>
      <c r="N197" s="10"/>
      <c r="O197" s="10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0">
        <v>44266.0</v>
      </c>
      <c r="B198" s="13">
        <v>1169.0</v>
      </c>
      <c r="C198" s="11" t="s">
        <v>263</v>
      </c>
      <c r="D198" s="11" t="s">
        <v>264</v>
      </c>
      <c r="E198" s="11">
        <v>2.0</v>
      </c>
      <c r="F198" s="12">
        <v>4076.66</v>
      </c>
      <c r="G198" s="11" t="s">
        <v>167</v>
      </c>
      <c r="H198" s="11"/>
      <c r="I198" s="11"/>
      <c r="J198" s="12"/>
      <c r="K198" s="10"/>
      <c r="L198" s="11"/>
      <c r="M198" s="11"/>
      <c r="N198" s="10"/>
      <c r="O198" s="10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0">
        <v>44266.0</v>
      </c>
      <c r="B199" s="15">
        <v>1169.0</v>
      </c>
      <c r="C199" s="11" t="s">
        <v>263</v>
      </c>
      <c r="D199" s="11" t="s">
        <v>265</v>
      </c>
      <c r="E199" s="11">
        <v>1.0</v>
      </c>
      <c r="F199" s="12">
        <v>1911.54</v>
      </c>
      <c r="G199" s="11" t="s">
        <v>167</v>
      </c>
      <c r="H199" s="11"/>
      <c r="I199" s="11"/>
      <c r="J199" s="12"/>
      <c r="K199" s="10"/>
      <c r="L199" s="11"/>
      <c r="M199" s="11"/>
      <c r="N199" s="10"/>
      <c r="O199" s="10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0">
        <v>44266.0</v>
      </c>
      <c r="B200" s="15">
        <v>1169.0</v>
      </c>
      <c r="C200" s="11" t="s">
        <v>263</v>
      </c>
      <c r="D200" s="11" t="s">
        <v>266</v>
      </c>
      <c r="E200" s="11">
        <v>1.0</v>
      </c>
      <c r="F200" s="12">
        <v>1292.89</v>
      </c>
      <c r="G200" s="11" t="s">
        <v>167</v>
      </c>
      <c r="H200" s="11"/>
      <c r="I200" s="11"/>
      <c r="J200" s="12"/>
      <c r="K200" s="10"/>
      <c r="L200" s="11"/>
      <c r="M200" s="11"/>
      <c r="N200" s="10"/>
      <c r="O200" s="10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0">
        <v>44267.0</v>
      </c>
      <c r="B201" s="13">
        <v>1171.0</v>
      </c>
      <c r="C201" s="11" t="s">
        <v>267</v>
      </c>
      <c r="D201" s="11" t="s">
        <v>268</v>
      </c>
      <c r="E201" s="11">
        <v>4.0</v>
      </c>
      <c r="F201" s="12" t="s">
        <v>269</v>
      </c>
      <c r="G201" s="11" t="s">
        <v>167</v>
      </c>
      <c r="H201" s="11"/>
      <c r="I201" s="11"/>
      <c r="J201" s="12"/>
      <c r="K201" s="10"/>
      <c r="L201" s="11"/>
      <c r="M201" s="11"/>
      <c r="N201" s="10"/>
      <c r="O201" s="10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0">
        <v>44267.0</v>
      </c>
      <c r="B202" s="17">
        <v>1171.0</v>
      </c>
      <c r="C202" s="11" t="s">
        <v>267</v>
      </c>
      <c r="D202" s="11" t="s">
        <v>270</v>
      </c>
      <c r="E202" s="11">
        <v>8.0</v>
      </c>
      <c r="F202" s="12">
        <v>4977.12</v>
      </c>
      <c r="G202" s="11" t="s">
        <v>167</v>
      </c>
      <c r="H202" s="11"/>
      <c r="I202" s="11"/>
      <c r="J202" s="12"/>
      <c r="K202" s="10"/>
      <c r="L202" s="11"/>
      <c r="M202" s="11"/>
      <c r="N202" s="10"/>
      <c r="O202" s="10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0">
        <v>44267.0</v>
      </c>
      <c r="B203" s="11"/>
      <c r="C203" s="11" t="s">
        <v>77</v>
      </c>
      <c r="D203" s="11" t="s">
        <v>271</v>
      </c>
      <c r="E203" s="11"/>
      <c r="F203" s="12"/>
      <c r="G203" s="11" t="s">
        <v>241</v>
      </c>
      <c r="H203" s="11"/>
      <c r="I203" s="11"/>
      <c r="J203" s="12"/>
      <c r="K203" s="10"/>
      <c r="L203" s="11"/>
      <c r="M203" s="11"/>
      <c r="N203" s="10"/>
      <c r="O203" s="10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0">
        <v>44267.0</v>
      </c>
      <c r="B204" s="13">
        <v>1189.0</v>
      </c>
      <c r="C204" s="11" t="s">
        <v>272</v>
      </c>
      <c r="D204" s="11" t="s">
        <v>273</v>
      </c>
      <c r="E204" s="11">
        <v>1.0</v>
      </c>
      <c r="F204" s="12" t="s">
        <v>274</v>
      </c>
      <c r="G204" s="11" t="s">
        <v>27</v>
      </c>
      <c r="H204" s="11"/>
      <c r="I204" s="11"/>
      <c r="J204" s="12"/>
      <c r="K204" s="10"/>
      <c r="L204" s="11"/>
      <c r="M204" s="11"/>
      <c r="N204" s="10"/>
      <c r="O204" s="10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0">
        <v>44271.0</v>
      </c>
      <c r="B205" s="13">
        <v>1173.0</v>
      </c>
      <c r="C205" s="11" t="s">
        <v>275</v>
      </c>
      <c r="D205" s="11" t="s">
        <v>226</v>
      </c>
      <c r="E205" s="11">
        <v>1.0</v>
      </c>
      <c r="F205" s="12">
        <v>1731.77</v>
      </c>
      <c r="G205" s="11" t="s">
        <v>167</v>
      </c>
      <c r="H205" s="11"/>
      <c r="I205" s="11"/>
      <c r="J205" s="12"/>
      <c r="K205" s="10"/>
      <c r="L205" s="11"/>
      <c r="M205" s="11"/>
      <c r="N205" s="10"/>
      <c r="O205" s="10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0">
        <v>44271.0</v>
      </c>
      <c r="B206" s="17">
        <v>1173.0</v>
      </c>
      <c r="C206" s="11" t="s">
        <v>275</v>
      </c>
      <c r="D206" s="11" t="s">
        <v>276</v>
      </c>
      <c r="E206" s="11">
        <v>2.0</v>
      </c>
      <c r="F206" s="12">
        <v>862.96</v>
      </c>
      <c r="G206" s="11" t="s">
        <v>167</v>
      </c>
      <c r="H206" s="11"/>
      <c r="I206" s="11"/>
      <c r="J206" s="12"/>
      <c r="K206" s="10"/>
      <c r="L206" s="11"/>
      <c r="M206" s="11"/>
      <c r="N206" s="10"/>
      <c r="O206" s="10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0">
        <v>44272.0</v>
      </c>
      <c r="B207" s="15">
        <v>1176.0</v>
      </c>
      <c r="C207" s="11" t="s">
        <v>44</v>
      </c>
      <c r="D207" s="11" t="s">
        <v>20</v>
      </c>
      <c r="E207" s="11">
        <v>5.0</v>
      </c>
      <c r="F207" s="12">
        <v>35.0</v>
      </c>
      <c r="G207" s="14" t="s">
        <v>180</v>
      </c>
      <c r="H207" s="11"/>
      <c r="I207" s="11"/>
      <c r="J207" s="12">
        <v>35.0</v>
      </c>
      <c r="K207" s="10">
        <v>44378.0</v>
      </c>
      <c r="L207" s="11">
        <v>1538.0</v>
      </c>
      <c r="M207" s="11"/>
      <c r="N207" s="10"/>
      <c r="O207" s="10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0">
        <v>44272.0</v>
      </c>
      <c r="B208" s="15">
        <v>1176.0</v>
      </c>
      <c r="C208" s="11" t="s">
        <v>44</v>
      </c>
      <c r="D208" s="11" t="s">
        <v>277</v>
      </c>
      <c r="E208" s="11">
        <v>5.0</v>
      </c>
      <c r="F208" s="12">
        <v>285.55</v>
      </c>
      <c r="G208" s="14" t="s">
        <v>180</v>
      </c>
      <c r="H208" s="11"/>
      <c r="I208" s="11"/>
      <c r="J208" s="12">
        <v>285.55</v>
      </c>
      <c r="K208" s="10">
        <v>44378.0</v>
      </c>
      <c r="L208" s="11">
        <v>1538.0</v>
      </c>
      <c r="M208" s="11"/>
      <c r="N208" s="10"/>
      <c r="O208" s="10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0">
        <v>44272.0</v>
      </c>
      <c r="B209" s="15">
        <v>1176.0</v>
      </c>
      <c r="C209" s="11" t="s">
        <v>44</v>
      </c>
      <c r="D209" s="11" t="s">
        <v>278</v>
      </c>
      <c r="E209" s="11">
        <v>5.0</v>
      </c>
      <c r="F209" s="12">
        <v>60.0</v>
      </c>
      <c r="G209" s="14" t="s">
        <v>180</v>
      </c>
      <c r="H209" s="11"/>
      <c r="I209" s="11"/>
      <c r="J209" s="12">
        <v>60.0</v>
      </c>
      <c r="K209" s="10">
        <v>44452.0</v>
      </c>
      <c r="L209" s="11">
        <v>1581.0</v>
      </c>
      <c r="M209" s="11"/>
      <c r="N209" s="10"/>
      <c r="O209" s="10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0">
        <v>44272.0</v>
      </c>
      <c r="B210" s="15">
        <v>1176.0</v>
      </c>
      <c r="C210" s="11" t="s">
        <v>44</v>
      </c>
      <c r="D210" s="11" t="s">
        <v>136</v>
      </c>
      <c r="E210" s="11">
        <v>4.0</v>
      </c>
      <c r="F210" s="12">
        <v>151.92</v>
      </c>
      <c r="G210" s="14" t="s">
        <v>180</v>
      </c>
      <c r="H210" s="11"/>
      <c r="I210" s="11"/>
      <c r="J210" s="12">
        <v>151.92</v>
      </c>
      <c r="K210" s="10">
        <v>44378.0</v>
      </c>
      <c r="L210" s="11">
        <v>1538.0</v>
      </c>
      <c r="M210" s="11"/>
      <c r="N210" s="10"/>
      <c r="O210" s="10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0">
        <v>44272.0</v>
      </c>
      <c r="B211" s="15">
        <v>1176.0</v>
      </c>
      <c r="C211" s="11" t="s">
        <v>44</v>
      </c>
      <c r="D211" s="11" t="s">
        <v>279</v>
      </c>
      <c r="E211" s="11">
        <v>10.0</v>
      </c>
      <c r="F211" s="12">
        <v>1303.96</v>
      </c>
      <c r="G211" s="14" t="s">
        <v>180</v>
      </c>
      <c r="H211" s="11"/>
      <c r="I211" s="11"/>
      <c r="J211" s="12">
        <v>1303.96</v>
      </c>
      <c r="K211" s="10">
        <v>44378.0</v>
      </c>
      <c r="L211" s="11">
        <v>1538.0</v>
      </c>
      <c r="M211" s="11"/>
      <c r="N211" s="10"/>
      <c r="O211" s="10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0">
        <v>44272.0</v>
      </c>
      <c r="B212" s="17">
        <v>1176.0</v>
      </c>
      <c r="C212" s="11" t="s">
        <v>44</v>
      </c>
      <c r="D212" s="11" t="s">
        <v>149</v>
      </c>
      <c r="E212" s="11">
        <v>5.0</v>
      </c>
      <c r="F212" s="12">
        <v>325.15</v>
      </c>
      <c r="G212" s="14" t="s">
        <v>180</v>
      </c>
      <c r="H212" s="11"/>
      <c r="I212" s="11"/>
      <c r="J212" s="12">
        <v>325.15</v>
      </c>
      <c r="K212" s="10">
        <v>44378.0</v>
      </c>
      <c r="L212" s="11">
        <v>1538.0</v>
      </c>
      <c r="M212" s="11"/>
      <c r="N212" s="10"/>
      <c r="O212" s="10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0">
        <v>44272.0</v>
      </c>
      <c r="B213" s="11"/>
      <c r="C213" s="11" t="s">
        <v>280</v>
      </c>
      <c r="D213" s="11" t="s">
        <v>281</v>
      </c>
      <c r="E213" s="11"/>
      <c r="F213" s="12"/>
      <c r="G213" s="11" t="s">
        <v>241</v>
      </c>
      <c r="H213" s="11"/>
      <c r="I213" s="11"/>
      <c r="J213" s="12"/>
      <c r="K213" s="10"/>
      <c r="L213" s="11"/>
      <c r="M213" s="11"/>
      <c r="N213" s="10"/>
      <c r="O213" s="10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0">
        <v>44272.0</v>
      </c>
      <c r="B214" s="22">
        <v>1178.0</v>
      </c>
      <c r="C214" s="11" t="s">
        <v>282</v>
      </c>
      <c r="D214" s="11" t="s">
        <v>283</v>
      </c>
      <c r="E214" s="11">
        <v>1.0</v>
      </c>
      <c r="F214" s="12">
        <v>5868.8</v>
      </c>
      <c r="G214" s="11" t="s">
        <v>167</v>
      </c>
      <c r="H214" s="11"/>
      <c r="I214" s="11"/>
      <c r="J214" s="12"/>
      <c r="K214" s="10"/>
      <c r="L214" s="11"/>
      <c r="M214" s="11"/>
      <c r="N214" s="10"/>
      <c r="O214" s="10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0">
        <v>44273.0</v>
      </c>
      <c r="B215" s="22">
        <v>1181.0</v>
      </c>
      <c r="C215" s="11" t="s">
        <v>188</v>
      </c>
      <c r="D215" s="11" t="s">
        <v>284</v>
      </c>
      <c r="E215" s="11">
        <v>1.0</v>
      </c>
      <c r="F215" s="12">
        <v>200.02</v>
      </c>
      <c r="G215" s="11" t="s">
        <v>27</v>
      </c>
      <c r="H215" s="11"/>
      <c r="I215" s="11"/>
      <c r="J215" s="12"/>
      <c r="K215" s="10"/>
      <c r="L215" s="11"/>
      <c r="M215" s="11"/>
      <c r="N215" s="10"/>
      <c r="O215" s="10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0">
        <v>44273.0</v>
      </c>
      <c r="B216" s="23">
        <v>1181.0</v>
      </c>
      <c r="C216" s="11" t="s">
        <v>188</v>
      </c>
      <c r="D216" s="11" t="s">
        <v>285</v>
      </c>
      <c r="E216" s="11">
        <v>1.0</v>
      </c>
      <c r="F216" s="12">
        <v>1102.87</v>
      </c>
      <c r="G216" s="11" t="s">
        <v>27</v>
      </c>
      <c r="H216" s="11"/>
      <c r="I216" s="11"/>
      <c r="J216" s="12"/>
      <c r="K216" s="10"/>
      <c r="L216" s="11"/>
      <c r="M216" s="11"/>
      <c r="N216" s="10"/>
      <c r="O216" s="10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0">
        <v>44273.0</v>
      </c>
      <c r="B217" s="24">
        <v>1182.0</v>
      </c>
      <c r="C217" s="11" t="s">
        <v>53</v>
      </c>
      <c r="D217" s="11" t="s">
        <v>286</v>
      </c>
      <c r="E217" s="11">
        <v>20.0</v>
      </c>
      <c r="F217" s="12" t="s">
        <v>287</v>
      </c>
      <c r="G217" s="14" t="s">
        <v>21</v>
      </c>
      <c r="H217" s="11"/>
      <c r="I217" s="11"/>
      <c r="J217" s="12">
        <v>40000.0</v>
      </c>
      <c r="K217" s="10">
        <v>44358.0</v>
      </c>
      <c r="L217" s="11">
        <v>1532.0</v>
      </c>
      <c r="M217" s="11"/>
      <c r="N217" s="10"/>
      <c r="O217" s="10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0">
        <v>44273.0</v>
      </c>
      <c r="B218" s="24">
        <v>1182.0</v>
      </c>
      <c r="C218" s="11" t="s">
        <v>53</v>
      </c>
      <c r="D218" s="11" t="s">
        <v>286</v>
      </c>
      <c r="E218" s="11">
        <v>4.0</v>
      </c>
      <c r="F218" s="12" t="s">
        <v>288</v>
      </c>
      <c r="G218" s="14" t="s">
        <v>21</v>
      </c>
      <c r="H218" s="11"/>
      <c r="I218" s="11"/>
      <c r="J218" s="12">
        <v>8000.0</v>
      </c>
      <c r="K218" s="10">
        <v>44455.0</v>
      </c>
      <c r="L218" s="11">
        <v>1585.0</v>
      </c>
      <c r="M218" s="11"/>
      <c r="N218" s="10"/>
      <c r="O218" s="10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0">
        <v>44273.0</v>
      </c>
      <c r="B219" s="16">
        <v>1186.0</v>
      </c>
      <c r="C219" s="11" t="s">
        <v>77</v>
      </c>
      <c r="D219" s="11" t="s">
        <v>289</v>
      </c>
      <c r="E219" s="11"/>
      <c r="F219" s="12"/>
      <c r="G219" s="11" t="s">
        <v>167</v>
      </c>
      <c r="H219" s="11"/>
      <c r="I219" s="11"/>
      <c r="J219" s="12"/>
      <c r="K219" s="10"/>
      <c r="L219" s="11"/>
      <c r="M219" s="11"/>
      <c r="N219" s="10"/>
      <c r="O219" s="10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0">
        <v>44273.0</v>
      </c>
      <c r="B220" s="11"/>
      <c r="C220" s="11" t="s">
        <v>248</v>
      </c>
      <c r="D220" s="11" t="s">
        <v>249</v>
      </c>
      <c r="E220" s="11"/>
      <c r="F220" s="12"/>
      <c r="G220" s="11" t="s">
        <v>241</v>
      </c>
      <c r="H220" s="11"/>
      <c r="I220" s="11"/>
      <c r="J220" s="12"/>
      <c r="K220" s="10"/>
      <c r="L220" s="11"/>
      <c r="M220" s="11"/>
      <c r="N220" s="10"/>
      <c r="O220" s="10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0">
        <v>44274.0</v>
      </c>
      <c r="B221" s="13">
        <v>1184.0</v>
      </c>
      <c r="C221" s="11" t="s">
        <v>77</v>
      </c>
      <c r="D221" s="11" t="s">
        <v>290</v>
      </c>
      <c r="E221" s="11">
        <v>2.0</v>
      </c>
      <c r="F221" s="12" t="s">
        <v>291</v>
      </c>
      <c r="G221" s="11" t="s">
        <v>167</v>
      </c>
      <c r="H221" s="11"/>
      <c r="I221" s="11"/>
      <c r="J221" s="12"/>
      <c r="K221" s="10"/>
      <c r="L221" s="11"/>
      <c r="M221" s="11"/>
      <c r="N221" s="10"/>
      <c r="O221" s="10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0">
        <v>44278.0</v>
      </c>
      <c r="B222" s="13">
        <v>1190.0</v>
      </c>
      <c r="C222" s="11" t="s">
        <v>44</v>
      </c>
      <c r="D222" s="11" t="s">
        <v>292</v>
      </c>
      <c r="E222" s="11">
        <v>1.0</v>
      </c>
      <c r="F222" s="12">
        <v>1315.21</v>
      </c>
      <c r="G222" s="11" t="s">
        <v>167</v>
      </c>
      <c r="H222" s="11"/>
      <c r="I222" s="11"/>
      <c r="J222" s="12"/>
      <c r="K222" s="10"/>
      <c r="L222" s="11"/>
      <c r="M222" s="11"/>
      <c r="N222" s="10"/>
      <c r="O222" s="10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0">
        <v>44278.0</v>
      </c>
      <c r="B223" s="15">
        <v>1190.0</v>
      </c>
      <c r="C223" s="11" t="s">
        <v>44</v>
      </c>
      <c r="D223" s="11" t="s">
        <v>293</v>
      </c>
      <c r="E223" s="11">
        <v>1.0</v>
      </c>
      <c r="F223" s="12" t="s">
        <v>294</v>
      </c>
      <c r="G223" s="11" t="s">
        <v>167</v>
      </c>
      <c r="H223" s="11"/>
      <c r="I223" s="11"/>
      <c r="J223" s="12"/>
      <c r="K223" s="10"/>
      <c r="L223" s="11"/>
      <c r="M223" s="11"/>
      <c r="N223" s="10"/>
      <c r="O223" s="10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0">
        <v>44278.0</v>
      </c>
      <c r="B224" s="17">
        <v>1190.0</v>
      </c>
      <c r="C224" s="11" t="s">
        <v>44</v>
      </c>
      <c r="D224" s="11" t="s">
        <v>295</v>
      </c>
      <c r="E224" s="11">
        <v>1.0</v>
      </c>
      <c r="F224" s="12">
        <v>1302.22</v>
      </c>
      <c r="G224" s="11" t="s">
        <v>167</v>
      </c>
      <c r="H224" s="11"/>
      <c r="I224" s="11"/>
      <c r="J224" s="12"/>
      <c r="K224" s="10"/>
      <c r="L224" s="11"/>
      <c r="M224" s="11"/>
      <c r="N224" s="10"/>
      <c r="O224" s="10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0">
        <v>44278.0</v>
      </c>
      <c r="B225" s="22">
        <v>1192.0</v>
      </c>
      <c r="C225" s="11" t="s">
        <v>19</v>
      </c>
      <c r="D225" s="11" t="s">
        <v>296</v>
      </c>
      <c r="E225" s="11">
        <v>1.0</v>
      </c>
      <c r="F225" s="12" t="s">
        <v>297</v>
      </c>
      <c r="G225" s="14" t="s">
        <v>21</v>
      </c>
      <c r="H225" s="11"/>
      <c r="I225" s="11"/>
      <c r="J225" s="12">
        <v>7876.59</v>
      </c>
      <c r="K225" s="10">
        <v>44440.0</v>
      </c>
      <c r="L225" s="11">
        <v>1576.0</v>
      </c>
      <c r="M225" s="11"/>
      <c r="N225" s="10"/>
      <c r="O225" s="10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0">
        <v>44278.0</v>
      </c>
      <c r="B226" s="17">
        <v>1192.0</v>
      </c>
      <c r="C226" s="11" t="s">
        <v>19</v>
      </c>
      <c r="D226" s="11" t="s">
        <v>296</v>
      </c>
      <c r="E226" s="11">
        <v>1.0</v>
      </c>
      <c r="F226" s="12"/>
      <c r="G226" s="14" t="s">
        <v>21</v>
      </c>
      <c r="H226" s="11"/>
      <c r="I226" s="11"/>
      <c r="J226" s="12">
        <v>7876.59</v>
      </c>
      <c r="K226" s="10">
        <v>44510.0</v>
      </c>
      <c r="L226" s="11">
        <v>1613.0</v>
      </c>
      <c r="M226" s="11"/>
      <c r="N226" s="10"/>
      <c r="O226" s="10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">
        <v>44278.0</v>
      </c>
      <c r="B227" s="24">
        <v>1193.0</v>
      </c>
      <c r="C227" s="11" t="s">
        <v>145</v>
      </c>
      <c r="D227" s="11" t="s">
        <v>298</v>
      </c>
      <c r="E227" s="11">
        <v>1.0</v>
      </c>
      <c r="F227" s="12">
        <v>169.72</v>
      </c>
      <c r="G227" s="11" t="s">
        <v>167</v>
      </c>
      <c r="H227" s="11"/>
      <c r="I227" s="11"/>
      <c r="J227" s="12"/>
      <c r="K227" s="10"/>
      <c r="L227" s="11"/>
      <c r="M227" s="11"/>
      <c r="N227" s="10"/>
      <c r="O227" s="10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0">
        <v>44278.0</v>
      </c>
      <c r="B228" s="24">
        <v>1193.0</v>
      </c>
      <c r="C228" s="11" t="s">
        <v>145</v>
      </c>
      <c r="D228" s="11" t="s">
        <v>299</v>
      </c>
      <c r="E228" s="11">
        <v>1.0</v>
      </c>
      <c r="F228" s="12">
        <v>41.41</v>
      </c>
      <c r="G228" s="11" t="s">
        <v>167</v>
      </c>
      <c r="H228" s="11"/>
      <c r="I228" s="11"/>
      <c r="J228" s="12"/>
      <c r="K228" s="10"/>
      <c r="L228" s="11"/>
      <c r="M228" s="11"/>
      <c r="N228" s="10"/>
      <c r="O228" s="10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0">
        <v>44278.0</v>
      </c>
      <c r="B229" s="25">
        <v>1191.0</v>
      </c>
      <c r="C229" s="11" t="s">
        <v>44</v>
      </c>
      <c r="D229" s="11" t="s">
        <v>261</v>
      </c>
      <c r="E229" s="11">
        <v>8.0</v>
      </c>
      <c r="F229" s="12" t="s">
        <v>300</v>
      </c>
      <c r="G229" s="11" t="s">
        <v>167</v>
      </c>
      <c r="H229" s="11"/>
      <c r="I229" s="11"/>
      <c r="J229" s="12"/>
      <c r="K229" s="10"/>
      <c r="L229" s="11"/>
      <c r="M229" s="11"/>
      <c r="N229" s="10"/>
      <c r="O229" s="10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0">
        <v>44280.0</v>
      </c>
      <c r="B230" s="24">
        <v>1199.0</v>
      </c>
      <c r="C230" s="11" t="s">
        <v>301</v>
      </c>
      <c r="D230" s="11" t="s">
        <v>264</v>
      </c>
      <c r="E230" s="11">
        <v>1.0</v>
      </c>
      <c r="F230" s="12">
        <v>2846.22</v>
      </c>
      <c r="G230" s="11" t="s">
        <v>167</v>
      </c>
      <c r="H230" s="11"/>
      <c r="I230" s="11"/>
      <c r="J230" s="12"/>
      <c r="K230" s="10"/>
      <c r="L230" s="11"/>
      <c r="M230" s="11"/>
      <c r="N230" s="10"/>
      <c r="O230" s="10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0">
        <v>44280.0</v>
      </c>
      <c r="B231" s="23">
        <v>1199.0</v>
      </c>
      <c r="C231" s="11" t="s">
        <v>301</v>
      </c>
      <c r="D231" s="11" t="s">
        <v>302</v>
      </c>
      <c r="E231" s="11">
        <v>6.0</v>
      </c>
      <c r="F231" s="12">
        <v>910.86</v>
      </c>
      <c r="G231" s="11" t="s">
        <v>167</v>
      </c>
      <c r="H231" s="11"/>
      <c r="I231" s="11"/>
      <c r="J231" s="12"/>
      <c r="K231" s="10"/>
      <c r="L231" s="11"/>
      <c r="M231" s="11"/>
      <c r="N231" s="10"/>
      <c r="O231" s="10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0">
        <v>44281.0</v>
      </c>
      <c r="B232" s="24">
        <v>1150.0</v>
      </c>
      <c r="C232" s="11" t="s">
        <v>303</v>
      </c>
      <c r="D232" s="11" t="s">
        <v>304</v>
      </c>
      <c r="E232" s="11"/>
      <c r="F232" s="12"/>
      <c r="G232" s="11" t="s">
        <v>167</v>
      </c>
      <c r="H232" s="11"/>
      <c r="I232" s="11"/>
      <c r="J232" s="12"/>
      <c r="K232" s="10"/>
      <c r="L232" s="11"/>
      <c r="M232" s="11"/>
      <c r="N232" s="10"/>
      <c r="O232" s="10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0">
        <v>44282.0</v>
      </c>
      <c r="B233" s="25">
        <v>1204.0</v>
      </c>
      <c r="C233" s="11" t="s">
        <v>19</v>
      </c>
      <c r="D233" s="11" t="s">
        <v>305</v>
      </c>
      <c r="E233" s="11"/>
      <c r="F233" s="12"/>
      <c r="G233" s="11" t="s">
        <v>167</v>
      </c>
      <c r="H233" s="11"/>
      <c r="I233" s="11"/>
      <c r="J233" s="12"/>
      <c r="K233" s="10"/>
      <c r="L233" s="11"/>
      <c r="M233" s="11"/>
      <c r="N233" s="10"/>
      <c r="O233" s="10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0">
        <v>44284.0</v>
      </c>
      <c r="B234" s="24">
        <v>1200.0</v>
      </c>
      <c r="C234" s="11" t="s">
        <v>188</v>
      </c>
      <c r="D234" s="11" t="s">
        <v>233</v>
      </c>
      <c r="E234" s="11">
        <v>2.0</v>
      </c>
      <c r="F234" s="12">
        <v>3363.84</v>
      </c>
      <c r="G234" s="11" t="s">
        <v>167</v>
      </c>
      <c r="H234" s="11"/>
      <c r="I234" s="11"/>
      <c r="J234" s="12"/>
      <c r="K234" s="10"/>
      <c r="L234" s="11"/>
      <c r="M234" s="11"/>
      <c r="N234" s="10"/>
      <c r="O234" s="10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0">
        <v>44284.0</v>
      </c>
      <c r="B235" s="24">
        <v>1200.0</v>
      </c>
      <c r="C235" s="11" t="s">
        <v>188</v>
      </c>
      <c r="D235" s="11" t="s">
        <v>233</v>
      </c>
      <c r="E235" s="11">
        <v>4.0</v>
      </c>
      <c r="F235" s="12" t="s">
        <v>306</v>
      </c>
      <c r="G235" s="11" t="s">
        <v>167</v>
      </c>
      <c r="H235" s="11"/>
      <c r="I235" s="11"/>
      <c r="J235" s="12"/>
      <c r="K235" s="10"/>
      <c r="L235" s="11"/>
      <c r="M235" s="11"/>
      <c r="N235" s="10"/>
      <c r="O235" s="10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0">
        <v>44284.0</v>
      </c>
      <c r="B236" s="25">
        <v>1203.0</v>
      </c>
      <c r="C236" s="11" t="s">
        <v>44</v>
      </c>
      <c r="D236" s="11" t="s">
        <v>307</v>
      </c>
      <c r="E236" s="11">
        <v>1.0</v>
      </c>
      <c r="F236" s="12">
        <v>6523.12</v>
      </c>
      <c r="G236" s="14" t="s">
        <v>21</v>
      </c>
      <c r="H236" s="11"/>
      <c r="I236" s="11"/>
      <c r="J236" s="12">
        <v>6523.12</v>
      </c>
      <c r="K236" s="10">
        <v>44336.0</v>
      </c>
      <c r="L236" s="11">
        <v>1521.0</v>
      </c>
      <c r="M236" s="11"/>
      <c r="N236" s="10"/>
      <c r="O236" s="10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0">
        <v>44284.0</v>
      </c>
      <c r="B237" s="24">
        <v>1202.0</v>
      </c>
      <c r="C237" s="11" t="s">
        <v>44</v>
      </c>
      <c r="D237" s="11" t="s">
        <v>308</v>
      </c>
      <c r="E237" s="11">
        <v>1.0</v>
      </c>
      <c r="F237" s="12">
        <v>2858.21</v>
      </c>
      <c r="G237" s="14" t="s">
        <v>21</v>
      </c>
      <c r="H237" s="11"/>
      <c r="I237" s="11"/>
      <c r="J237" s="12">
        <v>2858.21</v>
      </c>
      <c r="K237" s="10">
        <v>44336.0</v>
      </c>
      <c r="L237" s="11">
        <v>1520.0</v>
      </c>
      <c r="M237" s="11"/>
      <c r="N237" s="10"/>
      <c r="O237" s="10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0">
        <v>44285.0</v>
      </c>
      <c r="B238" s="25">
        <v>1205.0</v>
      </c>
      <c r="C238" s="11" t="s">
        <v>53</v>
      </c>
      <c r="D238" s="11" t="s">
        <v>309</v>
      </c>
      <c r="E238" s="11">
        <v>5.0</v>
      </c>
      <c r="F238" s="12">
        <v>7285.0</v>
      </c>
      <c r="G238" s="14" t="s">
        <v>180</v>
      </c>
      <c r="H238" s="11"/>
      <c r="I238" s="11"/>
      <c r="J238" s="12">
        <v>7285.0</v>
      </c>
      <c r="K238" s="10">
        <v>44305.0</v>
      </c>
      <c r="L238" s="11">
        <v>1501.0</v>
      </c>
      <c r="M238" s="11"/>
      <c r="N238" s="10"/>
      <c r="O238" s="10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0">
        <v>44285.0</v>
      </c>
      <c r="B239" s="24">
        <v>1206.0</v>
      </c>
      <c r="C239" s="11" t="s">
        <v>44</v>
      </c>
      <c r="D239" s="11" t="s">
        <v>310</v>
      </c>
      <c r="E239" s="11">
        <v>2.0</v>
      </c>
      <c r="F239" s="12" t="s">
        <v>311</v>
      </c>
      <c r="G239" s="14" t="s">
        <v>21</v>
      </c>
      <c r="H239" s="11"/>
      <c r="I239" s="11"/>
      <c r="J239" s="12">
        <v>90028.49</v>
      </c>
      <c r="K239" s="10">
        <v>44440.0</v>
      </c>
      <c r="L239" s="11">
        <v>1574.0</v>
      </c>
      <c r="M239" s="11"/>
      <c r="N239" s="10"/>
      <c r="O239" s="10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0">
        <v>44282.0</v>
      </c>
      <c r="B240" s="16">
        <v>1204.0</v>
      </c>
      <c r="C240" s="11" t="s">
        <v>19</v>
      </c>
      <c r="D240" s="11" t="s">
        <v>305</v>
      </c>
      <c r="E240" s="11">
        <v>5.0</v>
      </c>
      <c r="F240" s="12">
        <v>984.93</v>
      </c>
      <c r="G240" s="14" t="s">
        <v>180</v>
      </c>
      <c r="H240" s="11"/>
      <c r="I240" s="11"/>
      <c r="J240" s="12">
        <v>984.93</v>
      </c>
      <c r="K240" s="10">
        <v>44342.0</v>
      </c>
      <c r="L240" s="11">
        <v>1523.0</v>
      </c>
      <c r="M240" s="11"/>
      <c r="N240" s="10"/>
      <c r="O240" s="10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0">
        <v>44285.0</v>
      </c>
      <c r="B241" s="15">
        <v>1205.0</v>
      </c>
      <c r="C241" s="11" t="s">
        <v>53</v>
      </c>
      <c r="D241" s="11" t="s">
        <v>312</v>
      </c>
      <c r="E241" s="11"/>
      <c r="F241" s="12"/>
      <c r="G241" s="11" t="s">
        <v>167</v>
      </c>
      <c r="H241" s="11"/>
      <c r="I241" s="11"/>
      <c r="J241" s="12"/>
      <c r="K241" s="10"/>
      <c r="L241" s="11"/>
      <c r="M241" s="11"/>
      <c r="N241" s="10"/>
      <c r="O241" s="10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0">
        <v>44286.0</v>
      </c>
      <c r="B242" s="13">
        <v>1208.0</v>
      </c>
      <c r="C242" s="11" t="s">
        <v>313</v>
      </c>
      <c r="D242" s="11" t="s">
        <v>314</v>
      </c>
      <c r="E242" s="11">
        <v>10.0</v>
      </c>
      <c r="F242" s="12">
        <v>2029.0</v>
      </c>
      <c r="G242" s="11" t="s">
        <v>167</v>
      </c>
      <c r="H242" s="11"/>
      <c r="I242" s="11"/>
      <c r="J242" s="12"/>
      <c r="K242" s="10"/>
      <c r="L242" s="11"/>
      <c r="M242" s="11"/>
      <c r="N242" s="10"/>
      <c r="O242" s="10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0">
        <v>44286.0</v>
      </c>
      <c r="B243" s="15">
        <v>1208.0</v>
      </c>
      <c r="C243" s="11" t="s">
        <v>313</v>
      </c>
      <c r="D243" s="11" t="s">
        <v>315</v>
      </c>
      <c r="E243" s="11">
        <v>2.0</v>
      </c>
      <c r="F243" s="12">
        <v>3608.26</v>
      </c>
      <c r="G243" s="11" t="s">
        <v>167</v>
      </c>
      <c r="H243" s="11"/>
      <c r="I243" s="11"/>
      <c r="J243" s="12"/>
      <c r="K243" s="10"/>
      <c r="L243" s="11"/>
      <c r="M243" s="11"/>
      <c r="N243" s="10"/>
      <c r="O243" s="10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0">
        <v>44286.0</v>
      </c>
      <c r="B244" s="17">
        <v>1208.0</v>
      </c>
      <c r="C244" s="11" t="s">
        <v>313</v>
      </c>
      <c r="D244" s="11" t="s">
        <v>316</v>
      </c>
      <c r="E244" s="11">
        <v>1.0</v>
      </c>
      <c r="F244" s="12">
        <v>5261.16</v>
      </c>
      <c r="G244" s="11" t="s">
        <v>167</v>
      </c>
      <c r="H244" s="11"/>
      <c r="I244" s="11"/>
      <c r="J244" s="12"/>
      <c r="K244" s="10"/>
      <c r="L244" s="11"/>
      <c r="M244" s="11"/>
      <c r="N244" s="10"/>
      <c r="O244" s="10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8"/>
      <c r="B245" s="19"/>
      <c r="C245" s="19"/>
      <c r="D245" s="19"/>
      <c r="E245" s="19"/>
      <c r="F245" s="20"/>
      <c r="G245" s="19"/>
      <c r="H245" s="19"/>
      <c r="I245" s="19"/>
      <c r="J245" s="20"/>
      <c r="K245" s="18"/>
      <c r="L245" s="19"/>
      <c r="M245" s="19"/>
      <c r="N245" s="18"/>
      <c r="O245" s="18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0">
        <v>44287.0</v>
      </c>
      <c r="B246" s="16">
        <v>1214.0</v>
      </c>
      <c r="C246" s="11" t="s">
        <v>317</v>
      </c>
      <c r="D246" s="11" t="s">
        <v>318</v>
      </c>
      <c r="E246" s="11">
        <v>1.0</v>
      </c>
      <c r="F246" s="12">
        <v>327.51</v>
      </c>
      <c r="G246" s="11" t="s">
        <v>167</v>
      </c>
      <c r="H246" s="11"/>
      <c r="I246" s="11"/>
      <c r="J246" s="12"/>
      <c r="K246" s="10"/>
      <c r="L246" s="11"/>
      <c r="M246" s="11"/>
      <c r="N246" s="10"/>
      <c r="O246" s="10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0">
        <v>44292.0</v>
      </c>
      <c r="B247" s="17">
        <v>1217.0</v>
      </c>
      <c r="C247" s="11" t="s">
        <v>19</v>
      </c>
      <c r="D247" s="11" t="s">
        <v>319</v>
      </c>
      <c r="E247" s="11">
        <v>70.0</v>
      </c>
      <c r="F247" s="12">
        <v>1396.5</v>
      </c>
      <c r="G247" s="14" t="s">
        <v>180</v>
      </c>
      <c r="H247" s="11"/>
      <c r="I247" s="11"/>
      <c r="J247" s="12">
        <v>1396.5</v>
      </c>
      <c r="K247" s="10">
        <v>44328.0</v>
      </c>
      <c r="L247" s="11">
        <v>1517.0</v>
      </c>
      <c r="M247" s="11"/>
      <c r="N247" s="10"/>
      <c r="O247" s="10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0">
        <v>44292.0</v>
      </c>
      <c r="B248" s="11"/>
      <c r="C248" s="11" t="s">
        <v>320</v>
      </c>
      <c r="D248" s="11" t="s">
        <v>321</v>
      </c>
      <c r="E248" s="11"/>
      <c r="F248" s="12"/>
      <c r="G248" s="11" t="s">
        <v>241</v>
      </c>
      <c r="H248" s="11"/>
      <c r="I248" s="11"/>
      <c r="J248" s="12"/>
      <c r="K248" s="10"/>
      <c r="L248" s="11"/>
      <c r="M248" s="11"/>
      <c r="N248" s="10"/>
      <c r="O248" s="10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0">
        <v>44293.0</v>
      </c>
      <c r="B249" s="11"/>
      <c r="C249" s="11" t="s">
        <v>322</v>
      </c>
      <c r="D249" s="11" t="s">
        <v>323</v>
      </c>
      <c r="E249" s="11"/>
      <c r="F249" s="12"/>
      <c r="G249" s="11" t="s">
        <v>241</v>
      </c>
      <c r="H249" s="11"/>
      <c r="I249" s="11"/>
      <c r="J249" s="12"/>
      <c r="K249" s="10"/>
      <c r="L249" s="11"/>
      <c r="M249" s="11"/>
      <c r="N249" s="10"/>
      <c r="O249" s="10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0">
        <v>44293.0</v>
      </c>
      <c r="B250" s="16">
        <v>1220.0</v>
      </c>
      <c r="C250" s="11" t="s">
        <v>77</v>
      </c>
      <c r="D250" s="11" t="s">
        <v>324</v>
      </c>
      <c r="E250" s="11">
        <v>23.0</v>
      </c>
      <c r="F250" s="12" t="s">
        <v>325</v>
      </c>
      <c r="G250" s="11" t="s">
        <v>167</v>
      </c>
      <c r="H250" s="11"/>
      <c r="I250" s="11"/>
      <c r="J250" s="12"/>
      <c r="K250" s="10"/>
      <c r="L250" s="11"/>
      <c r="M250" s="11"/>
      <c r="N250" s="10"/>
      <c r="O250" s="10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0">
        <v>44293.0</v>
      </c>
      <c r="B251" s="11"/>
      <c r="C251" s="11" t="s">
        <v>326</v>
      </c>
      <c r="D251" s="11" t="s">
        <v>327</v>
      </c>
      <c r="E251" s="11"/>
      <c r="F251" s="12"/>
      <c r="G251" s="11" t="s">
        <v>241</v>
      </c>
      <c r="H251" s="11"/>
      <c r="I251" s="11"/>
      <c r="J251" s="12"/>
      <c r="K251" s="10"/>
      <c r="L251" s="11"/>
      <c r="M251" s="11"/>
      <c r="N251" s="10"/>
      <c r="O251" s="10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0">
        <v>44294.0</v>
      </c>
      <c r="B252" s="16">
        <v>1222.0</v>
      </c>
      <c r="C252" s="11" t="s">
        <v>46</v>
      </c>
      <c r="D252" s="11" t="s">
        <v>328</v>
      </c>
      <c r="E252" s="11">
        <v>1.0</v>
      </c>
      <c r="F252" s="12">
        <v>4418.26</v>
      </c>
      <c r="G252" s="11" t="s">
        <v>167</v>
      </c>
      <c r="H252" s="11"/>
      <c r="I252" s="11"/>
      <c r="J252" s="12"/>
      <c r="K252" s="10"/>
      <c r="L252" s="11"/>
      <c r="M252" s="11"/>
      <c r="N252" s="10"/>
      <c r="O252" s="10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0">
        <v>44294.0</v>
      </c>
      <c r="B253" s="17">
        <v>1236.0</v>
      </c>
      <c r="C253" s="11" t="s">
        <v>329</v>
      </c>
      <c r="D253" s="11" t="s">
        <v>330</v>
      </c>
      <c r="E253" s="11">
        <v>1.0</v>
      </c>
      <c r="F253" s="12">
        <v>2923.15</v>
      </c>
      <c r="G253" s="11" t="s">
        <v>167</v>
      </c>
      <c r="H253" s="11"/>
      <c r="I253" s="11"/>
      <c r="J253" s="12"/>
      <c r="K253" s="10"/>
      <c r="L253" s="11"/>
      <c r="M253" s="11"/>
      <c r="N253" s="10"/>
      <c r="O253" s="10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0">
        <v>44295.0</v>
      </c>
      <c r="B254" s="11"/>
      <c r="C254" s="11" t="s">
        <v>331</v>
      </c>
      <c r="D254" s="11" t="s">
        <v>332</v>
      </c>
      <c r="E254" s="11"/>
      <c r="F254" s="12"/>
      <c r="G254" s="11" t="s">
        <v>241</v>
      </c>
      <c r="H254" s="11"/>
      <c r="I254" s="11"/>
      <c r="J254" s="12"/>
      <c r="K254" s="10"/>
      <c r="L254" s="11"/>
      <c r="M254" s="11"/>
      <c r="N254" s="10"/>
      <c r="O254" s="10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0">
        <v>44295.0</v>
      </c>
      <c r="B255" s="13">
        <v>1223.0</v>
      </c>
      <c r="C255" s="11" t="s">
        <v>333</v>
      </c>
      <c r="D255" s="11" t="s">
        <v>334</v>
      </c>
      <c r="E255" s="11">
        <v>2.0</v>
      </c>
      <c r="F255" s="12">
        <v>1053.34</v>
      </c>
      <c r="G255" s="11" t="s">
        <v>167</v>
      </c>
      <c r="H255" s="11"/>
      <c r="I255" s="11"/>
      <c r="J255" s="12"/>
      <c r="K255" s="10"/>
      <c r="L255" s="11"/>
      <c r="M255" s="11"/>
      <c r="N255" s="10"/>
      <c r="O255" s="10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0">
        <v>44295.0</v>
      </c>
      <c r="B256" s="15">
        <v>1223.0</v>
      </c>
      <c r="C256" s="11" t="s">
        <v>333</v>
      </c>
      <c r="D256" s="11" t="s">
        <v>335</v>
      </c>
      <c r="E256" s="11">
        <v>1.0</v>
      </c>
      <c r="F256" s="12">
        <v>1723.16</v>
      </c>
      <c r="G256" s="11" t="s">
        <v>167</v>
      </c>
      <c r="H256" s="11"/>
      <c r="I256" s="11"/>
      <c r="J256" s="12"/>
      <c r="K256" s="10"/>
      <c r="L256" s="11"/>
      <c r="M256" s="11"/>
      <c r="N256" s="10"/>
      <c r="O256" s="10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0">
        <v>44295.0</v>
      </c>
      <c r="B257" s="15">
        <v>1223.0</v>
      </c>
      <c r="C257" s="11" t="s">
        <v>333</v>
      </c>
      <c r="D257" s="11" t="s">
        <v>336</v>
      </c>
      <c r="E257" s="11">
        <v>1.0</v>
      </c>
      <c r="F257" s="12">
        <v>819.14</v>
      </c>
      <c r="G257" s="11" t="s">
        <v>167</v>
      </c>
      <c r="H257" s="11"/>
      <c r="I257" s="11"/>
      <c r="J257" s="12"/>
      <c r="K257" s="10"/>
      <c r="L257" s="11"/>
      <c r="M257" s="11"/>
      <c r="N257" s="10"/>
      <c r="O257" s="10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0">
        <v>44295.0</v>
      </c>
      <c r="B258" s="17">
        <v>1223.0</v>
      </c>
      <c r="C258" s="11" t="s">
        <v>333</v>
      </c>
      <c r="D258" s="11" t="s">
        <v>337</v>
      </c>
      <c r="E258" s="11">
        <v>1.0</v>
      </c>
      <c r="F258" s="12">
        <v>1095.18</v>
      </c>
      <c r="G258" s="11" t="s">
        <v>167</v>
      </c>
      <c r="H258" s="11"/>
      <c r="I258" s="11"/>
      <c r="J258" s="12"/>
      <c r="K258" s="10"/>
      <c r="L258" s="11"/>
      <c r="M258" s="11"/>
      <c r="N258" s="10"/>
      <c r="O258" s="10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0">
        <v>44295.0</v>
      </c>
      <c r="B259" s="11"/>
      <c r="C259" s="11" t="s">
        <v>19</v>
      </c>
      <c r="D259" s="11" t="s">
        <v>338</v>
      </c>
      <c r="E259" s="11"/>
      <c r="F259" s="12"/>
      <c r="G259" s="11" t="s">
        <v>241</v>
      </c>
      <c r="H259" s="11"/>
      <c r="I259" s="11"/>
      <c r="J259" s="12"/>
      <c r="K259" s="10"/>
      <c r="L259" s="11"/>
      <c r="M259" s="11"/>
      <c r="N259" s="10"/>
      <c r="O259" s="10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0">
        <v>44295.0</v>
      </c>
      <c r="B260" s="16">
        <v>1225.0</v>
      </c>
      <c r="C260" s="11" t="s">
        <v>339</v>
      </c>
      <c r="D260" s="11" t="s">
        <v>340</v>
      </c>
      <c r="E260" s="11">
        <v>4.0</v>
      </c>
      <c r="F260" s="12" t="s">
        <v>341</v>
      </c>
      <c r="G260" s="11" t="s">
        <v>167</v>
      </c>
      <c r="H260" s="11"/>
      <c r="I260" s="11"/>
      <c r="J260" s="12"/>
      <c r="K260" s="10"/>
      <c r="L260" s="11"/>
      <c r="M260" s="11"/>
      <c r="N260" s="10"/>
      <c r="O260" s="10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0">
        <v>44295.0</v>
      </c>
      <c r="B261" s="15">
        <v>1226.0</v>
      </c>
      <c r="C261" s="11" t="s">
        <v>342</v>
      </c>
      <c r="D261" s="11" t="s">
        <v>343</v>
      </c>
      <c r="E261" s="11">
        <v>2.0</v>
      </c>
      <c r="F261" s="12" t="s">
        <v>344</v>
      </c>
      <c r="G261" s="11" t="s">
        <v>167</v>
      </c>
      <c r="H261" s="11"/>
      <c r="I261" s="11"/>
      <c r="J261" s="12"/>
      <c r="K261" s="10"/>
      <c r="L261" s="11"/>
      <c r="M261" s="11"/>
      <c r="N261" s="10"/>
      <c r="O261" s="10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0">
        <v>44295.0</v>
      </c>
      <c r="B262" s="17">
        <v>1226.0</v>
      </c>
      <c r="C262" s="11" t="s">
        <v>342</v>
      </c>
      <c r="D262" s="11" t="s">
        <v>345</v>
      </c>
      <c r="E262" s="11">
        <v>2.0</v>
      </c>
      <c r="F262" s="12">
        <v>1210.38</v>
      </c>
      <c r="G262" s="11" t="s">
        <v>167</v>
      </c>
      <c r="H262" s="11"/>
      <c r="I262" s="11"/>
      <c r="J262" s="12"/>
      <c r="K262" s="10"/>
      <c r="L262" s="11"/>
      <c r="M262" s="11"/>
      <c r="N262" s="10"/>
      <c r="O262" s="10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0">
        <v>44298.0</v>
      </c>
      <c r="B263" s="11"/>
      <c r="C263" s="11" t="s">
        <v>329</v>
      </c>
      <c r="D263" s="11" t="s">
        <v>346</v>
      </c>
      <c r="E263" s="11"/>
      <c r="F263" s="12"/>
      <c r="G263" s="11" t="s">
        <v>241</v>
      </c>
      <c r="H263" s="11"/>
      <c r="I263" s="11"/>
      <c r="J263" s="12"/>
      <c r="K263" s="10"/>
      <c r="L263" s="11"/>
      <c r="M263" s="11"/>
      <c r="N263" s="10"/>
      <c r="O263" s="10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0">
        <v>44299.0</v>
      </c>
      <c r="B264" s="11"/>
      <c r="C264" s="11" t="s">
        <v>347</v>
      </c>
      <c r="D264" s="11" t="s">
        <v>348</v>
      </c>
      <c r="E264" s="11"/>
      <c r="F264" s="12"/>
      <c r="G264" s="11" t="s">
        <v>241</v>
      </c>
      <c r="H264" s="11"/>
      <c r="I264" s="11"/>
      <c r="J264" s="12"/>
      <c r="K264" s="10"/>
      <c r="L264" s="11"/>
      <c r="M264" s="11"/>
      <c r="N264" s="10"/>
      <c r="O264" s="10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0">
        <v>44300.0</v>
      </c>
      <c r="B265" s="11"/>
      <c r="C265" s="11" t="s">
        <v>349</v>
      </c>
      <c r="D265" s="11" t="s">
        <v>350</v>
      </c>
      <c r="E265" s="11"/>
      <c r="F265" s="12"/>
      <c r="G265" s="11" t="s">
        <v>241</v>
      </c>
      <c r="H265" s="11"/>
      <c r="I265" s="11"/>
      <c r="J265" s="12"/>
      <c r="K265" s="10"/>
      <c r="L265" s="11"/>
      <c r="M265" s="11"/>
      <c r="N265" s="10"/>
      <c r="O265" s="10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0">
        <v>44301.0</v>
      </c>
      <c r="B266" s="11"/>
      <c r="C266" s="11" t="s">
        <v>351</v>
      </c>
      <c r="D266" s="11" t="s">
        <v>352</v>
      </c>
      <c r="E266" s="11"/>
      <c r="F266" s="12"/>
      <c r="G266" s="11" t="s">
        <v>241</v>
      </c>
      <c r="H266" s="11"/>
      <c r="I266" s="11"/>
      <c r="J266" s="12"/>
      <c r="K266" s="10"/>
      <c r="L266" s="11"/>
      <c r="M266" s="11"/>
      <c r="N266" s="10"/>
      <c r="O266" s="10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0">
        <v>44305.0</v>
      </c>
      <c r="B267" s="13">
        <v>1229.0</v>
      </c>
      <c r="C267" s="11" t="s">
        <v>44</v>
      </c>
      <c r="D267" s="11" t="s">
        <v>88</v>
      </c>
      <c r="E267" s="11">
        <v>1.0</v>
      </c>
      <c r="F267" s="12" t="s">
        <v>353</v>
      </c>
      <c r="G267" s="11" t="s">
        <v>167</v>
      </c>
      <c r="H267" s="11"/>
      <c r="I267" s="11"/>
      <c r="J267" s="12"/>
      <c r="K267" s="10"/>
      <c r="L267" s="11"/>
      <c r="M267" s="11"/>
      <c r="N267" s="10"/>
      <c r="O267" s="10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0">
        <v>44308.0</v>
      </c>
      <c r="B268" s="16">
        <v>1233.0</v>
      </c>
      <c r="C268" s="11" t="s">
        <v>53</v>
      </c>
      <c r="D268" s="11" t="s">
        <v>354</v>
      </c>
      <c r="E268" s="11">
        <v>24.0</v>
      </c>
      <c r="F268" s="12" t="s">
        <v>355</v>
      </c>
      <c r="G268" s="11" t="s">
        <v>167</v>
      </c>
      <c r="H268" s="11"/>
      <c r="I268" s="11"/>
      <c r="J268" s="12"/>
      <c r="K268" s="10"/>
      <c r="L268" s="11"/>
      <c r="M268" s="11"/>
      <c r="N268" s="10"/>
      <c r="O268" s="10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0">
        <v>44308.0</v>
      </c>
      <c r="B269" s="15">
        <v>1249.0</v>
      </c>
      <c r="C269" s="11" t="s">
        <v>53</v>
      </c>
      <c r="D269" s="11" t="s">
        <v>356</v>
      </c>
      <c r="E269" s="11">
        <v>24.0</v>
      </c>
      <c r="F269" s="12" t="s">
        <v>357</v>
      </c>
      <c r="G269" s="11" t="s">
        <v>167</v>
      </c>
      <c r="H269" s="11"/>
      <c r="I269" s="11"/>
      <c r="J269" s="12"/>
      <c r="K269" s="10"/>
      <c r="L269" s="11"/>
      <c r="M269" s="11"/>
      <c r="N269" s="10"/>
      <c r="O269" s="10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0">
        <v>44309.0</v>
      </c>
      <c r="B270" s="16">
        <v>1238.0</v>
      </c>
      <c r="C270" s="11" t="s">
        <v>358</v>
      </c>
      <c r="D270" s="11" t="s">
        <v>359</v>
      </c>
      <c r="E270" s="11">
        <v>2.0</v>
      </c>
      <c r="F270" s="12">
        <v>7242.42</v>
      </c>
      <c r="G270" s="11" t="s">
        <v>167</v>
      </c>
      <c r="H270" s="11"/>
      <c r="I270" s="11"/>
      <c r="J270" s="12"/>
      <c r="K270" s="10"/>
      <c r="L270" s="11"/>
      <c r="M270" s="11"/>
      <c r="N270" s="10"/>
      <c r="O270" s="10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0">
        <v>44312.0</v>
      </c>
      <c r="B271" s="15">
        <v>1236.0</v>
      </c>
      <c r="C271" s="11" t="s">
        <v>329</v>
      </c>
      <c r="D271" s="11" t="s">
        <v>360</v>
      </c>
      <c r="E271" s="11">
        <v>1.0</v>
      </c>
      <c r="F271" s="12">
        <v>2923.15</v>
      </c>
      <c r="G271" s="11" t="s">
        <v>27</v>
      </c>
      <c r="H271" s="11"/>
      <c r="I271" s="11"/>
      <c r="J271" s="12"/>
      <c r="K271" s="10"/>
      <c r="L271" s="11"/>
      <c r="M271" s="11"/>
      <c r="N271" s="10"/>
      <c r="O271" s="10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0">
        <v>44313.0</v>
      </c>
      <c r="B272" s="16">
        <v>1239.0</v>
      </c>
      <c r="C272" s="11" t="s">
        <v>44</v>
      </c>
      <c r="D272" s="11" t="s">
        <v>361</v>
      </c>
      <c r="E272" s="11">
        <v>12.0</v>
      </c>
      <c r="F272" s="12" t="s">
        <v>362</v>
      </c>
      <c r="G272" s="14" t="s">
        <v>180</v>
      </c>
      <c r="H272" s="11"/>
      <c r="I272" s="11"/>
      <c r="J272" s="12">
        <v>10061.64</v>
      </c>
      <c r="K272" s="10">
        <v>44452.0</v>
      </c>
      <c r="L272" s="11">
        <v>1580.0</v>
      </c>
      <c r="M272" s="11"/>
      <c r="N272" s="10"/>
      <c r="O272" s="10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0">
        <v>44313.0</v>
      </c>
      <c r="B273" s="15">
        <v>1240.0</v>
      </c>
      <c r="C273" s="11" t="s">
        <v>159</v>
      </c>
      <c r="D273" s="11" t="s">
        <v>363</v>
      </c>
      <c r="E273" s="11">
        <v>12.0</v>
      </c>
      <c r="F273" s="12" t="s">
        <v>362</v>
      </c>
      <c r="G273" s="11" t="s">
        <v>167</v>
      </c>
      <c r="H273" s="11"/>
      <c r="I273" s="11"/>
      <c r="J273" s="12"/>
      <c r="K273" s="10"/>
      <c r="L273" s="11"/>
      <c r="M273" s="11"/>
      <c r="N273" s="10"/>
      <c r="O273" s="10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0">
        <v>44313.0</v>
      </c>
      <c r="B274" s="16">
        <v>1244.0</v>
      </c>
      <c r="C274" s="11" t="s">
        <v>188</v>
      </c>
      <c r="D274" s="11" t="s">
        <v>364</v>
      </c>
      <c r="E274" s="11">
        <v>1.0</v>
      </c>
      <c r="F274" s="12">
        <v>2148.72</v>
      </c>
      <c r="G274" s="11" t="s">
        <v>167</v>
      </c>
      <c r="H274" s="11"/>
      <c r="I274" s="11"/>
      <c r="J274" s="12"/>
      <c r="K274" s="10"/>
      <c r="L274" s="11"/>
      <c r="M274" s="11"/>
      <c r="N274" s="10"/>
      <c r="O274" s="10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0">
        <v>44313.0</v>
      </c>
      <c r="B275" s="15">
        <v>1083.0</v>
      </c>
      <c r="C275" s="11" t="s">
        <v>77</v>
      </c>
      <c r="D275" s="11" t="s">
        <v>97</v>
      </c>
      <c r="E275" s="11">
        <v>1.0</v>
      </c>
      <c r="F275" s="12">
        <v>7494.66</v>
      </c>
      <c r="G275" s="14" t="s">
        <v>180</v>
      </c>
      <c r="H275" s="11"/>
      <c r="I275" s="11"/>
      <c r="J275" s="12">
        <v>7500.0</v>
      </c>
      <c r="K275" s="10">
        <v>44314.0</v>
      </c>
      <c r="L275" s="11">
        <v>1507.0</v>
      </c>
      <c r="M275" s="11"/>
      <c r="N275" s="10"/>
      <c r="O275" s="10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0"/>
      <c r="B276" s="16" t="s">
        <v>365</v>
      </c>
      <c r="C276" s="11" t="s">
        <v>44</v>
      </c>
      <c r="D276" s="11" t="s">
        <v>366</v>
      </c>
      <c r="E276" s="11">
        <v>1.0</v>
      </c>
      <c r="F276" s="12">
        <v>3600.0</v>
      </c>
      <c r="G276" s="14" t="s">
        <v>180</v>
      </c>
      <c r="H276" s="11"/>
      <c r="I276" s="11"/>
      <c r="J276" s="12">
        <v>3600.0</v>
      </c>
      <c r="K276" s="10">
        <v>44418.0</v>
      </c>
      <c r="L276" s="11">
        <v>1564.0</v>
      </c>
      <c r="M276" s="11"/>
      <c r="N276" s="10"/>
      <c r="O276" s="1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0">
        <v>44314.0</v>
      </c>
      <c r="B277" s="15">
        <v>1247.0</v>
      </c>
      <c r="C277" s="11" t="s">
        <v>44</v>
      </c>
      <c r="D277" s="11" t="s">
        <v>367</v>
      </c>
      <c r="E277" s="11">
        <v>4.0</v>
      </c>
      <c r="F277" s="12" t="s">
        <v>368</v>
      </c>
      <c r="G277" s="14" t="s">
        <v>180</v>
      </c>
      <c r="H277" s="11"/>
      <c r="I277" s="11"/>
      <c r="J277" s="12">
        <v>22038.75</v>
      </c>
      <c r="K277" s="10">
        <v>44378.0</v>
      </c>
      <c r="L277" s="11">
        <v>1539.0</v>
      </c>
      <c r="M277" s="11"/>
      <c r="N277" s="10"/>
      <c r="O277" s="1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0">
        <v>44314.0</v>
      </c>
      <c r="B278" s="16">
        <v>1245.0</v>
      </c>
      <c r="C278" s="11" t="s">
        <v>44</v>
      </c>
      <c r="D278" s="11" t="s">
        <v>369</v>
      </c>
      <c r="E278" s="11">
        <v>4.0</v>
      </c>
      <c r="F278" s="12" t="s">
        <v>368</v>
      </c>
      <c r="G278" s="14" t="s">
        <v>180</v>
      </c>
      <c r="H278" s="11"/>
      <c r="I278" s="11"/>
      <c r="J278" s="12">
        <v>13862.43</v>
      </c>
      <c r="K278" s="10">
        <v>44501.0</v>
      </c>
      <c r="L278" s="11">
        <v>1606.0</v>
      </c>
      <c r="M278" s="11"/>
      <c r="N278" s="10"/>
      <c r="O278" s="1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0">
        <v>44315.0</v>
      </c>
      <c r="B279" s="17">
        <v>1248.0</v>
      </c>
      <c r="C279" s="11" t="s">
        <v>44</v>
      </c>
      <c r="D279" s="11" t="s">
        <v>370</v>
      </c>
      <c r="E279" s="11">
        <v>1.0</v>
      </c>
      <c r="F279" s="12">
        <v>2062.31</v>
      </c>
      <c r="G279" s="14" t="s">
        <v>180</v>
      </c>
      <c r="H279" s="11"/>
      <c r="I279" s="11"/>
      <c r="J279" s="12">
        <v>2062.31</v>
      </c>
      <c r="K279" s="10">
        <v>44378.0</v>
      </c>
      <c r="L279" s="11">
        <v>1540.0</v>
      </c>
      <c r="M279" s="11"/>
      <c r="N279" s="10"/>
      <c r="O279" s="1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8"/>
      <c r="B280" s="19"/>
      <c r="C280" s="19"/>
      <c r="D280" s="19"/>
      <c r="E280" s="19"/>
      <c r="F280" s="20"/>
      <c r="G280" s="19"/>
      <c r="H280" s="19"/>
      <c r="I280" s="19"/>
      <c r="J280" s="20"/>
      <c r="K280" s="18"/>
      <c r="L280" s="19"/>
      <c r="M280" s="19"/>
      <c r="N280" s="18"/>
      <c r="O280" s="18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0">
        <v>44347.50833333333</v>
      </c>
      <c r="B281" s="11"/>
      <c r="C281" s="11" t="s">
        <v>44</v>
      </c>
      <c r="D281" s="11" t="s">
        <v>371</v>
      </c>
      <c r="E281" s="11"/>
      <c r="F281" s="12"/>
      <c r="G281" s="11" t="s">
        <v>18</v>
      </c>
      <c r="H281" s="11"/>
      <c r="I281" s="11"/>
      <c r="J281" s="12"/>
      <c r="K281" s="10"/>
      <c r="L281" s="11"/>
      <c r="M281" s="11"/>
      <c r="N281" s="10"/>
      <c r="O281" s="1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0">
        <v>44335.0</v>
      </c>
      <c r="B282" s="13">
        <v>1276.0</v>
      </c>
      <c r="C282" s="11" t="s">
        <v>372</v>
      </c>
      <c r="D282" s="11" t="s">
        <v>373</v>
      </c>
      <c r="E282" s="11">
        <v>4.0</v>
      </c>
      <c r="F282" s="12">
        <v>5133.12</v>
      </c>
      <c r="G282" s="11" t="s">
        <v>27</v>
      </c>
      <c r="H282" s="11"/>
      <c r="I282" s="11"/>
      <c r="J282" s="12"/>
      <c r="K282" s="10"/>
      <c r="L282" s="11"/>
      <c r="M282" s="11"/>
      <c r="N282" s="10"/>
      <c r="O282" s="10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0">
        <v>44336.0</v>
      </c>
      <c r="B283" s="16">
        <v>1278.0</v>
      </c>
      <c r="C283" s="11" t="s">
        <v>77</v>
      </c>
      <c r="D283" s="11" t="s">
        <v>354</v>
      </c>
      <c r="E283" s="11">
        <v>1.0</v>
      </c>
      <c r="F283" s="12">
        <v>591.52</v>
      </c>
      <c r="G283" s="11" t="s">
        <v>27</v>
      </c>
      <c r="H283" s="11"/>
      <c r="I283" s="11"/>
      <c r="J283" s="12"/>
      <c r="K283" s="10"/>
      <c r="L283" s="11"/>
      <c r="M283" s="11"/>
      <c r="N283" s="10"/>
      <c r="O283" s="10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0">
        <v>44336.0</v>
      </c>
      <c r="B284" s="15">
        <v>1279.0</v>
      </c>
      <c r="C284" s="11" t="s">
        <v>374</v>
      </c>
      <c r="D284" s="11" t="s">
        <v>375</v>
      </c>
      <c r="E284" s="11">
        <v>1.0</v>
      </c>
      <c r="F284" s="12" t="s">
        <v>376</v>
      </c>
      <c r="G284" s="11" t="s">
        <v>27</v>
      </c>
      <c r="H284" s="11"/>
      <c r="I284" s="11"/>
      <c r="J284" s="12"/>
      <c r="K284" s="10"/>
      <c r="L284" s="11"/>
      <c r="M284" s="11"/>
      <c r="N284" s="10"/>
      <c r="O284" s="10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0">
        <v>44336.0</v>
      </c>
      <c r="B285" s="16">
        <v>1280.0</v>
      </c>
      <c r="C285" s="11" t="s">
        <v>377</v>
      </c>
      <c r="D285" s="11" t="s">
        <v>378</v>
      </c>
      <c r="E285" s="11">
        <v>4.0</v>
      </c>
      <c r="F285" s="12">
        <v>1876.56</v>
      </c>
      <c r="G285" s="11" t="s">
        <v>27</v>
      </c>
      <c r="H285" s="11"/>
      <c r="I285" s="11"/>
      <c r="J285" s="12"/>
      <c r="K285" s="10"/>
      <c r="L285" s="11"/>
      <c r="M285" s="11"/>
      <c r="N285" s="10"/>
      <c r="O285" s="10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0">
        <v>44340.0</v>
      </c>
      <c r="B286" s="15">
        <v>1281.0</v>
      </c>
      <c r="C286" s="11" t="s">
        <v>75</v>
      </c>
      <c r="D286" s="11" t="s">
        <v>379</v>
      </c>
      <c r="E286" s="11">
        <v>1.0</v>
      </c>
      <c r="F286" s="12">
        <v>8.7</v>
      </c>
      <c r="G286" s="11" t="s">
        <v>27</v>
      </c>
      <c r="H286" s="11"/>
      <c r="I286" s="11"/>
      <c r="J286" s="12"/>
      <c r="K286" s="10"/>
      <c r="L286" s="11"/>
      <c r="M286" s="11"/>
      <c r="N286" s="10"/>
      <c r="O286" s="10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0">
        <v>44340.0</v>
      </c>
      <c r="B287" s="15">
        <v>1281.0</v>
      </c>
      <c r="C287" s="11" t="s">
        <v>75</v>
      </c>
      <c r="D287" s="11" t="s">
        <v>380</v>
      </c>
      <c r="E287" s="11">
        <v>1.0</v>
      </c>
      <c r="F287" s="12">
        <v>2431.79</v>
      </c>
      <c r="G287" s="11" t="s">
        <v>27</v>
      </c>
      <c r="H287" s="11"/>
      <c r="I287" s="26"/>
      <c r="J287" s="12"/>
      <c r="K287" s="10"/>
      <c r="L287" s="11"/>
      <c r="M287" s="11"/>
      <c r="N287" s="10"/>
      <c r="O287" s="10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0">
        <v>44341.0</v>
      </c>
      <c r="B288" s="16">
        <v>1282.0</v>
      </c>
      <c r="C288" s="11" t="s">
        <v>44</v>
      </c>
      <c r="D288" s="11" t="s">
        <v>381</v>
      </c>
      <c r="E288" s="11">
        <v>1.0</v>
      </c>
      <c r="F288" s="12">
        <v>20195.22</v>
      </c>
      <c r="G288" s="14" t="s">
        <v>180</v>
      </c>
      <c r="H288" s="11"/>
      <c r="I288" s="11"/>
      <c r="J288" s="12">
        <v>20195.22</v>
      </c>
      <c r="K288" s="10">
        <v>44452.0</v>
      </c>
      <c r="L288" s="11">
        <v>1579.0</v>
      </c>
      <c r="M288" s="11"/>
      <c r="N288" s="10"/>
      <c r="O288" s="10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0">
        <v>44342.0</v>
      </c>
      <c r="B289" s="16">
        <v>1283.0</v>
      </c>
      <c r="C289" s="11" t="s">
        <v>44</v>
      </c>
      <c r="D289" s="11" t="s">
        <v>88</v>
      </c>
      <c r="E289" s="11">
        <v>1.0</v>
      </c>
      <c r="F289" s="12" t="s">
        <v>163</v>
      </c>
      <c r="G289" s="14" t="s">
        <v>180</v>
      </c>
      <c r="H289" s="11"/>
      <c r="I289" s="11"/>
      <c r="J289" s="12">
        <v>16900.0</v>
      </c>
      <c r="K289" s="10">
        <v>44342.0</v>
      </c>
      <c r="L289" s="11">
        <v>1524.0</v>
      </c>
      <c r="M289" s="11"/>
      <c r="N289" s="10"/>
      <c r="O289" s="10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0">
        <v>44344.0</v>
      </c>
      <c r="B290" s="17">
        <v>1284.0</v>
      </c>
      <c r="C290" s="11" t="s">
        <v>77</v>
      </c>
      <c r="D290" s="11" t="s">
        <v>381</v>
      </c>
      <c r="E290" s="11">
        <v>1.0</v>
      </c>
      <c r="F290" s="12" t="s">
        <v>382</v>
      </c>
      <c r="G290" s="11" t="s">
        <v>27</v>
      </c>
      <c r="H290" s="11"/>
      <c r="I290" s="11"/>
      <c r="J290" s="12"/>
      <c r="K290" s="10"/>
      <c r="L290" s="11"/>
      <c r="M290" s="11"/>
      <c r="N290" s="10"/>
      <c r="O290" s="10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0">
        <v>44348.0</v>
      </c>
      <c r="B291" s="11"/>
      <c r="C291" s="11" t="s">
        <v>383</v>
      </c>
      <c r="D291" s="11" t="s">
        <v>384</v>
      </c>
      <c r="E291" s="11"/>
      <c r="F291" s="12"/>
      <c r="G291" s="11" t="s">
        <v>18</v>
      </c>
      <c r="H291" s="11"/>
      <c r="I291" s="11"/>
      <c r="J291" s="12"/>
      <c r="K291" s="10"/>
      <c r="L291" s="11"/>
      <c r="M291" s="11"/>
      <c r="N291" s="10"/>
      <c r="O291" s="10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0">
        <v>44346.0</v>
      </c>
      <c r="B292" s="11"/>
      <c r="C292" s="11" t="s">
        <v>385</v>
      </c>
      <c r="D292" s="11" t="s">
        <v>386</v>
      </c>
      <c r="E292" s="11"/>
      <c r="F292" s="12"/>
      <c r="G292" s="11" t="s">
        <v>18</v>
      </c>
      <c r="H292" s="11"/>
      <c r="I292" s="11"/>
      <c r="J292" s="12"/>
      <c r="K292" s="10"/>
      <c r="L292" s="11"/>
      <c r="M292" s="11"/>
      <c r="N292" s="10"/>
      <c r="O292" s="10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0">
        <v>44340.0</v>
      </c>
      <c r="B293" s="11"/>
      <c r="C293" s="27" t="s">
        <v>387</v>
      </c>
      <c r="D293" s="11" t="s">
        <v>388</v>
      </c>
      <c r="E293" s="11"/>
      <c r="F293" s="12"/>
      <c r="G293" s="11" t="s">
        <v>18</v>
      </c>
      <c r="H293" s="11"/>
      <c r="I293" s="11"/>
      <c r="J293" s="12"/>
      <c r="K293" s="10"/>
      <c r="L293" s="11"/>
      <c r="M293" s="11"/>
      <c r="N293" s="10"/>
      <c r="O293" s="10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0">
        <v>44336.0</v>
      </c>
      <c r="B294" s="11"/>
      <c r="C294" s="27" t="s">
        <v>389</v>
      </c>
      <c r="D294" s="27" t="s">
        <v>390</v>
      </c>
      <c r="E294" s="27"/>
      <c r="F294" s="12"/>
      <c r="G294" s="11" t="s">
        <v>18</v>
      </c>
      <c r="H294" s="11"/>
      <c r="I294" s="11"/>
      <c r="J294" s="12"/>
      <c r="K294" s="10"/>
      <c r="L294" s="11"/>
      <c r="M294" s="11"/>
      <c r="N294" s="10"/>
      <c r="O294" s="10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0">
        <v>44335.0</v>
      </c>
      <c r="B295" s="11"/>
      <c r="C295" s="11" t="s">
        <v>159</v>
      </c>
      <c r="D295" s="11" t="s">
        <v>391</v>
      </c>
      <c r="E295" s="11"/>
      <c r="F295" s="12"/>
      <c r="G295" s="11" t="s">
        <v>18</v>
      </c>
      <c r="H295" s="11"/>
      <c r="I295" s="11"/>
      <c r="J295" s="12"/>
      <c r="K295" s="10"/>
      <c r="L295" s="11"/>
      <c r="M295" s="11"/>
      <c r="N295" s="10"/>
      <c r="O295" s="10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0">
        <v>44333.0</v>
      </c>
      <c r="B296" s="13" t="s">
        <v>392</v>
      </c>
      <c r="C296" s="11" t="s">
        <v>393</v>
      </c>
      <c r="D296" s="11" t="s">
        <v>394</v>
      </c>
      <c r="E296" s="11">
        <v>20.0</v>
      </c>
      <c r="F296" s="12">
        <v>289.98</v>
      </c>
      <c r="G296" s="14" t="s">
        <v>180</v>
      </c>
      <c r="H296" s="11"/>
      <c r="I296" s="11"/>
      <c r="J296" s="12">
        <v>289.98</v>
      </c>
      <c r="K296" s="10">
        <v>44441.0</v>
      </c>
      <c r="L296" s="11">
        <v>1578.0</v>
      </c>
      <c r="M296" s="11"/>
      <c r="N296" s="10"/>
      <c r="O296" s="10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0">
        <v>44333.0</v>
      </c>
      <c r="B297" s="15" t="s">
        <v>392</v>
      </c>
      <c r="C297" s="11" t="s">
        <v>393</v>
      </c>
      <c r="D297" s="11" t="s">
        <v>395</v>
      </c>
      <c r="E297" s="11">
        <v>10.0</v>
      </c>
      <c r="F297" s="12">
        <v>269.49</v>
      </c>
      <c r="G297" s="14" t="s">
        <v>180</v>
      </c>
      <c r="H297" s="11"/>
      <c r="I297" s="11"/>
      <c r="J297" s="12">
        <v>269.49</v>
      </c>
      <c r="K297" s="10">
        <v>44467.0</v>
      </c>
      <c r="L297" s="11">
        <v>1588.0</v>
      </c>
      <c r="M297" s="11"/>
      <c r="N297" s="10"/>
      <c r="O297" s="10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0">
        <v>44333.0</v>
      </c>
      <c r="B298" s="15" t="s">
        <v>392</v>
      </c>
      <c r="C298" s="11" t="s">
        <v>393</v>
      </c>
      <c r="D298" s="11" t="s">
        <v>396</v>
      </c>
      <c r="E298" s="11">
        <v>30.0</v>
      </c>
      <c r="F298" s="12">
        <v>803.58</v>
      </c>
      <c r="G298" s="14" t="s">
        <v>180</v>
      </c>
      <c r="H298" s="11"/>
      <c r="I298" s="11"/>
      <c r="J298" s="12">
        <v>803.58</v>
      </c>
      <c r="K298" s="10">
        <v>44441.0</v>
      </c>
      <c r="L298" s="11">
        <v>1578.0</v>
      </c>
      <c r="M298" s="11"/>
      <c r="N298" s="10"/>
      <c r="O298" s="10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0">
        <v>44333.0</v>
      </c>
      <c r="B299" s="15" t="s">
        <v>392</v>
      </c>
      <c r="C299" s="11" t="s">
        <v>393</v>
      </c>
      <c r="D299" s="11" t="s">
        <v>397</v>
      </c>
      <c r="E299" s="11">
        <v>30.0</v>
      </c>
      <c r="F299" s="12">
        <v>397.6</v>
      </c>
      <c r="G299" s="14" t="s">
        <v>180</v>
      </c>
      <c r="H299" s="11"/>
      <c r="I299" s="11"/>
      <c r="J299" s="12">
        <v>397.6</v>
      </c>
      <c r="K299" s="10">
        <v>44441.0</v>
      </c>
      <c r="L299" s="11">
        <v>1578.0</v>
      </c>
      <c r="M299" s="11"/>
      <c r="N299" s="10"/>
      <c r="O299" s="10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0">
        <v>44333.0</v>
      </c>
      <c r="B300" s="15" t="s">
        <v>392</v>
      </c>
      <c r="C300" s="11" t="s">
        <v>393</v>
      </c>
      <c r="D300" s="11" t="s">
        <v>398</v>
      </c>
      <c r="E300" s="11">
        <v>15.0</v>
      </c>
      <c r="F300" s="12">
        <v>866.85</v>
      </c>
      <c r="G300" s="14" t="s">
        <v>180</v>
      </c>
      <c r="H300" s="11"/>
      <c r="I300" s="11"/>
      <c r="J300" s="12">
        <v>866.85</v>
      </c>
      <c r="K300" s="10">
        <v>44441.0</v>
      </c>
      <c r="L300" s="11">
        <v>1578.0</v>
      </c>
      <c r="M300" s="11"/>
      <c r="N300" s="10"/>
      <c r="O300" s="10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0">
        <v>44333.0</v>
      </c>
      <c r="B301" s="15" t="s">
        <v>392</v>
      </c>
      <c r="C301" s="11" t="s">
        <v>393</v>
      </c>
      <c r="D301" s="11" t="s">
        <v>399</v>
      </c>
      <c r="E301" s="11">
        <v>40.0</v>
      </c>
      <c r="F301" s="12">
        <v>1593.64</v>
      </c>
      <c r="G301" s="14" t="s">
        <v>180</v>
      </c>
      <c r="H301" s="11"/>
      <c r="I301" s="11"/>
      <c r="J301" s="12">
        <v>1593.64</v>
      </c>
      <c r="K301" s="10">
        <v>44441.0</v>
      </c>
      <c r="L301" s="11">
        <v>1578.0</v>
      </c>
      <c r="M301" s="11"/>
      <c r="N301" s="10"/>
      <c r="O301" s="10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0">
        <v>44330.0</v>
      </c>
      <c r="B302" s="16">
        <v>1275.0</v>
      </c>
      <c r="C302" s="11" t="s">
        <v>400</v>
      </c>
      <c r="D302" s="11" t="s">
        <v>401</v>
      </c>
      <c r="E302" s="11">
        <v>4.0</v>
      </c>
      <c r="F302" s="12">
        <v>3559.48</v>
      </c>
      <c r="G302" s="11" t="s">
        <v>27</v>
      </c>
      <c r="H302" s="11"/>
      <c r="I302" s="11"/>
      <c r="J302" s="12"/>
      <c r="K302" s="10"/>
      <c r="L302" s="11"/>
      <c r="M302" s="11"/>
      <c r="N302" s="10"/>
      <c r="O302" s="10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0">
        <v>44330.0</v>
      </c>
      <c r="B303" s="16">
        <v>1274.0</v>
      </c>
      <c r="C303" s="11" t="s">
        <v>39</v>
      </c>
      <c r="D303" s="11" t="s">
        <v>402</v>
      </c>
      <c r="E303" s="11">
        <v>5.0</v>
      </c>
      <c r="F303" s="12" t="s">
        <v>403</v>
      </c>
      <c r="G303" s="11" t="s">
        <v>167</v>
      </c>
      <c r="H303" s="11"/>
      <c r="I303" s="11"/>
      <c r="J303" s="12"/>
      <c r="K303" s="10"/>
      <c r="L303" s="11"/>
      <c r="M303" s="11"/>
      <c r="N303" s="10"/>
      <c r="O303" s="10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0">
        <v>44329.0</v>
      </c>
      <c r="B304" s="11"/>
      <c r="C304" s="11" t="s">
        <v>404</v>
      </c>
      <c r="D304" s="11" t="s">
        <v>405</v>
      </c>
      <c r="E304" s="11"/>
      <c r="F304" s="12"/>
      <c r="G304" s="11" t="s">
        <v>18</v>
      </c>
      <c r="H304" s="11"/>
      <c r="I304" s="11"/>
      <c r="J304" s="12"/>
      <c r="K304" s="10"/>
      <c r="L304" s="11"/>
      <c r="M304" s="11"/>
      <c r="N304" s="10"/>
      <c r="O304" s="10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0">
        <v>44328.0</v>
      </c>
      <c r="B305" s="16">
        <v>1263.0</v>
      </c>
      <c r="C305" s="11" t="s">
        <v>44</v>
      </c>
      <c r="D305" s="11" t="s">
        <v>402</v>
      </c>
      <c r="E305" s="11">
        <v>2.0</v>
      </c>
      <c r="F305" s="12" t="s">
        <v>406</v>
      </c>
      <c r="G305" s="11" t="s">
        <v>27</v>
      </c>
      <c r="H305" s="11"/>
      <c r="I305" s="11"/>
      <c r="J305" s="12"/>
      <c r="K305" s="10"/>
      <c r="L305" s="11"/>
      <c r="M305" s="11"/>
      <c r="N305" s="10"/>
      <c r="O305" s="10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0">
        <v>44327.0</v>
      </c>
      <c r="B306" s="11"/>
      <c r="C306" s="11" t="s">
        <v>44</v>
      </c>
      <c r="D306" s="11" t="s">
        <v>407</v>
      </c>
      <c r="E306" s="11"/>
      <c r="F306" s="12"/>
      <c r="G306" s="11" t="s">
        <v>18</v>
      </c>
      <c r="H306" s="11"/>
      <c r="I306" s="11"/>
      <c r="J306" s="12"/>
      <c r="K306" s="10"/>
      <c r="L306" s="11"/>
      <c r="M306" s="11"/>
      <c r="N306" s="10"/>
      <c r="O306" s="10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">
        <v>44326.0</v>
      </c>
      <c r="B307" s="13">
        <v>1259.0</v>
      </c>
      <c r="C307" s="11" t="s">
        <v>77</v>
      </c>
      <c r="D307" s="11" t="s">
        <v>88</v>
      </c>
      <c r="E307" s="11">
        <v>1.0</v>
      </c>
      <c r="F307" s="12" t="s">
        <v>163</v>
      </c>
      <c r="G307" s="11" t="s">
        <v>27</v>
      </c>
      <c r="H307" s="11"/>
      <c r="I307" s="11"/>
      <c r="J307" s="12"/>
      <c r="K307" s="10"/>
      <c r="L307" s="11"/>
      <c r="M307" s="11"/>
      <c r="N307" s="10"/>
      <c r="O307" s="10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0">
        <v>44326.0</v>
      </c>
      <c r="B308" s="16">
        <v>1260.0</v>
      </c>
      <c r="C308" s="11" t="s">
        <v>320</v>
      </c>
      <c r="D308" s="11" t="s">
        <v>408</v>
      </c>
      <c r="E308" s="11">
        <v>2.0</v>
      </c>
      <c r="F308" s="12">
        <v>6618.68</v>
      </c>
      <c r="G308" s="14" t="s">
        <v>180</v>
      </c>
      <c r="H308" s="11"/>
      <c r="I308" s="11"/>
      <c r="J308" s="12">
        <v>6618.68</v>
      </c>
      <c r="K308" s="10">
        <v>44405.0</v>
      </c>
      <c r="L308" s="11">
        <v>1558.0</v>
      </c>
      <c r="M308" s="11"/>
      <c r="N308" s="10"/>
      <c r="O308" s="10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0">
        <v>44323.0</v>
      </c>
      <c r="B309" s="15">
        <v>1258.0</v>
      </c>
      <c r="C309" s="11" t="s">
        <v>44</v>
      </c>
      <c r="D309" s="11" t="s">
        <v>88</v>
      </c>
      <c r="E309" s="11">
        <v>1.0</v>
      </c>
      <c r="F309" s="12" t="s">
        <v>163</v>
      </c>
      <c r="G309" s="14" t="s">
        <v>180</v>
      </c>
      <c r="H309" s="11"/>
      <c r="I309" s="11"/>
      <c r="J309" s="12">
        <v>16900.0</v>
      </c>
      <c r="K309" s="10">
        <v>44341.0</v>
      </c>
      <c r="L309" s="11">
        <v>1522.0</v>
      </c>
      <c r="M309" s="11"/>
      <c r="N309" s="10"/>
      <c r="O309" s="10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0">
        <v>44321.0</v>
      </c>
      <c r="B310" s="16">
        <v>1256.0</v>
      </c>
      <c r="C310" s="11" t="s">
        <v>39</v>
      </c>
      <c r="D310" s="11" t="s">
        <v>64</v>
      </c>
      <c r="E310" s="11">
        <v>1.0</v>
      </c>
      <c r="F310" s="12" t="s">
        <v>409</v>
      </c>
      <c r="G310" s="11" t="s">
        <v>27</v>
      </c>
      <c r="H310" s="11"/>
      <c r="I310" s="11"/>
      <c r="J310" s="12"/>
      <c r="K310" s="10"/>
      <c r="L310" s="11"/>
      <c r="M310" s="11"/>
      <c r="N310" s="10"/>
      <c r="O310" s="10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0">
        <v>44321.0</v>
      </c>
      <c r="B311" s="15">
        <v>1253.0</v>
      </c>
      <c r="C311" s="11" t="s">
        <v>410</v>
      </c>
      <c r="D311" s="11" t="s">
        <v>411</v>
      </c>
      <c r="E311" s="11">
        <v>24.0</v>
      </c>
      <c r="F311" s="12">
        <v>2631.06</v>
      </c>
      <c r="G311" s="11" t="s">
        <v>27</v>
      </c>
      <c r="H311" s="11"/>
      <c r="I311" s="11"/>
      <c r="J311" s="12"/>
      <c r="K311" s="10"/>
      <c r="L311" s="11"/>
      <c r="M311" s="11"/>
      <c r="N311" s="10"/>
      <c r="O311" s="10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0">
        <v>44321.0</v>
      </c>
      <c r="B312" s="16">
        <v>1254.0</v>
      </c>
      <c r="C312" s="11" t="s">
        <v>19</v>
      </c>
      <c r="D312" s="11" t="s">
        <v>412</v>
      </c>
      <c r="E312" s="11">
        <v>4.0</v>
      </c>
      <c r="F312" s="12">
        <v>5459.84</v>
      </c>
      <c r="G312" s="11" t="s">
        <v>27</v>
      </c>
      <c r="H312" s="11"/>
      <c r="I312" s="11"/>
      <c r="J312" s="12"/>
      <c r="K312" s="10"/>
      <c r="L312" s="11"/>
      <c r="M312" s="11"/>
      <c r="N312" s="10"/>
      <c r="O312" s="10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0">
        <v>44320.0</v>
      </c>
      <c r="B313" s="15">
        <v>1255.0</v>
      </c>
      <c r="C313" s="11" t="s">
        <v>413</v>
      </c>
      <c r="D313" s="11" t="s">
        <v>414</v>
      </c>
      <c r="E313" s="11">
        <v>5.0</v>
      </c>
      <c r="F313" s="12">
        <v>936.4</v>
      </c>
      <c r="G313" s="11" t="s">
        <v>27</v>
      </c>
      <c r="H313" s="11"/>
      <c r="I313" s="11"/>
      <c r="J313" s="12"/>
      <c r="K313" s="10"/>
      <c r="L313" s="11"/>
      <c r="M313" s="11"/>
      <c r="N313" s="10"/>
      <c r="O313" s="10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0">
        <v>44320.0</v>
      </c>
      <c r="B314" s="16">
        <v>1251.0</v>
      </c>
      <c r="C314" s="11" t="s">
        <v>123</v>
      </c>
      <c r="D314" s="11" t="s">
        <v>415</v>
      </c>
      <c r="E314" s="11">
        <v>2.0</v>
      </c>
      <c r="F314" s="12">
        <v>5849.0</v>
      </c>
      <c r="G314" s="11" t="s">
        <v>27</v>
      </c>
      <c r="H314" s="11"/>
      <c r="I314" s="11"/>
      <c r="J314" s="12"/>
      <c r="K314" s="10"/>
      <c r="L314" s="11"/>
      <c r="M314" s="11"/>
      <c r="N314" s="10"/>
      <c r="O314" s="10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0">
        <v>44319.0</v>
      </c>
      <c r="B315" s="17">
        <v>1249.0</v>
      </c>
      <c r="C315" s="11" t="s">
        <v>53</v>
      </c>
      <c r="D315" s="11" t="s">
        <v>354</v>
      </c>
      <c r="E315" s="11">
        <v>24.0</v>
      </c>
      <c r="F315" s="12" t="s">
        <v>357</v>
      </c>
      <c r="G315" s="11" t="s">
        <v>27</v>
      </c>
      <c r="H315" s="11"/>
      <c r="I315" s="11"/>
      <c r="J315" s="12"/>
      <c r="K315" s="10"/>
      <c r="L315" s="11"/>
      <c r="M315" s="11"/>
      <c r="N315" s="10"/>
      <c r="O315" s="10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8"/>
      <c r="B316" s="19"/>
      <c r="C316" s="19"/>
      <c r="D316" s="19"/>
      <c r="E316" s="19"/>
      <c r="F316" s="20"/>
      <c r="G316" s="19"/>
      <c r="H316" s="19"/>
      <c r="I316" s="19"/>
      <c r="J316" s="20"/>
      <c r="K316" s="18"/>
      <c r="L316" s="19"/>
      <c r="M316" s="19"/>
      <c r="N316" s="18"/>
      <c r="O316" s="18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0">
        <v>44354.0</v>
      </c>
      <c r="B317" s="13">
        <v>1285.0</v>
      </c>
      <c r="C317" s="11" t="s">
        <v>53</v>
      </c>
      <c r="D317" s="11" t="s">
        <v>416</v>
      </c>
      <c r="E317" s="11">
        <v>10.0</v>
      </c>
      <c r="F317" s="12" t="s">
        <v>355</v>
      </c>
      <c r="G317" s="14" t="s">
        <v>180</v>
      </c>
      <c r="H317" s="11"/>
      <c r="I317" s="11"/>
      <c r="J317" s="12">
        <v>12000.0</v>
      </c>
      <c r="K317" s="10">
        <v>44432.0</v>
      </c>
      <c r="L317" s="11">
        <v>1572.0</v>
      </c>
      <c r="M317" s="11"/>
      <c r="N317" s="10"/>
      <c r="O317" s="10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0">
        <v>44355.0</v>
      </c>
      <c r="B318" s="13">
        <v>1286.0</v>
      </c>
      <c r="C318" s="11" t="s">
        <v>417</v>
      </c>
      <c r="D318" s="11" t="s">
        <v>418</v>
      </c>
      <c r="E318" s="11">
        <v>5.0</v>
      </c>
      <c r="F318" s="12">
        <v>2742.95</v>
      </c>
      <c r="G318" s="11" t="s">
        <v>27</v>
      </c>
      <c r="H318" s="11"/>
      <c r="I318" s="11"/>
      <c r="J318" s="12"/>
      <c r="K318" s="10"/>
      <c r="L318" s="11"/>
      <c r="M318" s="11"/>
      <c r="N318" s="10"/>
      <c r="O318" s="10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0">
        <v>44355.0</v>
      </c>
      <c r="B319" s="15">
        <v>1286.0</v>
      </c>
      <c r="C319" s="11" t="s">
        <v>417</v>
      </c>
      <c r="D319" s="11" t="s">
        <v>419</v>
      </c>
      <c r="E319" s="11">
        <v>5.0</v>
      </c>
      <c r="F319" s="12">
        <v>2169.7</v>
      </c>
      <c r="G319" s="11" t="s">
        <v>27</v>
      </c>
      <c r="H319" s="11"/>
      <c r="I319" s="11"/>
      <c r="J319" s="12"/>
      <c r="K319" s="10"/>
      <c r="L319" s="11"/>
      <c r="M319" s="11"/>
      <c r="N319" s="10"/>
      <c r="O319" s="10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0">
        <v>44355.0</v>
      </c>
      <c r="B320" s="17">
        <v>1286.0</v>
      </c>
      <c r="C320" s="11" t="s">
        <v>417</v>
      </c>
      <c r="D320" s="11" t="s">
        <v>420</v>
      </c>
      <c r="E320" s="11">
        <v>4.0</v>
      </c>
      <c r="F320" s="12">
        <v>3134.8</v>
      </c>
      <c r="G320" s="11" t="s">
        <v>27</v>
      </c>
      <c r="H320" s="11"/>
      <c r="I320" s="11"/>
      <c r="J320" s="12"/>
      <c r="K320" s="10"/>
      <c r="L320" s="11"/>
      <c r="M320" s="11"/>
      <c r="N320" s="10"/>
      <c r="O320" s="10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0">
        <v>44356.0</v>
      </c>
      <c r="B321" s="15">
        <v>1287.0</v>
      </c>
      <c r="C321" s="11" t="s">
        <v>164</v>
      </c>
      <c r="D321" s="11" t="s">
        <v>421</v>
      </c>
      <c r="E321" s="11">
        <v>2.0</v>
      </c>
      <c r="F321" s="12">
        <v>3412.86</v>
      </c>
      <c r="G321" s="14" t="s">
        <v>21</v>
      </c>
      <c r="H321" s="11"/>
      <c r="I321" s="11"/>
      <c r="J321" s="12">
        <v>3412.86</v>
      </c>
      <c r="K321" s="10">
        <v>44516.0</v>
      </c>
      <c r="L321" s="11">
        <v>1617.0</v>
      </c>
      <c r="M321" s="11"/>
      <c r="N321" s="10"/>
      <c r="O321" s="10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0">
        <v>44356.0</v>
      </c>
      <c r="B322" s="16">
        <v>1288.0</v>
      </c>
      <c r="C322" s="11" t="s">
        <v>422</v>
      </c>
      <c r="D322" s="11" t="s">
        <v>423</v>
      </c>
      <c r="E322" s="11">
        <v>1.0</v>
      </c>
      <c r="F322" s="12">
        <v>294.01</v>
      </c>
      <c r="G322" s="11" t="s">
        <v>27</v>
      </c>
      <c r="H322" s="11"/>
      <c r="I322" s="11"/>
      <c r="J322" s="12"/>
      <c r="K322" s="10"/>
      <c r="L322" s="11"/>
      <c r="M322" s="11"/>
      <c r="N322" s="10"/>
      <c r="O322" s="10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0">
        <v>44385.0</v>
      </c>
      <c r="B323" s="15">
        <v>1289.0</v>
      </c>
      <c r="C323" s="11" t="s">
        <v>424</v>
      </c>
      <c r="D323" s="11" t="s">
        <v>50</v>
      </c>
      <c r="E323" s="11">
        <v>5.0</v>
      </c>
      <c r="F323" s="12">
        <v>99.05</v>
      </c>
      <c r="G323" s="14" t="s">
        <v>180</v>
      </c>
      <c r="H323" s="11"/>
      <c r="I323" s="11"/>
      <c r="J323" s="12">
        <v>99.05</v>
      </c>
      <c r="K323" s="10">
        <v>44510.0</v>
      </c>
      <c r="L323" s="11">
        <v>1615.0</v>
      </c>
      <c r="M323" s="11"/>
      <c r="N323" s="10"/>
      <c r="O323" s="10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0">
        <v>44385.0</v>
      </c>
      <c r="B324" s="15">
        <v>1289.0</v>
      </c>
      <c r="C324" s="11" t="s">
        <v>424</v>
      </c>
      <c r="D324" s="11" t="s">
        <v>394</v>
      </c>
      <c r="E324" s="11">
        <v>5.0</v>
      </c>
      <c r="F324" s="12">
        <v>74.25</v>
      </c>
      <c r="G324" s="14" t="s">
        <v>180</v>
      </c>
      <c r="H324" s="11"/>
      <c r="I324" s="11"/>
      <c r="J324" s="12">
        <v>74.25</v>
      </c>
      <c r="K324" s="10">
        <v>44510.0</v>
      </c>
      <c r="L324" s="11">
        <v>1615.0</v>
      </c>
      <c r="M324" s="11"/>
      <c r="N324" s="10"/>
      <c r="O324" s="10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0">
        <v>44385.0</v>
      </c>
      <c r="B325" s="15">
        <v>1289.0</v>
      </c>
      <c r="C325" s="11" t="s">
        <v>424</v>
      </c>
      <c r="D325" s="11" t="s">
        <v>397</v>
      </c>
      <c r="E325" s="11">
        <v>5.0</v>
      </c>
      <c r="F325" s="12">
        <v>67.95</v>
      </c>
      <c r="G325" s="14" t="s">
        <v>180</v>
      </c>
      <c r="H325" s="11"/>
      <c r="I325" s="11"/>
      <c r="J325" s="12">
        <v>67.95</v>
      </c>
      <c r="K325" s="10">
        <v>44510.0</v>
      </c>
      <c r="L325" s="11">
        <v>1615.0</v>
      </c>
      <c r="M325" s="11"/>
      <c r="N325" s="10"/>
      <c r="O325" s="10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0">
        <v>44385.0</v>
      </c>
      <c r="B326" s="15">
        <v>1289.0</v>
      </c>
      <c r="C326" s="11" t="s">
        <v>424</v>
      </c>
      <c r="D326" s="11" t="s">
        <v>425</v>
      </c>
      <c r="E326" s="11">
        <v>5.0</v>
      </c>
      <c r="F326" s="12">
        <v>159.85</v>
      </c>
      <c r="G326" s="14" t="s">
        <v>180</v>
      </c>
      <c r="H326" s="11"/>
      <c r="I326" s="11"/>
      <c r="J326" s="12">
        <v>159.85</v>
      </c>
      <c r="K326" s="10">
        <v>44510.0</v>
      </c>
      <c r="L326" s="11">
        <v>1615.0</v>
      </c>
      <c r="M326" s="11"/>
      <c r="N326" s="10"/>
      <c r="O326" s="10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0">
        <v>44385.0</v>
      </c>
      <c r="B327" s="15">
        <v>1289.0</v>
      </c>
      <c r="C327" s="11" t="s">
        <v>424</v>
      </c>
      <c r="D327" s="11" t="s">
        <v>24</v>
      </c>
      <c r="E327" s="11">
        <v>2.0</v>
      </c>
      <c r="F327" s="12">
        <v>70.42</v>
      </c>
      <c r="G327" s="14" t="s">
        <v>180</v>
      </c>
      <c r="H327" s="11"/>
      <c r="I327" s="11"/>
      <c r="J327" s="12">
        <v>70.42</v>
      </c>
      <c r="K327" s="10">
        <v>44510.0</v>
      </c>
      <c r="L327" s="11">
        <v>1615.0</v>
      </c>
      <c r="M327" s="11"/>
      <c r="N327" s="10"/>
      <c r="O327" s="10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0">
        <v>44385.0</v>
      </c>
      <c r="B328" s="15">
        <v>1289.0</v>
      </c>
      <c r="C328" s="11" t="s">
        <v>424</v>
      </c>
      <c r="D328" s="11" t="s">
        <v>395</v>
      </c>
      <c r="E328" s="11">
        <v>5.0</v>
      </c>
      <c r="F328" s="12">
        <v>138.22</v>
      </c>
      <c r="G328" s="14" t="s">
        <v>180</v>
      </c>
      <c r="H328" s="11"/>
      <c r="I328" s="11"/>
      <c r="J328" s="12">
        <v>138.22</v>
      </c>
      <c r="K328" s="10">
        <v>44510.0</v>
      </c>
      <c r="L328" s="11">
        <v>1615.0</v>
      </c>
      <c r="M328" s="11"/>
      <c r="N328" s="10"/>
      <c r="O328" s="10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0">
        <v>44356.0</v>
      </c>
      <c r="B329" s="16">
        <v>1290.0</v>
      </c>
      <c r="C329" s="11" t="s">
        <v>39</v>
      </c>
      <c r="D329" s="11" t="s">
        <v>426</v>
      </c>
      <c r="E329" s="11">
        <v>2.0</v>
      </c>
      <c r="F329" s="12">
        <v>15927.69</v>
      </c>
      <c r="G329" s="11" t="s">
        <v>27</v>
      </c>
      <c r="H329" s="11"/>
      <c r="I329" s="11"/>
      <c r="J329" s="12"/>
      <c r="K329" s="10"/>
      <c r="L329" s="11"/>
      <c r="M329" s="11"/>
      <c r="N329" s="10"/>
      <c r="O329" s="10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0">
        <v>44356.0</v>
      </c>
      <c r="B330" s="11"/>
      <c r="C330" s="11"/>
      <c r="D330" s="11" t="s">
        <v>427</v>
      </c>
      <c r="E330" s="11"/>
      <c r="F330" s="12"/>
      <c r="G330" s="11" t="s">
        <v>241</v>
      </c>
      <c r="H330" s="11"/>
      <c r="I330" s="11"/>
      <c r="J330" s="12"/>
      <c r="K330" s="10"/>
      <c r="L330" s="11"/>
      <c r="M330" s="11"/>
      <c r="N330" s="10"/>
      <c r="O330" s="10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0">
        <v>44357.0</v>
      </c>
      <c r="B331" s="13">
        <v>1293.0</v>
      </c>
      <c r="C331" s="11" t="s">
        <v>39</v>
      </c>
      <c r="D331" s="11" t="s">
        <v>428</v>
      </c>
      <c r="E331" s="28">
        <v>2.0</v>
      </c>
      <c r="F331" s="12">
        <v>7622.48</v>
      </c>
      <c r="G331" s="11" t="s">
        <v>27</v>
      </c>
      <c r="H331" s="11"/>
      <c r="I331" s="11"/>
      <c r="J331" s="12"/>
      <c r="K331" s="10"/>
      <c r="L331" s="11"/>
      <c r="M331" s="11"/>
      <c r="N331" s="10"/>
      <c r="O331" s="10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0">
        <v>44358.0</v>
      </c>
      <c r="B332" s="16">
        <v>1292.0</v>
      </c>
      <c r="C332" s="11" t="s">
        <v>39</v>
      </c>
      <c r="D332" s="11" t="s">
        <v>429</v>
      </c>
      <c r="E332" s="28">
        <v>5.0</v>
      </c>
      <c r="F332" s="12">
        <v>769.52</v>
      </c>
      <c r="G332" s="11" t="s">
        <v>167</v>
      </c>
      <c r="H332" s="11"/>
      <c r="I332" s="11"/>
      <c r="J332" s="12"/>
      <c r="K332" s="10"/>
      <c r="L332" s="11"/>
      <c r="M332" s="11"/>
      <c r="N332" s="10"/>
      <c r="O332" s="10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0">
        <v>44361.0</v>
      </c>
      <c r="B333" s="15">
        <v>1291.0</v>
      </c>
      <c r="C333" s="11" t="s">
        <v>44</v>
      </c>
      <c r="D333" s="11" t="s">
        <v>195</v>
      </c>
      <c r="E333" s="11">
        <v>2.0</v>
      </c>
      <c r="F333" s="12"/>
      <c r="G333" s="11" t="s">
        <v>430</v>
      </c>
      <c r="H333" s="11"/>
      <c r="I333" s="11"/>
      <c r="J333" s="12"/>
      <c r="K333" s="10"/>
      <c r="L333" s="11"/>
      <c r="M333" s="11"/>
      <c r="N333" s="10"/>
      <c r="O333" s="10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0">
        <v>44361.0</v>
      </c>
      <c r="B334" s="15">
        <v>1291.0</v>
      </c>
      <c r="C334" s="11" t="s">
        <v>44</v>
      </c>
      <c r="D334" s="11" t="s">
        <v>431</v>
      </c>
      <c r="E334" s="11">
        <v>2.0</v>
      </c>
      <c r="F334" s="12"/>
      <c r="G334" s="11" t="s">
        <v>430</v>
      </c>
      <c r="H334" s="11"/>
      <c r="I334" s="11"/>
      <c r="J334" s="12"/>
      <c r="K334" s="10"/>
      <c r="L334" s="11"/>
      <c r="M334" s="11"/>
      <c r="N334" s="10"/>
      <c r="O334" s="10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0">
        <v>44361.0</v>
      </c>
      <c r="B335" s="15">
        <v>1291.0</v>
      </c>
      <c r="C335" s="11" t="s">
        <v>44</v>
      </c>
      <c r="D335" s="11" t="s">
        <v>432</v>
      </c>
      <c r="E335" s="11">
        <v>1.0</v>
      </c>
      <c r="F335" s="12"/>
      <c r="G335" s="11" t="s">
        <v>430</v>
      </c>
      <c r="H335" s="11"/>
      <c r="I335" s="11"/>
      <c r="J335" s="12"/>
      <c r="K335" s="10"/>
      <c r="L335" s="11"/>
      <c r="M335" s="11"/>
      <c r="N335" s="10"/>
      <c r="O335" s="10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0">
        <v>44361.0</v>
      </c>
      <c r="B336" s="15">
        <v>1291.0</v>
      </c>
      <c r="C336" s="11" t="s">
        <v>44</v>
      </c>
      <c r="D336" s="11" t="s">
        <v>433</v>
      </c>
      <c r="E336" s="11">
        <v>1.0</v>
      </c>
      <c r="F336" s="12"/>
      <c r="G336" s="11" t="s">
        <v>430</v>
      </c>
      <c r="H336" s="11"/>
      <c r="I336" s="11"/>
      <c r="J336" s="12"/>
      <c r="K336" s="10"/>
      <c r="L336" s="11"/>
      <c r="M336" s="11"/>
      <c r="N336" s="10"/>
      <c r="O336" s="10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0">
        <v>44361.0</v>
      </c>
      <c r="B337" s="15">
        <v>1291.0</v>
      </c>
      <c r="C337" s="11" t="s">
        <v>44</v>
      </c>
      <c r="D337" s="11" t="s">
        <v>434</v>
      </c>
      <c r="E337" s="11">
        <v>1.0</v>
      </c>
      <c r="F337" s="12"/>
      <c r="G337" s="11" t="s">
        <v>430</v>
      </c>
      <c r="H337" s="11"/>
      <c r="I337" s="11"/>
      <c r="J337" s="12"/>
      <c r="K337" s="10"/>
      <c r="L337" s="11"/>
      <c r="M337" s="11"/>
      <c r="N337" s="10"/>
      <c r="O337" s="10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0">
        <v>44361.0</v>
      </c>
      <c r="B338" s="15">
        <v>1291.0</v>
      </c>
      <c r="C338" s="11" t="s">
        <v>44</v>
      </c>
      <c r="D338" s="11" t="s">
        <v>435</v>
      </c>
      <c r="E338" s="11">
        <v>1.0</v>
      </c>
      <c r="F338" s="12"/>
      <c r="G338" s="11" t="s">
        <v>430</v>
      </c>
      <c r="H338" s="11"/>
      <c r="I338" s="11"/>
      <c r="J338" s="12"/>
      <c r="K338" s="10"/>
      <c r="L338" s="11"/>
      <c r="M338" s="11"/>
      <c r="N338" s="10"/>
      <c r="O338" s="10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0">
        <v>44363.0</v>
      </c>
      <c r="B339" s="16">
        <v>1296.0</v>
      </c>
      <c r="C339" s="11" t="s">
        <v>436</v>
      </c>
      <c r="D339" s="11" t="s">
        <v>437</v>
      </c>
      <c r="E339" s="11">
        <v>3.0</v>
      </c>
      <c r="F339" s="12">
        <v>1072.02</v>
      </c>
      <c r="G339" s="11" t="s">
        <v>167</v>
      </c>
      <c r="H339" s="11"/>
      <c r="I339" s="11"/>
      <c r="J339" s="12"/>
      <c r="K339" s="10"/>
      <c r="L339" s="11"/>
      <c r="M339" s="11"/>
      <c r="N339" s="10"/>
      <c r="O339" s="10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0">
        <v>44362.0</v>
      </c>
      <c r="B340" s="17">
        <v>1297.0</v>
      </c>
      <c r="C340" s="11" t="s">
        <v>438</v>
      </c>
      <c r="D340" s="11" t="s">
        <v>439</v>
      </c>
      <c r="E340" s="11">
        <v>3.0</v>
      </c>
      <c r="F340" s="12">
        <v>2218.95</v>
      </c>
      <c r="G340" s="11" t="s">
        <v>167</v>
      </c>
      <c r="H340" s="11"/>
      <c r="I340" s="11"/>
      <c r="J340" s="12"/>
      <c r="K340" s="10"/>
      <c r="L340" s="11"/>
      <c r="M340" s="11"/>
      <c r="N340" s="10"/>
      <c r="O340" s="10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0">
        <v>44363.0</v>
      </c>
      <c r="B341" s="11"/>
      <c r="C341" s="11" t="s">
        <v>39</v>
      </c>
      <c r="D341" s="11" t="s">
        <v>440</v>
      </c>
      <c r="E341" s="11"/>
      <c r="F341" s="12"/>
      <c r="G341" s="11" t="s">
        <v>241</v>
      </c>
      <c r="H341" s="11"/>
      <c r="I341" s="11"/>
      <c r="J341" s="12"/>
      <c r="K341" s="10"/>
      <c r="L341" s="11"/>
      <c r="M341" s="11"/>
      <c r="N341" s="10"/>
      <c r="O341" s="10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0">
        <v>44362.0</v>
      </c>
      <c r="B342" s="11"/>
      <c r="C342" s="11" t="s">
        <v>164</v>
      </c>
      <c r="D342" s="11" t="s">
        <v>441</v>
      </c>
      <c r="E342" s="11"/>
      <c r="F342" s="12"/>
      <c r="G342" s="11" t="s">
        <v>241</v>
      </c>
      <c r="H342" s="11"/>
      <c r="I342" s="11"/>
      <c r="J342" s="12"/>
      <c r="K342" s="10"/>
      <c r="L342" s="11"/>
      <c r="M342" s="11"/>
      <c r="N342" s="10"/>
      <c r="O342" s="10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0">
        <v>44365.0</v>
      </c>
      <c r="B343" s="13">
        <v>1298.0</v>
      </c>
      <c r="C343" s="11" t="s">
        <v>39</v>
      </c>
      <c r="D343" s="11" t="s">
        <v>442</v>
      </c>
      <c r="E343" s="11">
        <v>41.0</v>
      </c>
      <c r="F343" s="12">
        <v>7369.75</v>
      </c>
      <c r="G343" s="14" t="s">
        <v>180</v>
      </c>
      <c r="H343" s="11"/>
      <c r="I343" s="11"/>
      <c r="J343" s="12">
        <v>7318.91</v>
      </c>
      <c r="K343" s="10">
        <v>44683.0</v>
      </c>
      <c r="L343" s="11">
        <v>1789.0</v>
      </c>
      <c r="M343" s="11">
        <v>4.501389688E9</v>
      </c>
      <c r="N343" s="10">
        <v>44682.0</v>
      </c>
      <c r="O343" s="10">
        <v>44722.0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0">
        <v>44365.0</v>
      </c>
      <c r="B344" s="15">
        <v>1298.0</v>
      </c>
      <c r="C344" s="11" t="s">
        <v>39</v>
      </c>
      <c r="D344" s="11" t="s">
        <v>443</v>
      </c>
      <c r="E344" s="11">
        <v>5.0</v>
      </c>
      <c r="F344" s="12">
        <v>735.0</v>
      </c>
      <c r="G344" s="14" t="s">
        <v>180</v>
      </c>
      <c r="H344" s="11"/>
      <c r="I344" s="11"/>
      <c r="J344" s="12">
        <v>735.0</v>
      </c>
      <c r="K344" s="10">
        <v>44671.0</v>
      </c>
      <c r="L344" s="11">
        <v>1786.0</v>
      </c>
      <c r="M344" s="11">
        <v>4.501389688E9</v>
      </c>
      <c r="N344" s="10"/>
      <c r="O344" s="10">
        <v>44701.0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0">
        <v>44365.0</v>
      </c>
      <c r="B345" s="15">
        <v>1298.0</v>
      </c>
      <c r="C345" s="11" t="s">
        <v>39</v>
      </c>
      <c r="D345" s="11" t="s">
        <v>444</v>
      </c>
      <c r="E345" s="11">
        <v>34.0</v>
      </c>
      <c r="F345" s="12">
        <v>2390.05</v>
      </c>
      <c r="G345" s="14" t="s">
        <v>180</v>
      </c>
      <c r="H345" s="11"/>
      <c r="I345" s="11"/>
      <c r="J345" s="12">
        <v>2390.05</v>
      </c>
      <c r="K345" s="10">
        <v>44694.0</v>
      </c>
      <c r="L345" s="11">
        <v>1803.0</v>
      </c>
      <c r="M345" s="11">
        <v>4.501389688E9</v>
      </c>
      <c r="N345" s="10"/>
      <c r="O345" s="10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0">
        <v>44365.0</v>
      </c>
      <c r="B346" s="15">
        <v>1298.0</v>
      </c>
      <c r="C346" s="11" t="s">
        <v>39</v>
      </c>
      <c r="D346" s="11" t="s">
        <v>442</v>
      </c>
      <c r="E346" s="11">
        <v>36.0</v>
      </c>
      <c r="F346" s="12">
        <v>6471.0</v>
      </c>
      <c r="G346" s="14" t="s">
        <v>180</v>
      </c>
      <c r="H346" s="11"/>
      <c r="I346" s="11"/>
      <c r="J346" s="12">
        <v>6426.36</v>
      </c>
      <c r="K346" s="10">
        <v>44683.0</v>
      </c>
      <c r="L346" s="11">
        <v>1789.0</v>
      </c>
      <c r="M346" s="11">
        <v>4.501389688E9</v>
      </c>
      <c r="N346" s="10">
        <v>44682.0</v>
      </c>
      <c r="O346" s="10">
        <v>44722.0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0">
        <v>44365.0</v>
      </c>
      <c r="B347" s="17">
        <v>1299.0</v>
      </c>
      <c r="C347" s="11" t="s">
        <v>445</v>
      </c>
      <c r="D347" s="11" t="s">
        <v>446</v>
      </c>
      <c r="E347" s="11">
        <v>12.0</v>
      </c>
      <c r="F347" s="12">
        <v>1502.51</v>
      </c>
      <c r="G347" s="14" t="s">
        <v>21</v>
      </c>
      <c r="H347" s="11"/>
      <c r="I347" s="11"/>
      <c r="J347" s="12">
        <v>1502.49</v>
      </c>
      <c r="K347" s="10">
        <v>44369.0</v>
      </c>
      <c r="L347" s="11">
        <v>1534.0</v>
      </c>
      <c r="M347" s="11"/>
      <c r="N347" s="10"/>
      <c r="O347" s="10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">
        <v>44366.0</v>
      </c>
      <c r="B348" s="11"/>
      <c r="C348" s="11" t="s">
        <v>170</v>
      </c>
      <c r="D348" s="11" t="s">
        <v>447</v>
      </c>
      <c r="E348" s="11"/>
      <c r="F348" s="12"/>
      <c r="G348" s="11" t="s">
        <v>448</v>
      </c>
      <c r="H348" s="11"/>
      <c r="I348" s="11"/>
      <c r="J348" s="12"/>
      <c r="K348" s="10"/>
      <c r="L348" s="11"/>
      <c r="M348" s="11"/>
      <c r="N348" s="10"/>
      <c r="O348" s="10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0">
        <v>44369.0</v>
      </c>
      <c r="B349" s="11"/>
      <c r="C349" s="11" t="s">
        <v>170</v>
      </c>
      <c r="D349" s="27" t="s">
        <v>449</v>
      </c>
      <c r="E349" s="27"/>
      <c r="F349" s="12"/>
      <c r="G349" s="11" t="s">
        <v>448</v>
      </c>
      <c r="H349" s="11"/>
      <c r="I349" s="11"/>
      <c r="J349" s="12"/>
      <c r="K349" s="10"/>
      <c r="L349" s="11"/>
      <c r="M349" s="11"/>
      <c r="N349" s="10"/>
      <c r="O349" s="10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0">
        <v>44367.0</v>
      </c>
      <c r="B350" s="13">
        <v>1303.0</v>
      </c>
      <c r="C350" s="11" t="s">
        <v>164</v>
      </c>
      <c r="D350" s="11" t="s">
        <v>450</v>
      </c>
      <c r="E350" s="11">
        <v>1.0</v>
      </c>
      <c r="F350" s="12" t="s">
        <v>451</v>
      </c>
      <c r="G350" s="14" t="s">
        <v>21</v>
      </c>
      <c r="H350" s="11"/>
      <c r="I350" s="11"/>
      <c r="J350" s="12">
        <v>4626.67</v>
      </c>
      <c r="K350" s="10">
        <v>44510.0</v>
      </c>
      <c r="L350" s="11">
        <v>1612.0</v>
      </c>
      <c r="M350" s="11"/>
      <c r="N350" s="10"/>
      <c r="O350" s="10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0">
        <v>44368.0</v>
      </c>
      <c r="B351" s="16">
        <v>1302.0</v>
      </c>
      <c r="C351" s="11" t="s">
        <v>164</v>
      </c>
      <c r="D351" s="11" t="s">
        <v>452</v>
      </c>
      <c r="E351" s="11">
        <v>2.0</v>
      </c>
      <c r="F351" s="12">
        <v>923.97</v>
      </c>
      <c r="G351" s="14" t="s">
        <v>21</v>
      </c>
      <c r="H351" s="11"/>
      <c r="I351" s="26"/>
      <c r="J351" s="12">
        <v>923.97</v>
      </c>
      <c r="K351" s="10">
        <v>44405.0</v>
      </c>
      <c r="L351" s="11">
        <v>1557.0</v>
      </c>
      <c r="M351" s="11"/>
      <c r="N351" s="10"/>
      <c r="O351" s="10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0">
        <v>44368.0</v>
      </c>
      <c r="B352" s="15">
        <v>1301.0</v>
      </c>
      <c r="C352" s="11" t="s">
        <v>75</v>
      </c>
      <c r="D352" s="11" t="s">
        <v>453</v>
      </c>
      <c r="E352" s="11">
        <v>1.0</v>
      </c>
      <c r="F352" s="12">
        <v>1230.68</v>
      </c>
      <c r="G352" s="11" t="s">
        <v>27</v>
      </c>
      <c r="H352" s="11"/>
      <c r="I352" s="26"/>
      <c r="J352" s="12"/>
      <c r="K352" s="10"/>
      <c r="L352" s="11"/>
      <c r="M352" s="11"/>
      <c r="N352" s="10"/>
      <c r="O352" s="10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0">
        <v>44368.0</v>
      </c>
      <c r="B353" s="15">
        <v>1301.0</v>
      </c>
      <c r="C353" s="11" t="s">
        <v>75</v>
      </c>
      <c r="D353" s="11" t="s">
        <v>454</v>
      </c>
      <c r="E353" s="11">
        <v>1.0</v>
      </c>
      <c r="F353" s="12">
        <v>1119.37</v>
      </c>
      <c r="G353" s="11" t="s">
        <v>27</v>
      </c>
      <c r="H353" s="11"/>
      <c r="I353" s="11"/>
      <c r="J353" s="12"/>
      <c r="K353" s="10"/>
      <c r="L353" s="11"/>
      <c r="M353" s="11"/>
      <c r="N353" s="10"/>
      <c r="O353" s="10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0">
        <v>44370.0</v>
      </c>
      <c r="B354" s="16">
        <v>1304.0</v>
      </c>
      <c r="C354" s="11" t="s">
        <v>77</v>
      </c>
      <c r="D354" s="11" t="s">
        <v>455</v>
      </c>
      <c r="E354" s="11">
        <v>1.0</v>
      </c>
      <c r="F354" s="12">
        <v>831.94</v>
      </c>
      <c r="G354" s="11" t="s">
        <v>167</v>
      </c>
      <c r="H354" s="11"/>
      <c r="I354" s="11"/>
      <c r="J354" s="12"/>
      <c r="K354" s="10"/>
      <c r="L354" s="11"/>
      <c r="M354" s="11"/>
      <c r="N354" s="10"/>
      <c r="O354" s="10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0">
        <v>44372.0</v>
      </c>
      <c r="B355" s="17">
        <v>1306.0</v>
      </c>
      <c r="C355" s="11" t="s">
        <v>77</v>
      </c>
      <c r="D355" s="11" t="s">
        <v>456</v>
      </c>
      <c r="E355" s="11">
        <v>2.0</v>
      </c>
      <c r="F355" s="12">
        <v>2305.7</v>
      </c>
      <c r="G355" s="11" t="s">
        <v>167</v>
      </c>
      <c r="H355" s="11"/>
      <c r="I355" s="11"/>
      <c r="J355" s="12"/>
      <c r="K355" s="10"/>
      <c r="L355" s="11"/>
      <c r="M355" s="11"/>
      <c r="N355" s="10"/>
      <c r="O355" s="10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8"/>
      <c r="B356" s="19"/>
      <c r="C356" s="19"/>
      <c r="D356" s="19"/>
      <c r="E356" s="19"/>
      <c r="F356" s="20"/>
      <c r="G356" s="19"/>
      <c r="H356" s="19"/>
      <c r="I356" s="19"/>
      <c r="J356" s="20"/>
      <c r="K356" s="18"/>
      <c r="L356" s="19"/>
      <c r="M356" s="19"/>
      <c r="N356" s="18"/>
      <c r="O356" s="18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0">
        <v>44378.0</v>
      </c>
      <c r="B357" s="13">
        <v>1308.0</v>
      </c>
      <c r="C357" s="11" t="s">
        <v>457</v>
      </c>
      <c r="D357" s="11" t="s">
        <v>458</v>
      </c>
      <c r="E357" s="11">
        <v>200.0</v>
      </c>
      <c r="F357" s="12" t="s">
        <v>459</v>
      </c>
      <c r="G357" s="11" t="s">
        <v>167</v>
      </c>
      <c r="H357" s="11"/>
      <c r="I357" s="11"/>
      <c r="J357" s="12"/>
      <c r="K357" s="10"/>
      <c r="L357" s="11"/>
      <c r="M357" s="11"/>
      <c r="N357" s="10"/>
      <c r="O357" s="10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0">
        <v>44378.0</v>
      </c>
      <c r="B358" s="15">
        <v>1308.0</v>
      </c>
      <c r="C358" s="11" t="s">
        <v>457</v>
      </c>
      <c r="D358" s="11" t="s">
        <v>460</v>
      </c>
      <c r="E358" s="11">
        <v>32.0</v>
      </c>
      <c r="F358" s="12" t="s">
        <v>461</v>
      </c>
      <c r="G358" s="11" t="s">
        <v>167</v>
      </c>
      <c r="H358" s="11"/>
      <c r="I358" s="11"/>
      <c r="J358" s="12"/>
      <c r="K358" s="10"/>
      <c r="L358" s="11"/>
      <c r="M358" s="11"/>
      <c r="N358" s="10"/>
      <c r="O358" s="10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0">
        <v>44378.0</v>
      </c>
      <c r="B359" s="15">
        <v>1308.0</v>
      </c>
      <c r="C359" s="11" t="s">
        <v>457</v>
      </c>
      <c r="D359" s="11" t="s">
        <v>462</v>
      </c>
      <c r="E359" s="11">
        <v>23.0</v>
      </c>
      <c r="F359" s="12" t="s">
        <v>463</v>
      </c>
      <c r="G359" s="11" t="s">
        <v>167</v>
      </c>
      <c r="H359" s="11"/>
      <c r="I359" s="11"/>
      <c r="J359" s="12"/>
      <c r="K359" s="10"/>
      <c r="L359" s="11"/>
      <c r="M359" s="11"/>
      <c r="N359" s="10"/>
      <c r="O359" s="10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0">
        <v>44379.0</v>
      </c>
      <c r="B360" s="13">
        <v>1309.0</v>
      </c>
      <c r="C360" s="11" t="s">
        <v>55</v>
      </c>
      <c r="D360" s="11" t="s">
        <v>464</v>
      </c>
      <c r="E360" s="11">
        <v>1.0</v>
      </c>
      <c r="F360" s="12">
        <v>809.8</v>
      </c>
      <c r="G360" s="11" t="s">
        <v>167</v>
      </c>
      <c r="H360" s="11"/>
      <c r="I360" s="11"/>
      <c r="J360" s="12"/>
      <c r="K360" s="10"/>
      <c r="L360" s="11"/>
      <c r="M360" s="11"/>
      <c r="N360" s="10"/>
      <c r="O360" s="10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0">
        <v>44379.0</v>
      </c>
      <c r="B361" s="15">
        <v>1309.0</v>
      </c>
      <c r="C361" s="11" t="s">
        <v>55</v>
      </c>
      <c r="D361" s="11" t="s">
        <v>464</v>
      </c>
      <c r="E361" s="11">
        <v>100.0</v>
      </c>
      <c r="F361" s="12" t="s">
        <v>465</v>
      </c>
      <c r="G361" s="11" t="s">
        <v>167</v>
      </c>
      <c r="H361" s="11"/>
      <c r="I361" s="11"/>
      <c r="J361" s="12"/>
      <c r="K361" s="10"/>
      <c r="L361" s="11"/>
      <c r="M361" s="11"/>
      <c r="N361" s="10"/>
      <c r="O361" s="10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0">
        <v>44379.0</v>
      </c>
      <c r="B362" s="15">
        <v>1309.0</v>
      </c>
      <c r="C362" s="11" t="s">
        <v>55</v>
      </c>
      <c r="D362" s="11" t="s">
        <v>466</v>
      </c>
      <c r="E362" s="11">
        <v>1.0</v>
      </c>
      <c r="F362" s="12">
        <v>885.7</v>
      </c>
      <c r="G362" s="11" t="s">
        <v>167</v>
      </c>
      <c r="H362" s="11"/>
      <c r="I362" s="11"/>
      <c r="J362" s="12"/>
      <c r="K362" s="10"/>
      <c r="L362" s="11"/>
      <c r="M362" s="11"/>
      <c r="N362" s="10"/>
      <c r="O362" s="10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0">
        <v>44379.0</v>
      </c>
      <c r="B363" s="15">
        <v>1309.0</v>
      </c>
      <c r="C363" s="11" t="s">
        <v>55</v>
      </c>
      <c r="D363" s="11" t="s">
        <v>466</v>
      </c>
      <c r="E363" s="11">
        <v>100.0</v>
      </c>
      <c r="F363" s="12" t="s">
        <v>467</v>
      </c>
      <c r="G363" s="11" t="s">
        <v>167</v>
      </c>
      <c r="H363" s="11"/>
      <c r="I363" s="11"/>
      <c r="J363" s="12"/>
      <c r="K363" s="10"/>
      <c r="L363" s="11"/>
      <c r="M363" s="11"/>
      <c r="N363" s="10"/>
      <c r="O363" s="10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0">
        <v>44379.0</v>
      </c>
      <c r="B364" s="15">
        <v>1309.0</v>
      </c>
      <c r="C364" s="11" t="s">
        <v>55</v>
      </c>
      <c r="D364" s="11" t="s">
        <v>468</v>
      </c>
      <c r="E364" s="11">
        <v>1.0</v>
      </c>
      <c r="F364" s="12">
        <v>1101.25</v>
      </c>
      <c r="G364" s="11" t="s">
        <v>167</v>
      </c>
      <c r="H364" s="11"/>
      <c r="I364" s="11"/>
      <c r="J364" s="12"/>
      <c r="K364" s="10"/>
      <c r="L364" s="11"/>
      <c r="M364" s="11"/>
      <c r="N364" s="10"/>
      <c r="O364" s="10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0">
        <v>44379.0</v>
      </c>
      <c r="B365" s="15">
        <v>1309.0</v>
      </c>
      <c r="C365" s="11" t="s">
        <v>55</v>
      </c>
      <c r="D365" s="11" t="s">
        <v>468</v>
      </c>
      <c r="E365" s="11">
        <v>100.0</v>
      </c>
      <c r="F365" s="12" t="s">
        <v>469</v>
      </c>
      <c r="G365" s="11" t="s">
        <v>167</v>
      </c>
      <c r="H365" s="11"/>
      <c r="I365" s="11"/>
      <c r="J365" s="12"/>
      <c r="K365" s="10"/>
      <c r="L365" s="11"/>
      <c r="M365" s="11"/>
      <c r="N365" s="10"/>
      <c r="O365" s="10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0">
        <v>44379.0</v>
      </c>
      <c r="B366" s="15">
        <v>1309.0</v>
      </c>
      <c r="C366" s="11" t="s">
        <v>55</v>
      </c>
      <c r="D366" s="11" t="s">
        <v>470</v>
      </c>
      <c r="E366" s="11">
        <v>1.0</v>
      </c>
      <c r="F366" s="12">
        <v>1175.63</v>
      </c>
      <c r="G366" s="11" t="s">
        <v>167</v>
      </c>
      <c r="H366" s="11"/>
      <c r="I366" s="11"/>
      <c r="J366" s="12"/>
      <c r="K366" s="10"/>
      <c r="L366" s="11"/>
      <c r="M366" s="11"/>
      <c r="N366" s="10"/>
      <c r="O366" s="10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0">
        <v>44379.0</v>
      </c>
      <c r="B367" s="17">
        <v>1309.0</v>
      </c>
      <c r="C367" s="11" t="s">
        <v>55</v>
      </c>
      <c r="D367" s="11" t="s">
        <v>470</v>
      </c>
      <c r="E367" s="11">
        <v>100.0</v>
      </c>
      <c r="F367" s="12" t="s">
        <v>471</v>
      </c>
      <c r="G367" s="11" t="s">
        <v>167</v>
      </c>
      <c r="H367" s="11"/>
      <c r="I367" s="11"/>
      <c r="J367" s="12"/>
      <c r="K367" s="10"/>
      <c r="L367" s="11"/>
      <c r="M367" s="11"/>
      <c r="N367" s="10"/>
      <c r="O367" s="10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0">
        <v>44382.0</v>
      </c>
      <c r="B368" s="15">
        <v>1310.0</v>
      </c>
      <c r="C368" s="11" t="s">
        <v>44</v>
      </c>
      <c r="D368" s="11" t="s">
        <v>221</v>
      </c>
      <c r="E368" s="11">
        <v>3.0</v>
      </c>
      <c r="F368" s="12" t="s">
        <v>472</v>
      </c>
      <c r="G368" s="14" t="s">
        <v>180</v>
      </c>
      <c r="H368" s="11"/>
      <c r="I368" s="11"/>
      <c r="J368" s="12">
        <v>2755.47</v>
      </c>
      <c r="K368" s="10">
        <v>44382.0</v>
      </c>
      <c r="L368" s="11">
        <v>1541.0</v>
      </c>
      <c r="M368" s="11"/>
      <c r="N368" s="10"/>
      <c r="O368" s="10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0">
        <v>44382.0</v>
      </c>
      <c r="B369" s="15">
        <v>1310.0</v>
      </c>
      <c r="C369" s="11" t="s">
        <v>44</v>
      </c>
      <c r="D369" s="11" t="s">
        <v>261</v>
      </c>
      <c r="E369" s="11">
        <v>2.0</v>
      </c>
      <c r="F369" s="12">
        <v>3064.68</v>
      </c>
      <c r="G369" s="14" t="s">
        <v>180</v>
      </c>
      <c r="H369" s="11"/>
      <c r="I369" s="11"/>
      <c r="J369" s="12">
        <v>3064.68</v>
      </c>
      <c r="K369" s="10">
        <v>44382.0</v>
      </c>
      <c r="L369" s="11">
        <v>1541.0</v>
      </c>
      <c r="M369" s="11"/>
      <c r="N369" s="10"/>
      <c r="O369" s="10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0">
        <v>44396.0</v>
      </c>
      <c r="B370" s="16">
        <v>1314.0</v>
      </c>
      <c r="C370" s="11" t="s">
        <v>457</v>
      </c>
      <c r="D370" s="11" t="s">
        <v>473</v>
      </c>
      <c r="E370" s="11">
        <v>6.0</v>
      </c>
      <c r="F370" s="12">
        <v>266.13</v>
      </c>
      <c r="G370" s="11" t="s">
        <v>27</v>
      </c>
      <c r="H370" s="11"/>
      <c r="I370" s="11"/>
      <c r="J370" s="12"/>
      <c r="K370" s="10"/>
      <c r="L370" s="11"/>
      <c r="M370" s="11"/>
      <c r="N370" s="10"/>
      <c r="O370" s="10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0">
        <v>44396.0</v>
      </c>
      <c r="B371" s="11"/>
      <c r="C371" s="11" t="s">
        <v>457</v>
      </c>
      <c r="D371" s="11" t="s">
        <v>474</v>
      </c>
      <c r="E371" s="11">
        <v>18.0</v>
      </c>
      <c r="F371" s="12">
        <v>986.85</v>
      </c>
      <c r="G371" s="11" t="s">
        <v>27</v>
      </c>
      <c r="H371" s="11"/>
      <c r="I371" s="11"/>
      <c r="J371" s="12"/>
      <c r="K371" s="10"/>
      <c r="L371" s="11"/>
      <c r="M371" s="11"/>
      <c r="N371" s="10"/>
      <c r="O371" s="10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0">
        <v>44396.0</v>
      </c>
      <c r="B372" s="13">
        <v>1314.0</v>
      </c>
      <c r="C372" s="11" t="s">
        <v>457</v>
      </c>
      <c r="D372" s="11" t="s">
        <v>475</v>
      </c>
      <c r="E372" s="11">
        <v>6.0</v>
      </c>
      <c r="F372" s="12">
        <v>291.16</v>
      </c>
      <c r="G372" s="11" t="s">
        <v>27</v>
      </c>
      <c r="H372" s="11"/>
      <c r="I372" s="11"/>
      <c r="J372" s="12"/>
      <c r="K372" s="10"/>
      <c r="L372" s="11"/>
      <c r="M372" s="11"/>
      <c r="N372" s="10"/>
      <c r="O372" s="10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0">
        <v>44396.0</v>
      </c>
      <c r="B373" s="15">
        <v>1314.0</v>
      </c>
      <c r="C373" s="11" t="s">
        <v>457</v>
      </c>
      <c r="D373" s="11" t="s">
        <v>476</v>
      </c>
      <c r="E373" s="11">
        <v>4.0</v>
      </c>
      <c r="F373" s="12" t="s">
        <v>477</v>
      </c>
      <c r="G373" s="11" t="s">
        <v>27</v>
      </c>
      <c r="H373" s="11"/>
      <c r="I373" s="11"/>
      <c r="J373" s="12"/>
      <c r="K373" s="10"/>
      <c r="L373" s="11"/>
      <c r="M373" s="11"/>
      <c r="N373" s="10"/>
      <c r="O373" s="10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0">
        <v>44396.0</v>
      </c>
      <c r="B374" s="15">
        <v>1314.0</v>
      </c>
      <c r="C374" s="11" t="s">
        <v>457</v>
      </c>
      <c r="D374" s="11" t="s">
        <v>478</v>
      </c>
      <c r="E374" s="11">
        <v>4.0</v>
      </c>
      <c r="F374" s="12">
        <v>514.72</v>
      </c>
      <c r="G374" s="11" t="s">
        <v>27</v>
      </c>
      <c r="H374" s="11"/>
      <c r="I374" s="11"/>
      <c r="J374" s="12"/>
      <c r="K374" s="10"/>
      <c r="L374" s="11"/>
      <c r="M374" s="11"/>
      <c r="N374" s="10"/>
      <c r="O374" s="10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0">
        <v>44384.0</v>
      </c>
      <c r="B375" s="16">
        <v>1315.0</v>
      </c>
      <c r="C375" s="11" t="s">
        <v>320</v>
      </c>
      <c r="D375" s="11" t="s">
        <v>479</v>
      </c>
      <c r="E375" s="11">
        <v>2.0</v>
      </c>
      <c r="F375" s="12">
        <v>6618.68</v>
      </c>
      <c r="G375" s="14" t="s">
        <v>180</v>
      </c>
      <c r="H375" s="11"/>
      <c r="I375" s="11"/>
      <c r="J375" s="12">
        <v>6618.68</v>
      </c>
      <c r="K375" s="10">
        <v>44593.0</v>
      </c>
      <c r="L375" s="11">
        <v>1681.0</v>
      </c>
      <c r="M375" s="11"/>
      <c r="N375" s="10"/>
      <c r="O375" s="10">
        <v>44621.0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0">
        <v>44384.0</v>
      </c>
      <c r="B376" s="15">
        <v>1317.0</v>
      </c>
      <c r="C376" s="11" t="s">
        <v>44</v>
      </c>
      <c r="D376" s="11" t="s">
        <v>480</v>
      </c>
      <c r="E376" s="11">
        <v>1.0</v>
      </c>
      <c r="F376" s="12" t="s">
        <v>481</v>
      </c>
      <c r="G376" s="11" t="s">
        <v>167</v>
      </c>
      <c r="H376" s="11"/>
      <c r="I376" s="11"/>
      <c r="J376" s="12"/>
      <c r="K376" s="10"/>
      <c r="L376" s="11"/>
      <c r="M376" s="11"/>
      <c r="N376" s="10"/>
      <c r="O376" s="10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0">
        <v>44384.0</v>
      </c>
      <c r="B377" s="13">
        <v>1318.0</v>
      </c>
      <c r="C377" s="11" t="s">
        <v>44</v>
      </c>
      <c r="D377" s="11" t="s">
        <v>482</v>
      </c>
      <c r="E377" s="11">
        <v>1.0</v>
      </c>
      <c r="F377" s="12" t="s">
        <v>483</v>
      </c>
      <c r="G377" s="11" t="s">
        <v>167</v>
      </c>
      <c r="H377" s="11"/>
      <c r="I377" s="11"/>
      <c r="J377" s="12"/>
      <c r="K377" s="10"/>
      <c r="L377" s="11"/>
      <c r="M377" s="11"/>
      <c r="N377" s="10"/>
      <c r="O377" s="10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0">
        <v>44384.0</v>
      </c>
      <c r="B378" s="15">
        <v>1318.0</v>
      </c>
      <c r="C378" s="11" t="s">
        <v>44</v>
      </c>
      <c r="D378" s="11" t="s">
        <v>484</v>
      </c>
      <c r="E378" s="11">
        <v>1.0</v>
      </c>
      <c r="F378" s="12">
        <v>9055.11</v>
      </c>
      <c r="G378" s="11" t="s">
        <v>167</v>
      </c>
      <c r="H378" s="11"/>
      <c r="I378" s="11"/>
      <c r="J378" s="12"/>
      <c r="K378" s="10"/>
      <c r="L378" s="11"/>
      <c r="M378" s="11"/>
      <c r="N378" s="10"/>
      <c r="O378" s="10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0">
        <v>44384.0</v>
      </c>
      <c r="B379" s="17">
        <v>1318.0</v>
      </c>
      <c r="C379" s="11" t="s">
        <v>44</v>
      </c>
      <c r="D379" s="11" t="s">
        <v>485</v>
      </c>
      <c r="E379" s="11">
        <v>1.0</v>
      </c>
      <c r="F379" s="12" t="s">
        <v>486</v>
      </c>
      <c r="G379" s="11" t="s">
        <v>167</v>
      </c>
      <c r="H379" s="11"/>
      <c r="I379" s="11"/>
      <c r="J379" s="12"/>
      <c r="K379" s="10"/>
      <c r="L379" s="11"/>
      <c r="M379" s="11"/>
      <c r="N379" s="10"/>
      <c r="O379" s="10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0">
        <v>44384.0</v>
      </c>
      <c r="B380" s="15">
        <v>1320.0</v>
      </c>
      <c r="C380" s="11" t="s">
        <v>19</v>
      </c>
      <c r="D380" s="11" t="s">
        <v>487</v>
      </c>
      <c r="E380" s="11">
        <v>150.0</v>
      </c>
      <c r="F380" s="12">
        <v>5100.0</v>
      </c>
      <c r="G380" s="14" t="s">
        <v>21</v>
      </c>
      <c r="H380" s="11"/>
      <c r="I380" s="11"/>
      <c r="J380" s="12">
        <v>5100.0</v>
      </c>
      <c r="K380" s="10">
        <v>44440.0</v>
      </c>
      <c r="L380" s="11">
        <v>1575.0</v>
      </c>
      <c r="M380" s="11"/>
      <c r="N380" s="10"/>
      <c r="O380" s="10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0">
        <v>44384.0</v>
      </c>
      <c r="B381" s="13">
        <v>1321.0</v>
      </c>
      <c r="C381" s="11" t="s">
        <v>488</v>
      </c>
      <c r="D381" s="11" t="s">
        <v>446</v>
      </c>
      <c r="E381" s="11">
        <v>7.0</v>
      </c>
      <c r="F381" s="12">
        <v>1151.64</v>
      </c>
      <c r="G381" s="14" t="s">
        <v>180</v>
      </c>
      <c r="H381" s="11"/>
      <c r="I381" s="11"/>
      <c r="J381" s="12">
        <v>1151.64</v>
      </c>
      <c r="K381" s="10">
        <v>44397.0</v>
      </c>
      <c r="L381" s="11">
        <v>1553.0</v>
      </c>
      <c r="M381" s="11"/>
      <c r="N381" s="10"/>
      <c r="O381" s="10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0">
        <v>44384.0</v>
      </c>
      <c r="B382" s="17">
        <v>1321.0</v>
      </c>
      <c r="C382" s="11" t="s">
        <v>488</v>
      </c>
      <c r="D382" s="11" t="s">
        <v>489</v>
      </c>
      <c r="E382" s="11">
        <v>7.0</v>
      </c>
      <c r="F382" s="12">
        <v>2202.03</v>
      </c>
      <c r="G382" s="14" t="s">
        <v>180</v>
      </c>
      <c r="H382" s="11"/>
      <c r="I382" s="11"/>
      <c r="J382" s="12">
        <v>2202.03</v>
      </c>
      <c r="K382" s="10">
        <v>44412.0</v>
      </c>
      <c r="L382" s="11">
        <v>1559.0</v>
      </c>
      <c r="M382" s="11"/>
      <c r="N382" s="10"/>
      <c r="O382" s="10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0">
        <v>44384.0</v>
      </c>
      <c r="B383" s="13">
        <v>1322.0</v>
      </c>
      <c r="C383" s="11" t="s">
        <v>490</v>
      </c>
      <c r="D383" s="11" t="s">
        <v>491</v>
      </c>
      <c r="E383" s="11">
        <v>1.0</v>
      </c>
      <c r="F383" s="12">
        <v>998.95</v>
      </c>
      <c r="G383" s="11" t="s">
        <v>167</v>
      </c>
      <c r="H383" s="11"/>
      <c r="I383" s="11"/>
      <c r="J383" s="12"/>
      <c r="K383" s="10"/>
      <c r="L383" s="11"/>
      <c r="M383" s="11"/>
      <c r="N383" s="10"/>
      <c r="O383" s="10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0">
        <v>44384.0</v>
      </c>
      <c r="B384" s="15">
        <v>1322.0</v>
      </c>
      <c r="C384" s="11" t="s">
        <v>490</v>
      </c>
      <c r="D384" s="11" t="s">
        <v>492</v>
      </c>
      <c r="E384" s="11">
        <v>1.0</v>
      </c>
      <c r="F384" s="12">
        <v>3215.63</v>
      </c>
      <c r="G384" s="11" t="s">
        <v>167</v>
      </c>
      <c r="H384" s="11"/>
      <c r="I384" s="11"/>
      <c r="J384" s="12"/>
      <c r="K384" s="10"/>
      <c r="L384" s="11"/>
      <c r="M384" s="11"/>
      <c r="N384" s="10"/>
      <c r="O384" s="10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0">
        <v>44384.0</v>
      </c>
      <c r="B385" s="15">
        <v>1322.0</v>
      </c>
      <c r="C385" s="11" t="s">
        <v>490</v>
      </c>
      <c r="D385" s="11" t="s">
        <v>493</v>
      </c>
      <c r="E385" s="11">
        <v>1.0</v>
      </c>
      <c r="F385" s="12">
        <v>2822.72</v>
      </c>
      <c r="G385" s="11" t="s">
        <v>167</v>
      </c>
      <c r="H385" s="11"/>
      <c r="I385" s="11"/>
      <c r="J385" s="12"/>
      <c r="K385" s="10"/>
      <c r="L385" s="11"/>
      <c r="M385" s="11"/>
      <c r="N385" s="10"/>
      <c r="O385" s="10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0">
        <v>44384.0</v>
      </c>
      <c r="B386" s="15">
        <v>1322.0</v>
      </c>
      <c r="C386" s="11" t="s">
        <v>490</v>
      </c>
      <c r="D386" s="11" t="s">
        <v>494</v>
      </c>
      <c r="E386" s="11">
        <v>1.0</v>
      </c>
      <c r="F386" s="12">
        <v>6929.26</v>
      </c>
      <c r="G386" s="11" t="s">
        <v>167</v>
      </c>
      <c r="H386" s="11"/>
      <c r="I386" s="11"/>
      <c r="J386" s="12"/>
      <c r="K386" s="10"/>
      <c r="L386" s="11"/>
      <c r="M386" s="11"/>
      <c r="N386" s="10"/>
      <c r="O386" s="10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">
        <v>44384.0</v>
      </c>
      <c r="B387" s="15">
        <v>1322.0</v>
      </c>
      <c r="C387" s="11" t="s">
        <v>490</v>
      </c>
      <c r="D387" s="11" t="s">
        <v>254</v>
      </c>
      <c r="E387" s="11">
        <v>1.0</v>
      </c>
      <c r="F387" s="12">
        <v>297.97</v>
      </c>
      <c r="G387" s="11" t="s">
        <v>167</v>
      </c>
      <c r="H387" s="11"/>
      <c r="I387" s="11"/>
      <c r="J387" s="12"/>
      <c r="K387" s="10"/>
      <c r="L387" s="11"/>
      <c r="M387" s="11"/>
      <c r="N387" s="10"/>
      <c r="O387" s="10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0">
        <v>44384.0</v>
      </c>
      <c r="B388" s="17">
        <v>1322.0</v>
      </c>
      <c r="C388" s="11" t="s">
        <v>490</v>
      </c>
      <c r="D388" s="11" t="s">
        <v>495</v>
      </c>
      <c r="E388" s="11">
        <v>1.0</v>
      </c>
      <c r="F388" s="12">
        <v>165.52</v>
      </c>
      <c r="G388" s="11" t="s">
        <v>167</v>
      </c>
      <c r="H388" s="11"/>
      <c r="I388" s="11"/>
      <c r="J388" s="12"/>
      <c r="K388" s="10"/>
      <c r="L388" s="11"/>
      <c r="M388" s="11"/>
      <c r="N388" s="10"/>
      <c r="O388" s="10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0">
        <v>44390.0</v>
      </c>
      <c r="B389" s="13">
        <v>1327.0</v>
      </c>
      <c r="C389" s="11" t="s">
        <v>19</v>
      </c>
      <c r="D389" s="11" t="s">
        <v>496</v>
      </c>
      <c r="E389" s="11">
        <v>10.0</v>
      </c>
      <c r="F389" s="12" t="s">
        <v>497</v>
      </c>
      <c r="G389" s="11" t="s">
        <v>167</v>
      </c>
      <c r="H389" s="11"/>
      <c r="I389" s="11"/>
      <c r="J389" s="12"/>
      <c r="K389" s="10"/>
      <c r="L389" s="11"/>
      <c r="M389" s="11"/>
      <c r="N389" s="10"/>
      <c r="O389" s="10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0">
        <v>44390.0</v>
      </c>
      <c r="B390" s="17">
        <v>1327.0</v>
      </c>
      <c r="C390" s="11" t="s">
        <v>19</v>
      </c>
      <c r="D390" s="11" t="s">
        <v>498</v>
      </c>
      <c r="E390" s="11">
        <v>10.0</v>
      </c>
      <c r="F390" s="12" t="s">
        <v>499</v>
      </c>
      <c r="G390" s="11" t="s">
        <v>167</v>
      </c>
      <c r="H390" s="11"/>
      <c r="I390" s="11"/>
      <c r="J390" s="12"/>
      <c r="K390" s="10"/>
      <c r="L390" s="11"/>
      <c r="M390" s="11"/>
      <c r="N390" s="10"/>
      <c r="O390" s="10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0">
        <v>44393.0</v>
      </c>
      <c r="B391" s="16">
        <v>1328.0</v>
      </c>
      <c r="C391" s="11" t="s">
        <v>19</v>
      </c>
      <c r="D391" s="11" t="s">
        <v>20</v>
      </c>
      <c r="E391" s="11">
        <v>140.0</v>
      </c>
      <c r="F391" s="12">
        <v>914.2</v>
      </c>
      <c r="G391" s="14" t="s">
        <v>21</v>
      </c>
      <c r="H391" s="11"/>
      <c r="I391" s="11"/>
      <c r="J391" s="12">
        <v>914.2</v>
      </c>
      <c r="K391" s="10">
        <v>44405.0</v>
      </c>
      <c r="L391" s="11">
        <v>1556.0</v>
      </c>
      <c r="M391" s="11"/>
      <c r="N391" s="10"/>
      <c r="O391" s="10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0">
        <v>44392.0</v>
      </c>
      <c r="B392" s="17">
        <v>1329.0</v>
      </c>
      <c r="C392" s="11" t="s">
        <v>457</v>
      </c>
      <c r="D392" s="11" t="s">
        <v>500</v>
      </c>
      <c r="E392" s="11">
        <v>10.0</v>
      </c>
      <c r="F392" s="12" t="s">
        <v>501</v>
      </c>
      <c r="G392" s="14" t="s">
        <v>21</v>
      </c>
      <c r="H392" s="11"/>
      <c r="I392" s="11"/>
      <c r="J392" s="12">
        <v>21271.08</v>
      </c>
      <c r="K392" s="10">
        <v>44529.0</v>
      </c>
      <c r="L392" s="11">
        <v>1629.0</v>
      </c>
      <c r="M392" s="11"/>
      <c r="N392" s="10"/>
      <c r="O392" s="10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0">
        <v>44393.0</v>
      </c>
      <c r="B393" s="11"/>
      <c r="C393" s="11" t="s">
        <v>39</v>
      </c>
      <c r="D393" s="11" t="s">
        <v>502</v>
      </c>
      <c r="E393" s="11"/>
      <c r="F393" s="12"/>
      <c r="G393" s="11" t="s">
        <v>448</v>
      </c>
      <c r="H393" s="11"/>
      <c r="I393" s="11"/>
      <c r="J393" s="12"/>
      <c r="K393" s="10"/>
      <c r="L393" s="11"/>
      <c r="M393" s="11"/>
      <c r="N393" s="10"/>
      <c r="O393" s="10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0">
        <v>44396.0</v>
      </c>
      <c r="B394" s="16">
        <v>1333.0</v>
      </c>
      <c r="C394" s="11" t="s">
        <v>39</v>
      </c>
      <c r="D394" s="11" t="s">
        <v>503</v>
      </c>
      <c r="E394" s="11">
        <v>12.0</v>
      </c>
      <c r="F394" s="12">
        <v>2954.09</v>
      </c>
      <c r="G394" s="11" t="s">
        <v>167</v>
      </c>
      <c r="H394" s="11"/>
      <c r="I394" s="11"/>
      <c r="J394" s="12"/>
      <c r="K394" s="10"/>
      <c r="L394" s="11"/>
      <c r="M394" s="11"/>
      <c r="N394" s="10"/>
      <c r="O394" s="10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0">
        <v>44396.0</v>
      </c>
      <c r="B395" s="11"/>
      <c r="C395" s="11" t="s">
        <v>504</v>
      </c>
      <c r="D395" s="11"/>
      <c r="E395" s="11">
        <v>1.0</v>
      </c>
      <c r="F395" s="12">
        <v>918.78</v>
      </c>
      <c r="G395" s="11" t="s">
        <v>448</v>
      </c>
      <c r="H395" s="11"/>
      <c r="I395" s="11"/>
      <c r="J395" s="12"/>
      <c r="K395" s="10"/>
      <c r="L395" s="11"/>
      <c r="M395" s="11"/>
      <c r="N395" s="10"/>
      <c r="O395" s="10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0">
        <v>44396.0</v>
      </c>
      <c r="B396" s="11"/>
      <c r="C396" s="11"/>
      <c r="D396" s="11" t="s">
        <v>505</v>
      </c>
      <c r="E396" s="11"/>
      <c r="F396" s="12"/>
      <c r="G396" s="11" t="s">
        <v>448</v>
      </c>
      <c r="H396" s="11"/>
      <c r="I396" s="11"/>
      <c r="J396" s="12"/>
      <c r="K396" s="10"/>
      <c r="L396" s="11"/>
      <c r="M396" s="11"/>
      <c r="N396" s="10"/>
      <c r="O396" s="10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0">
        <v>44396.0</v>
      </c>
      <c r="B397" s="11"/>
      <c r="C397" s="11"/>
      <c r="D397" s="11" t="s">
        <v>506</v>
      </c>
      <c r="E397" s="11"/>
      <c r="F397" s="12"/>
      <c r="G397" s="11" t="s">
        <v>448</v>
      </c>
      <c r="H397" s="11"/>
      <c r="I397" s="11"/>
      <c r="J397" s="12"/>
      <c r="K397" s="10"/>
      <c r="L397" s="11"/>
      <c r="M397" s="11"/>
      <c r="N397" s="10"/>
      <c r="O397" s="10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0">
        <v>44397.0</v>
      </c>
      <c r="B398" s="13">
        <v>1331.0</v>
      </c>
      <c r="C398" s="11" t="s">
        <v>39</v>
      </c>
      <c r="D398" s="29" t="s">
        <v>507</v>
      </c>
      <c r="E398" s="11">
        <v>50.0</v>
      </c>
      <c r="F398" s="12">
        <v>1380.21</v>
      </c>
      <c r="G398" s="14" t="s">
        <v>21</v>
      </c>
      <c r="H398" s="11"/>
      <c r="I398" s="11"/>
      <c r="J398" s="12">
        <v>1380.21</v>
      </c>
      <c r="K398" s="10">
        <v>44452.0</v>
      </c>
      <c r="L398" s="11">
        <v>1582.0</v>
      </c>
      <c r="M398" s="11"/>
      <c r="N398" s="10"/>
      <c r="O398" s="10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0">
        <v>44397.0</v>
      </c>
      <c r="B399" s="13">
        <v>1332.0</v>
      </c>
      <c r="C399" s="11" t="s">
        <v>457</v>
      </c>
      <c r="D399" s="11" t="s">
        <v>508</v>
      </c>
      <c r="E399" s="11">
        <v>5.0</v>
      </c>
      <c r="F399" s="12">
        <v>2894.16</v>
      </c>
      <c r="G399" s="11" t="s">
        <v>167</v>
      </c>
      <c r="H399" s="11"/>
      <c r="I399" s="11"/>
      <c r="J399" s="12"/>
      <c r="K399" s="10"/>
      <c r="L399" s="11"/>
      <c r="M399" s="11"/>
      <c r="N399" s="10"/>
      <c r="O399" s="10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0">
        <v>44397.0</v>
      </c>
      <c r="B400" s="17">
        <v>1332.0</v>
      </c>
      <c r="C400" s="11" t="s">
        <v>457</v>
      </c>
      <c r="D400" s="11" t="s">
        <v>509</v>
      </c>
      <c r="E400" s="11"/>
      <c r="F400" s="12"/>
      <c r="G400" s="11" t="s">
        <v>167</v>
      </c>
      <c r="H400" s="11"/>
      <c r="I400" s="11"/>
      <c r="J400" s="12"/>
      <c r="K400" s="10"/>
      <c r="L400" s="11"/>
      <c r="M400" s="11"/>
      <c r="N400" s="10"/>
      <c r="O400" s="10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0">
        <v>44397.0</v>
      </c>
      <c r="B401" s="17">
        <v>1334.0</v>
      </c>
      <c r="C401" s="11" t="s">
        <v>457</v>
      </c>
      <c r="D401" s="11" t="s">
        <v>510</v>
      </c>
      <c r="E401" s="11">
        <v>2.0</v>
      </c>
      <c r="F401" s="12" t="s">
        <v>511</v>
      </c>
      <c r="G401" s="11" t="s">
        <v>167</v>
      </c>
      <c r="H401" s="11"/>
      <c r="I401" s="11"/>
      <c r="J401" s="12"/>
      <c r="K401" s="10"/>
      <c r="L401" s="11"/>
      <c r="M401" s="11"/>
      <c r="N401" s="10"/>
      <c r="O401" s="10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0">
        <v>44398.0</v>
      </c>
      <c r="B402" s="11"/>
      <c r="C402" s="11" t="s">
        <v>512</v>
      </c>
      <c r="D402" s="11" t="s">
        <v>513</v>
      </c>
      <c r="E402" s="11"/>
      <c r="F402" s="12"/>
      <c r="G402" s="11" t="s">
        <v>241</v>
      </c>
      <c r="H402" s="11"/>
      <c r="I402" s="11"/>
      <c r="J402" s="12"/>
      <c r="K402" s="10"/>
      <c r="L402" s="11"/>
      <c r="M402" s="11"/>
      <c r="N402" s="10"/>
      <c r="O402" s="10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0">
        <v>44403.0</v>
      </c>
      <c r="B403" s="13">
        <v>1342.0</v>
      </c>
      <c r="C403" s="11" t="s">
        <v>164</v>
      </c>
      <c r="D403" s="11" t="s">
        <v>514</v>
      </c>
      <c r="E403" s="11">
        <v>8.0</v>
      </c>
      <c r="F403" s="12">
        <v>1815.76</v>
      </c>
      <c r="G403" s="11" t="s">
        <v>167</v>
      </c>
      <c r="H403" s="11"/>
      <c r="I403" s="11"/>
      <c r="J403" s="12"/>
      <c r="K403" s="10"/>
      <c r="L403" s="11"/>
      <c r="M403" s="11"/>
      <c r="N403" s="10"/>
      <c r="O403" s="10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0">
        <v>44403.0</v>
      </c>
      <c r="B404" s="15">
        <v>1342.0</v>
      </c>
      <c r="C404" s="11" t="s">
        <v>164</v>
      </c>
      <c r="D404" s="11" t="s">
        <v>514</v>
      </c>
      <c r="E404" s="11">
        <v>8.0</v>
      </c>
      <c r="F404" s="12">
        <v>3068.48</v>
      </c>
      <c r="G404" s="11" t="s">
        <v>167</v>
      </c>
      <c r="H404" s="11"/>
      <c r="I404" s="11"/>
      <c r="J404" s="12"/>
      <c r="K404" s="10"/>
      <c r="L404" s="11"/>
      <c r="M404" s="11"/>
      <c r="N404" s="10"/>
      <c r="O404" s="10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0">
        <v>44403.0</v>
      </c>
      <c r="B405" s="15">
        <v>1342.0</v>
      </c>
      <c r="C405" s="11" t="s">
        <v>164</v>
      </c>
      <c r="D405" s="11" t="s">
        <v>515</v>
      </c>
      <c r="E405" s="11">
        <v>6.0</v>
      </c>
      <c r="F405" s="12">
        <v>1486.2</v>
      </c>
      <c r="G405" s="11" t="s">
        <v>167</v>
      </c>
      <c r="H405" s="11"/>
      <c r="I405" s="11"/>
      <c r="J405" s="12"/>
      <c r="K405" s="10"/>
      <c r="L405" s="11"/>
      <c r="M405" s="11"/>
      <c r="N405" s="10"/>
      <c r="O405" s="10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0">
        <v>44403.0</v>
      </c>
      <c r="B406" s="15">
        <v>1342.0</v>
      </c>
      <c r="C406" s="11" t="s">
        <v>164</v>
      </c>
      <c r="D406" s="11" t="s">
        <v>515</v>
      </c>
      <c r="E406" s="11">
        <v>6.0</v>
      </c>
      <c r="F406" s="12">
        <v>1751.13</v>
      </c>
      <c r="G406" s="11" t="s">
        <v>167</v>
      </c>
      <c r="H406" s="11"/>
      <c r="I406" s="11"/>
      <c r="J406" s="12"/>
      <c r="K406" s="10"/>
      <c r="L406" s="11"/>
      <c r="M406" s="11"/>
      <c r="N406" s="10"/>
      <c r="O406" s="10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0">
        <v>44403.0</v>
      </c>
      <c r="B407" s="17">
        <v>1342.0</v>
      </c>
      <c r="C407" s="11" t="s">
        <v>164</v>
      </c>
      <c r="D407" s="11" t="s">
        <v>516</v>
      </c>
      <c r="E407" s="11">
        <v>6.0</v>
      </c>
      <c r="F407" s="12">
        <v>803.61</v>
      </c>
      <c r="G407" s="11" t="s">
        <v>167</v>
      </c>
      <c r="H407" s="11"/>
      <c r="I407" s="11"/>
      <c r="J407" s="12"/>
      <c r="K407" s="10"/>
      <c r="L407" s="11"/>
      <c r="M407" s="11"/>
      <c r="N407" s="10"/>
      <c r="O407" s="10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0">
        <v>44398.0</v>
      </c>
      <c r="B408" s="11"/>
      <c r="C408" s="11" t="s">
        <v>512</v>
      </c>
      <c r="D408" s="11" t="s">
        <v>517</v>
      </c>
      <c r="E408" s="11"/>
      <c r="F408" s="12"/>
      <c r="G408" s="11" t="s">
        <v>241</v>
      </c>
      <c r="H408" s="11"/>
      <c r="I408" s="11"/>
      <c r="J408" s="12"/>
      <c r="K408" s="10"/>
      <c r="L408" s="11"/>
      <c r="M408" s="11"/>
      <c r="N408" s="10"/>
      <c r="O408" s="10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10">
        <v>44399.0</v>
      </c>
      <c r="B409" s="13">
        <v>1345.0</v>
      </c>
      <c r="C409" s="11" t="s">
        <v>39</v>
      </c>
      <c r="D409" s="11" t="s">
        <v>195</v>
      </c>
      <c r="E409" s="11">
        <v>2.0</v>
      </c>
      <c r="F409" s="12">
        <v>9114.06</v>
      </c>
      <c r="G409" s="14" t="s">
        <v>21</v>
      </c>
      <c r="H409" s="11"/>
      <c r="I409" s="11"/>
      <c r="J409" s="12">
        <v>4557.03</v>
      </c>
      <c r="K409" s="10">
        <v>44512.0</v>
      </c>
      <c r="L409" s="11">
        <v>1616.0</v>
      </c>
      <c r="M409" s="11"/>
      <c r="N409" s="10"/>
      <c r="O409" s="10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10">
        <v>44399.0</v>
      </c>
      <c r="B410" s="15">
        <v>1345.0</v>
      </c>
      <c r="C410" s="11" t="s">
        <v>39</v>
      </c>
      <c r="D410" s="11" t="s">
        <v>518</v>
      </c>
      <c r="E410" s="11"/>
      <c r="F410" s="12"/>
      <c r="G410" s="14" t="s">
        <v>180</v>
      </c>
      <c r="H410" s="11"/>
      <c r="I410" s="11"/>
      <c r="J410" s="12">
        <v>4557.03</v>
      </c>
      <c r="K410" s="10">
        <v>44539.0</v>
      </c>
      <c r="L410" s="11">
        <v>1645.0</v>
      </c>
      <c r="M410" s="11"/>
      <c r="N410" s="10"/>
      <c r="O410" s="10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0">
        <v>44399.0</v>
      </c>
      <c r="B411" s="15">
        <v>1345.0</v>
      </c>
      <c r="C411" s="11" t="s">
        <v>39</v>
      </c>
      <c r="D411" s="11" t="s">
        <v>431</v>
      </c>
      <c r="E411" s="11">
        <v>2.0</v>
      </c>
      <c r="F411" s="12">
        <v>9002.02</v>
      </c>
      <c r="G411" s="14" t="s">
        <v>21</v>
      </c>
      <c r="H411" s="11"/>
      <c r="I411" s="11"/>
      <c r="J411" s="12">
        <v>9002.02</v>
      </c>
      <c r="K411" s="10">
        <v>44512.0</v>
      </c>
      <c r="L411" s="11">
        <v>1616.0</v>
      </c>
      <c r="M411" s="11"/>
      <c r="N411" s="10"/>
      <c r="O411" s="10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0">
        <v>44399.0</v>
      </c>
      <c r="B412" s="15">
        <v>1345.0</v>
      </c>
      <c r="C412" s="11" t="s">
        <v>39</v>
      </c>
      <c r="D412" s="11" t="s">
        <v>519</v>
      </c>
      <c r="E412" s="11">
        <v>1.0</v>
      </c>
      <c r="F412" s="12">
        <v>838.73</v>
      </c>
      <c r="G412" s="14" t="s">
        <v>21</v>
      </c>
      <c r="H412" s="11"/>
      <c r="I412" s="11"/>
      <c r="J412" s="12">
        <v>838.73</v>
      </c>
      <c r="K412" s="10">
        <v>44413.0</v>
      </c>
      <c r="L412" s="11">
        <v>1562.0</v>
      </c>
      <c r="M412" s="11"/>
      <c r="N412" s="10"/>
      <c r="O412" s="10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0">
        <v>44399.0</v>
      </c>
      <c r="B413" s="15">
        <v>1345.0</v>
      </c>
      <c r="C413" s="11" t="s">
        <v>39</v>
      </c>
      <c r="D413" s="11" t="s">
        <v>520</v>
      </c>
      <c r="E413" s="11">
        <v>1.0</v>
      </c>
      <c r="F413" s="12">
        <v>1347.51</v>
      </c>
      <c r="G413" s="14" t="s">
        <v>21</v>
      </c>
      <c r="H413" s="11"/>
      <c r="I413" s="11"/>
      <c r="J413" s="12">
        <v>1347.51</v>
      </c>
      <c r="K413" s="10">
        <v>44413.0</v>
      </c>
      <c r="L413" s="11">
        <v>1562.0</v>
      </c>
      <c r="M413" s="11"/>
      <c r="N413" s="10"/>
      <c r="O413" s="10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0">
        <v>44399.0</v>
      </c>
      <c r="B414" s="15">
        <v>1345.0</v>
      </c>
      <c r="C414" s="11" t="s">
        <v>39</v>
      </c>
      <c r="D414" s="11" t="s">
        <v>521</v>
      </c>
      <c r="E414" s="11">
        <v>2.0</v>
      </c>
      <c r="F414" s="12">
        <v>2039.26</v>
      </c>
      <c r="G414" s="14" t="s">
        <v>21</v>
      </c>
      <c r="H414" s="11"/>
      <c r="I414" s="11"/>
      <c r="J414" s="12">
        <v>2039.26</v>
      </c>
      <c r="K414" s="10">
        <v>44512.0</v>
      </c>
      <c r="L414" s="11">
        <v>1616.0</v>
      </c>
      <c r="M414" s="11"/>
      <c r="N414" s="10"/>
      <c r="O414" s="10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0">
        <v>44399.0</v>
      </c>
      <c r="B415" s="15">
        <v>1345.0</v>
      </c>
      <c r="C415" s="11" t="s">
        <v>39</v>
      </c>
      <c r="D415" s="11" t="s">
        <v>522</v>
      </c>
      <c r="E415" s="11">
        <v>1.0</v>
      </c>
      <c r="F415" s="12">
        <v>2844.86</v>
      </c>
      <c r="G415" s="14" t="s">
        <v>21</v>
      </c>
      <c r="H415" s="11"/>
      <c r="I415" s="11"/>
      <c r="J415" s="12">
        <v>2844.86</v>
      </c>
      <c r="K415" s="10">
        <v>44512.0</v>
      </c>
      <c r="L415" s="11">
        <v>1616.0</v>
      </c>
      <c r="M415" s="11"/>
      <c r="N415" s="10"/>
      <c r="O415" s="10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0">
        <v>44397.0</v>
      </c>
      <c r="B416" s="13">
        <v>1337.0</v>
      </c>
      <c r="C416" s="11" t="s">
        <v>164</v>
      </c>
      <c r="D416" s="11" t="s">
        <v>514</v>
      </c>
      <c r="E416" s="11">
        <v>3.0</v>
      </c>
      <c r="F416" s="12">
        <v>716.82</v>
      </c>
      <c r="G416" s="11" t="s">
        <v>167</v>
      </c>
      <c r="H416" s="11"/>
      <c r="I416" s="11"/>
      <c r="J416" s="12"/>
      <c r="K416" s="10"/>
      <c r="L416" s="11"/>
      <c r="M416" s="11"/>
      <c r="N416" s="10"/>
      <c r="O416" s="10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0">
        <v>44397.0</v>
      </c>
      <c r="B417" s="15">
        <v>1337.0</v>
      </c>
      <c r="C417" s="11" t="s">
        <v>164</v>
      </c>
      <c r="D417" s="11" t="s">
        <v>514</v>
      </c>
      <c r="E417" s="11">
        <v>8.0</v>
      </c>
      <c r="F417" s="12">
        <v>3759.67</v>
      </c>
      <c r="G417" s="11" t="s">
        <v>167</v>
      </c>
      <c r="H417" s="11"/>
      <c r="I417" s="11"/>
      <c r="J417" s="12"/>
      <c r="K417" s="10"/>
      <c r="L417" s="11"/>
      <c r="M417" s="11"/>
      <c r="N417" s="10"/>
      <c r="O417" s="10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0">
        <v>44397.0</v>
      </c>
      <c r="B418" s="17">
        <v>1337.0</v>
      </c>
      <c r="C418" s="11" t="s">
        <v>164</v>
      </c>
      <c r="D418" s="11" t="s">
        <v>515</v>
      </c>
      <c r="E418" s="11">
        <v>6.0</v>
      </c>
      <c r="F418" s="12">
        <v>1764.36</v>
      </c>
      <c r="G418" s="11" t="s">
        <v>167</v>
      </c>
      <c r="H418" s="11"/>
      <c r="I418" s="11"/>
      <c r="J418" s="12"/>
      <c r="K418" s="10"/>
      <c r="L418" s="11"/>
      <c r="M418" s="11"/>
      <c r="N418" s="10"/>
      <c r="O418" s="10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0">
        <v>44398.0</v>
      </c>
      <c r="B419" s="15">
        <v>1335.0</v>
      </c>
      <c r="C419" s="11" t="s">
        <v>523</v>
      </c>
      <c r="D419" s="11" t="s">
        <v>524</v>
      </c>
      <c r="E419" s="11">
        <v>2.0</v>
      </c>
      <c r="F419" s="12">
        <v>3800.0</v>
      </c>
      <c r="G419" s="11" t="s">
        <v>167</v>
      </c>
      <c r="H419" s="11"/>
      <c r="I419" s="11"/>
      <c r="J419" s="12"/>
      <c r="K419" s="10"/>
      <c r="L419" s="11"/>
      <c r="M419" s="11"/>
      <c r="N419" s="10"/>
      <c r="O419" s="10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0">
        <v>44398.0</v>
      </c>
      <c r="B420" s="13">
        <v>1351.0</v>
      </c>
      <c r="C420" s="11" t="s">
        <v>164</v>
      </c>
      <c r="D420" s="11" t="s">
        <v>525</v>
      </c>
      <c r="E420" s="11">
        <v>114.0</v>
      </c>
      <c r="F420" s="12">
        <v>1482.0</v>
      </c>
      <c r="G420" s="14" t="s">
        <v>21</v>
      </c>
      <c r="H420" s="11"/>
      <c r="I420" s="11"/>
      <c r="J420" s="12">
        <v>1482.0</v>
      </c>
      <c r="K420" s="10">
        <v>44419.0</v>
      </c>
      <c r="L420" s="11">
        <v>1566.0</v>
      </c>
      <c r="M420" s="11"/>
      <c r="N420" s="10"/>
      <c r="O420" s="10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0">
        <v>44404.0</v>
      </c>
      <c r="B421" s="16">
        <v>1348.0</v>
      </c>
      <c r="C421" s="11" t="s">
        <v>457</v>
      </c>
      <c r="D421" s="11" t="s">
        <v>526</v>
      </c>
      <c r="E421" s="11">
        <v>2.0</v>
      </c>
      <c r="F421" s="12" t="s">
        <v>527</v>
      </c>
      <c r="G421" s="11" t="s">
        <v>167</v>
      </c>
      <c r="H421" s="11"/>
      <c r="I421" s="11"/>
      <c r="J421" s="12"/>
      <c r="K421" s="10"/>
      <c r="L421" s="11"/>
      <c r="M421" s="11"/>
      <c r="N421" s="10"/>
      <c r="O421" s="10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0">
        <v>44399.0</v>
      </c>
      <c r="B422" s="17">
        <v>1346.0</v>
      </c>
      <c r="C422" s="11" t="s">
        <v>159</v>
      </c>
      <c r="D422" s="11" t="s">
        <v>528</v>
      </c>
      <c r="E422" s="11">
        <v>1.0</v>
      </c>
      <c r="F422" s="12">
        <v>7175.54</v>
      </c>
      <c r="G422" s="11" t="s">
        <v>167</v>
      </c>
      <c r="H422" s="11"/>
      <c r="I422" s="11"/>
      <c r="J422" s="12"/>
      <c r="K422" s="10"/>
      <c r="L422" s="11"/>
      <c r="M422" s="11"/>
      <c r="N422" s="10"/>
      <c r="O422" s="10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0">
        <v>44399.0</v>
      </c>
      <c r="B423" s="15">
        <v>1336.0</v>
      </c>
      <c r="C423" s="11" t="s">
        <v>529</v>
      </c>
      <c r="D423" s="11" t="s">
        <v>530</v>
      </c>
      <c r="E423" s="11">
        <v>1.0</v>
      </c>
      <c r="F423" s="12" t="s">
        <v>531</v>
      </c>
      <c r="G423" s="11" t="s">
        <v>167</v>
      </c>
      <c r="H423" s="11"/>
      <c r="I423" s="11"/>
      <c r="J423" s="12"/>
      <c r="K423" s="10"/>
      <c r="L423" s="11"/>
      <c r="M423" s="11"/>
      <c r="N423" s="10"/>
      <c r="O423" s="10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0">
        <v>44399.0</v>
      </c>
      <c r="B424" s="15">
        <v>1336.0</v>
      </c>
      <c r="C424" s="11" t="s">
        <v>529</v>
      </c>
      <c r="D424" s="11" t="s">
        <v>532</v>
      </c>
      <c r="E424" s="11">
        <v>1.0</v>
      </c>
      <c r="F424" s="12">
        <v>3590.31</v>
      </c>
      <c r="G424" s="11" t="s">
        <v>167</v>
      </c>
      <c r="H424" s="11"/>
      <c r="I424" s="11"/>
      <c r="J424" s="12"/>
      <c r="K424" s="10"/>
      <c r="L424" s="11"/>
      <c r="M424" s="11"/>
      <c r="N424" s="10"/>
      <c r="O424" s="10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0">
        <v>44399.0</v>
      </c>
      <c r="B425" s="15">
        <v>1336.0</v>
      </c>
      <c r="C425" s="11" t="s">
        <v>529</v>
      </c>
      <c r="D425" s="11" t="s">
        <v>533</v>
      </c>
      <c r="E425" s="11">
        <v>1.0</v>
      </c>
      <c r="F425" s="12" t="s">
        <v>534</v>
      </c>
      <c r="G425" s="11" t="s">
        <v>167</v>
      </c>
      <c r="H425" s="11"/>
      <c r="I425" s="11"/>
      <c r="J425" s="12"/>
      <c r="K425" s="10"/>
      <c r="L425" s="11"/>
      <c r="M425" s="11"/>
      <c r="N425" s="10"/>
      <c r="O425" s="10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0">
        <v>44400.0</v>
      </c>
      <c r="B426" s="13">
        <v>1339.0</v>
      </c>
      <c r="C426" s="11" t="s">
        <v>457</v>
      </c>
      <c r="D426" s="11" t="s">
        <v>535</v>
      </c>
      <c r="E426" s="11">
        <v>200.0</v>
      </c>
      <c r="F426" s="12">
        <v>104630.0</v>
      </c>
      <c r="G426" s="14" t="s">
        <v>21</v>
      </c>
      <c r="H426" s="11"/>
      <c r="I426" s="11"/>
      <c r="J426" s="12">
        <v>104630.0</v>
      </c>
      <c r="K426" s="10">
        <v>44655.0</v>
      </c>
      <c r="L426" s="11">
        <v>1733.0</v>
      </c>
      <c r="M426" s="11">
        <v>4.400495334E9</v>
      </c>
      <c r="N426" s="10"/>
      <c r="O426" s="10">
        <v>44700.0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0">
        <v>44400.0</v>
      </c>
      <c r="B427" s="15">
        <v>1339.0</v>
      </c>
      <c r="C427" s="11" t="s">
        <v>457</v>
      </c>
      <c r="D427" s="11" t="s">
        <v>536</v>
      </c>
      <c r="E427" s="11">
        <v>32.0</v>
      </c>
      <c r="F427" s="12">
        <v>41307.84</v>
      </c>
      <c r="G427" s="14" t="s">
        <v>21</v>
      </c>
      <c r="H427" s="11"/>
      <c r="I427" s="11"/>
      <c r="J427" s="12">
        <v>41307.84</v>
      </c>
      <c r="K427" s="10"/>
      <c r="L427" s="11">
        <v>1648.0</v>
      </c>
      <c r="M427" s="11">
        <v>4.400495334E9</v>
      </c>
      <c r="N427" s="10"/>
      <c r="O427" s="10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0">
        <v>44400.0</v>
      </c>
      <c r="B428" s="17">
        <v>1339.0</v>
      </c>
      <c r="C428" s="11" t="s">
        <v>457</v>
      </c>
      <c r="D428" s="11" t="s">
        <v>537</v>
      </c>
      <c r="E428" s="11">
        <v>23.0</v>
      </c>
      <c r="F428" s="12">
        <v>15054.19</v>
      </c>
      <c r="G428" s="14" t="s">
        <v>21</v>
      </c>
      <c r="H428" s="11"/>
      <c r="I428" s="11"/>
      <c r="J428" s="12">
        <v>15054.19</v>
      </c>
      <c r="K428" s="10"/>
      <c r="L428" s="11">
        <v>1648.0</v>
      </c>
      <c r="M428" s="11">
        <v>4.400495334E9</v>
      </c>
      <c r="N428" s="10"/>
      <c r="O428" s="10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0">
        <v>44400.0</v>
      </c>
      <c r="B429" s="30">
        <v>1341.0</v>
      </c>
      <c r="C429" s="11" t="s">
        <v>39</v>
      </c>
      <c r="D429" s="11" t="s">
        <v>538</v>
      </c>
      <c r="E429" s="11">
        <v>1.0</v>
      </c>
      <c r="F429" s="12">
        <v>7815.73</v>
      </c>
      <c r="G429" s="31" t="s">
        <v>539</v>
      </c>
      <c r="H429" s="11"/>
      <c r="I429" s="11"/>
      <c r="J429" s="12"/>
      <c r="K429" s="10"/>
      <c r="L429" s="11"/>
      <c r="M429" s="11">
        <v>4.501401467E9</v>
      </c>
      <c r="N429" s="10"/>
      <c r="O429" s="10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0">
        <v>44403.0</v>
      </c>
      <c r="B430" s="16">
        <v>1347.0</v>
      </c>
      <c r="C430" s="11" t="s">
        <v>39</v>
      </c>
      <c r="D430" s="11" t="s">
        <v>540</v>
      </c>
      <c r="E430" s="11">
        <v>1.0</v>
      </c>
      <c r="F430" s="12">
        <v>18278.47</v>
      </c>
      <c r="G430" s="14" t="s">
        <v>21</v>
      </c>
      <c r="H430" s="11"/>
      <c r="I430" s="11"/>
      <c r="J430" s="12">
        <v>18278.47</v>
      </c>
      <c r="K430" s="10">
        <v>44669.0</v>
      </c>
      <c r="L430" s="11">
        <v>1782.0</v>
      </c>
      <c r="M430" s="11">
        <v>4.501405773E9</v>
      </c>
      <c r="N430" s="10">
        <v>44617.0</v>
      </c>
      <c r="O430" s="10">
        <v>44701.0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0">
        <v>44404.0</v>
      </c>
      <c r="B431" s="15">
        <v>1352.0</v>
      </c>
      <c r="C431" s="11" t="s">
        <v>164</v>
      </c>
      <c r="D431" s="11" t="s">
        <v>541</v>
      </c>
      <c r="E431" s="11">
        <v>108.0</v>
      </c>
      <c r="F431" s="12">
        <v>345.6</v>
      </c>
      <c r="G431" s="14" t="s">
        <v>21</v>
      </c>
      <c r="H431" s="11"/>
      <c r="I431" s="11"/>
      <c r="J431" s="12">
        <v>345.6</v>
      </c>
      <c r="K431" s="10">
        <v>44412.0</v>
      </c>
      <c r="L431" s="11">
        <v>1560.0</v>
      </c>
      <c r="M431" s="11"/>
      <c r="N431" s="10"/>
      <c r="O431" s="10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0">
        <v>44405.0</v>
      </c>
      <c r="B432" s="16">
        <v>1349.0</v>
      </c>
      <c r="C432" s="11" t="s">
        <v>39</v>
      </c>
      <c r="D432" s="11" t="s">
        <v>542</v>
      </c>
      <c r="E432" s="11">
        <v>3.0</v>
      </c>
      <c r="F432" s="12">
        <v>2306.4</v>
      </c>
      <c r="G432" s="14" t="s">
        <v>21</v>
      </c>
      <c r="H432" s="11"/>
      <c r="I432" s="11"/>
      <c r="J432" s="12">
        <v>2306.4</v>
      </c>
      <c r="K432" s="10">
        <v>44459.0</v>
      </c>
      <c r="L432" s="11">
        <v>1586.0</v>
      </c>
      <c r="M432" s="11"/>
      <c r="N432" s="10"/>
      <c r="O432" s="10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0">
        <v>44407.0</v>
      </c>
      <c r="B433" s="17">
        <v>1353.0</v>
      </c>
      <c r="C433" s="11" t="s">
        <v>159</v>
      </c>
      <c r="D433" s="11" t="s">
        <v>542</v>
      </c>
      <c r="E433" s="11">
        <v>3.0</v>
      </c>
      <c r="F433" s="12">
        <v>2306.4</v>
      </c>
      <c r="G433" s="11" t="s">
        <v>167</v>
      </c>
      <c r="H433" s="11"/>
      <c r="I433" s="11"/>
      <c r="J433" s="12"/>
      <c r="K433" s="10"/>
      <c r="L433" s="11"/>
      <c r="M433" s="11"/>
      <c r="N433" s="10"/>
      <c r="O433" s="10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0">
        <v>44407.0</v>
      </c>
      <c r="B434" s="11"/>
      <c r="C434" s="11" t="s">
        <v>457</v>
      </c>
      <c r="D434" s="11" t="s">
        <v>543</v>
      </c>
      <c r="E434" s="11"/>
      <c r="F434" s="12"/>
      <c r="G434" s="11" t="s">
        <v>241</v>
      </c>
      <c r="H434" s="11"/>
      <c r="I434" s="11"/>
      <c r="J434" s="12"/>
      <c r="K434" s="10"/>
      <c r="L434" s="11"/>
      <c r="M434" s="11"/>
      <c r="N434" s="10"/>
      <c r="O434" s="10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0">
        <v>44407.0</v>
      </c>
      <c r="B435" s="13">
        <v>1355.0</v>
      </c>
      <c r="C435" s="11" t="s">
        <v>164</v>
      </c>
      <c r="D435" s="11" t="s">
        <v>514</v>
      </c>
      <c r="E435" s="11">
        <v>8.0</v>
      </c>
      <c r="F435" s="12">
        <v>3068.48</v>
      </c>
      <c r="G435" s="14" t="s">
        <v>21</v>
      </c>
      <c r="H435" s="11"/>
      <c r="I435" s="11"/>
      <c r="J435" s="12"/>
      <c r="K435" s="10">
        <v>44440.0</v>
      </c>
      <c r="L435" s="11">
        <v>1577.0</v>
      </c>
      <c r="M435" s="32">
        <v>4.500360378E9</v>
      </c>
      <c r="N435" s="10"/>
      <c r="O435" s="10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0">
        <v>44407.0</v>
      </c>
      <c r="B436" s="16">
        <v>1356.0</v>
      </c>
      <c r="C436" s="11" t="s">
        <v>39</v>
      </c>
      <c r="D436" s="11" t="s">
        <v>544</v>
      </c>
      <c r="E436" s="11">
        <v>1.0</v>
      </c>
      <c r="F436" s="12">
        <v>6529.97</v>
      </c>
      <c r="G436" s="14" t="s">
        <v>21</v>
      </c>
      <c r="H436" s="11"/>
      <c r="I436" s="11"/>
      <c r="J436" s="12">
        <v>6529.97</v>
      </c>
      <c r="K436" s="10">
        <v>44656.0</v>
      </c>
      <c r="L436" s="11">
        <v>1745.0</v>
      </c>
      <c r="M436" s="11">
        <v>4.501412145E9</v>
      </c>
      <c r="N436" s="10"/>
      <c r="O436" s="10">
        <v>44691.0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0">
        <v>44408.0</v>
      </c>
      <c r="B437" s="17">
        <v>1357.0</v>
      </c>
      <c r="C437" s="11" t="s">
        <v>164</v>
      </c>
      <c r="D437" s="11" t="s">
        <v>514</v>
      </c>
      <c r="E437" s="11">
        <v>8.0</v>
      </c>
      <c r="F437" s="12">
        <v>3068.48</v>
      </c>
      <c r="G437" s="14" t="s">
        <v>21</v>
      </c>
      <c r="H437" s="11"/>
      <c r="I437" s="11"/>
      <c r="J437" s="12">
        <v>3068.48</v>
      </c>
      <c r="K437" s="10">
        <v>44440.0</v>
      </c>
      <c r="L437" s="11">
        <v>1577.0</v>
      </c>
      <c r="M437" s="11"/>
      <c r="N437" s="10"/>
      <c r="O437" s="10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8"/>
      <c r="B438" s="19"/>
      <c r="C438" s="19"/>
      <c r="D438" s="19"/>
      <c r="E438" s="19"/>
      <c r="F438" s="20"/>
      <c r="G438" s="19"/>
      <c r="H438" s="19"/>
      <c r="I438" s="19"/>
      <c r="J438" s="20"/>
      <c r="K438" s="18"/>
      <c r="L438" s="19"/>
      <c r="M438" s="19"/>
      <c r="N438" s="18"/>
      <c r="O438" s="18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0">
        <v>44409.0</v>
      </c>
      <c r="B439" s="16">
        <v>1361.0</v>
      </c>
      <c r="C439" s="11" t="s">
        <v>39</v>
      </c>
      <c r="D439" s="11" t="s">
        <v>545</v>
      </c>
      <c r="E439" s="11">
        <v>14.0</v>
      </c>
      <c r="F439" s="12" t="s">
        <v>546</v>
      </c>
      <c r="G439" s="11" t="s">
        <v>27</v>
      </c>
      <c r="H439" s="11" t="s">
        <v>547</v>
      </c>
      <c r="I439" s="26"/>
      <c r="J439" s="12"/>
      <c r="K439" s="10"/>
      <c r="L439" s="11"/>
      <c r="M439" s="11"/>
      <c r="N439" s="10"/>
      <c r="O439" s="10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0">
        <v>44410.0</v>
      </c>
      <c r="B440" s="15">
        <v>1358.0</v>
      </c>
      <c r="C440" s="11" t="s">
        <v>548</v>
      </c>
      <c r="D440" s="11" t="s">
        <v>549</v>
      </c>
      <c r="E440" s="11">
        <v>1.0</v>
      </c>
      <c r="F440" s="12">
        <v>529.55</v>
      </c>
      <c r="G440" s="11" t="s">
        <v>27</v>
      </c>
      <c r="H440" s="11"/>
      <c r="I440" s="26"/>
      <c r="J440" s="12"/>
      <c r="K440" s="10"/>
      <c r="L440" s="11"/>
      <c r="M440" s="11"/>
      <c r="N440" s="10"/>
      <c r="O440" s="10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0">
        <v>44410.0</v>
      </c>
      <c r="B441" s="15">
        <v>1358.0</v>
      </c>
      <c r="C441" s="11" t="s">
        <v>548</v>
      </c>
      <c r="D441" s="11" t="s">
        <v>550</v>
      </c>
      <c r="E441" s="11">
        <v>1.0</v>
      </c>
      <c r="F441" s="12">
        <v>397.74</v>
      </c>
      <c r="G441" s="11" t="s">
        <v>27</v>
      </c>
      <c r="H441" s="11"/>
      <c r="I441" s="26"/>
      <c r="J441" s="12"/>
      <c r="K441" s="10"/>
      <c r="L441" s="11"/>
      <c r="M441" s="11"/>
      <c r="N441" s="10"/>
      <c r="O441" s="10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0">
        <v>44410.0</v>
      </c>
      <c r="B442" s="16">
        <v>1360.0</v>
      </c>
      <c r="C442" s="11" t="s">
        <v>551</v>
      </c>
      <c r="D442" s="11" t="s">
        <v>552</v>
      </c>
      <c r="E442" s="11">
        <v>30.0</v>
      </c>
      <c r="F442" s="12" t="s">
        <v>553</v>
      </c>
      <c r="G442" s="11" t="s">
        <v>27</v>
      </c>
      <c r="H442" s="11"/>
      <c r="I442" s="26"/>
      <c r="J442" s="12"/>
      <c r="K442" s="10"/>
      <c r="L442" s="11"/>
      <c r="M442" s="11"/>
      <c r="N442" s="10"/>
      <c r="O442" s="10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0">
        <v>44410.0</v>
      </c>
      <c r="B443" s="15">
        <v>1359.0</v>
      </c>
      <c r="C443" s="11" t="s">
        <v>554</v>
      </c>
      <c r="D443" s="11" t="s">
        <v>555</v>
      </c>
      <c r="E443" s="11">
        <v>80.0</v>
      </c>
      <c r="F443" s="12">
        <v>8694.59</v>
      </c>
      <c r="G443" s="11" t="s">
        <v>27</v>
      </c>
      <c r="H443" s="11"/>
      <c r="I443" s="26"/>
      <c r="J443" s="12"/>
      <c r="K443" s="10"/>
      <c r="L443" s="11"/>
      <c r="M443" s="11"/>
      <c r="N443" s="10"/>
      <c r="O443" s="10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0">
        <v>44410.0</v>
      </c>
      <c r="B444" s="15">
        <v>1359.0</v>
      </c>
      <c r="C444" s="11" t="s">
        <v>554</v>
      </c>
      <c r="D444" s="11" t="s">
        <v>556</v>
      </c>
      <c r="E444" s="11">
        <v>80.0</v>
      </c>
      <c r="F444" s="12">
        <v>7885.05</v>
      </c>
      <c r="G444" s="11" t="s">
        <v>27</v>
      </c>
      <c r="H444" s="11"/>
      <c r="I444" s="26"/>
      <c r="J444" s="12"/>
      <c r="K444" s="10"/>
      <c r="L444" s="11"/>
      <c r="M444" s="11"/>
      <c r="N444" s="10"/>
      <c r="O444" s="10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">
        <v>44411.0</v>
      </c>
      <c r="B445" s="16">
        <v>1362.0</v>
      </c>
      <c r="C445" s="11" t="s">
        <v>557</v>
      </c>
      <c r="D445" s="11" t="s">
        <v>179</v>
      </c>
      <c r="E445" s="11">
        <v>1.0</v>
      </c>
      <c r="F445" s="12">
        <v>391.02</v>
      </c>
      <c r="G445" s="11" t="s">
        <v>27</v>
      </c>
      <c r="H445" s="11"/>
      <c r="I445" s="26"/>
      <c r="J445" s="12"/>
      <c r="K445" s="10"/>
      <c r="L445" s="11"/>
      <c r="M445" s="11"/>
      <c r="N445" s="10"/>
      <c r="O445" s="10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"/>
      <c r="B446" s="11"/>
      <c r="C446" s="11"/>
      <c r="D446" s="11" t="s">
        <v>558</v>
      </c>
      <c r="E446" s="11">
        <v>1.0</v>
      </c>
      <c r="F446" s="12">
        <v>285.26</v>
      </c>
      <c r="G446" s="11" t="s">
        <v>27</v>
      </c>
      <c r="H446" s="11"/>
      <c r="I446" s="26"/>
      <c r="J446" s="12"/>
      <c r="K446" s="10"/>
      <c r="L446" s="11"/>
      <c r="M446" s="11"/>
      <c r="N446" s="10"/>
      <c r="O446" s="10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">
        <v>44411.0</v>
      </c>
      <c r="B447" s="13">
        <v>1363.0</v>
      </c>
      <c r="C447" s="11" t="s">
        <v>548</v>
      </c>
      <c r="D447" s="27" t="s">
        <v>559</v>
      </c>
      <c r="E447" s="27">
        <v>1.0</v>
      </c>
      <c r="F447" s="12">
        <v>411.08</v>
      </c>
      <c r="G447" s="11" t="s">
        <v>27</v>
      </c>
      <c r="H447" s="11" t="s">
        <v>560</v>
      </c>
      <c r="I447" s="26"/>
      <c r="J447" s="12"/>
      <c r="K447" s="10"/>
      <c r="L447" s="11"/>
      <c r="M447" s="11"/>
      <c r="N447" s="10"/>
      <c r="O447" s="10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">
        <v>44412.0</v>
      </c>
      <c r="B448" s="16">
        <v>1364.0</v>
      </c>
      <c r="C448" s="11" t="s">
        <v>561</v>
      </c>
      <c r="D448" s="27" t="s">
        <v>562</v>
      </c>
      <c r="E448" s="27">
        <v>1.0</v>
      </c>
      <c r="F448" s="12">
        <v>129.22</v>
      </c>
      <c r="G448" s="11" t="s">
        <v>27</v>
      </c>
      <c r="H448" s="11"/>
      <c r="I448" s="26"/>
      <c r="J448" s="12"/>
      <c r="K448" s="10"/>
      <c r="L448" s="11"/>
      <c r="M448" s="11"/>
      <c r="N448" s="10"/>
      <c r="O448" s="10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">
        <v>44412.0</v>
      </c>
      <c r="B449" s="16">
        <v>1365.0</v>
      </c>
      <c r="C449" s="11" t="s">
        <v>39</v>
      </c>
      <c r="D449" s="27" t="s">
        <v>563</v>
      </c>
      <c r="E449" s="27">
        <v>3.0</v>
      </c>
      <c r="F449" s="12" t="s">
        <v>564</v>
      </c>
      <c r="G449" s="11" t="s">
        <v>27</v>
      </c>
      <c r="H449" s="11"/>
      <c r="I449" s="26"/>
      <c r="J449" s="12"/>
      <c r="K449" s="10"/>
      <c r="L449" s="11"/>
      <c r="M449" s="11"/>
      <c r="N449" s="10"/>
      <c r="O449" s="10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">
        <v>44428.0</v>
      </c>
      <c r="B450" s="17" t="s">
        <v>565</v>
      </c>
      <c r="C450" s="11" t="s">
        <v>39</v>
      </c>
      <c r="D450" s="27" t="s">
        <v>566</v>
      </c>
      <c r="E450" s="27">
        <v>1.0</v>
      </c>
      <c r="F450" s="12">
        <v>850.34</v>
      </c>
      <c r="G450" s="14" t="s">
        <v>21</v>
      </c>
      <c r="H450" s="11"/>
      <c r="I450" s="26"/>
      <c r="J450" s="12">
        <v>850.34</v>
      </c>
      <c r="K450" s="10">
        <v>44469.0</v>
      </c>
      <c r="L450" s="11">
        <v>1592.0</v>
      </c>
      <c r="M450" s="11"/>
      <c r="N450" s="10"/>
      <c r="O450" s="10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">
        <v>44411.0</v>
      </c>
      <c r="B451" s="11"/>
      <c r="C451" s="11" t="s">
        <v>457</v>
      </c>
      <c r="D451" s="11" t="s">
        <v>567</v>
      </c>
      <c r="E451" s="11"/>
      <c r="F451" s="12"/>
      <c r="G451" s="11" t="s">
        <v>241</v>
      </c>
      <c r="H451" s="33">
        <v>0.27291666666666664</v>
      </c>
      <c r="I451" s="26"/>
      <c r="J451" s="12"/>
      <c r="K451" s="10"/>
      <c r="L451" s="11"/>
      <c r="M451" s="11"/>
      <c r="N451" s="10"/>
      <c r="O451" s="10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">
        <v>44410.0</v>
      </c>
      <c r="B452" s="13">
        <v>1371.0</v>
      </c>
      <c r="C452" s="11" t="s">
        <v>39</v>
      </c>
      <c r="D452" s="11" t="s">
        <v>88</v>
      </c>
      <c r="E452" s="11">
        <v>4.0</v>
      </c>
      <c r="F452" s="12">
        <v>67600.0</v>
      </c>
      <c r="G452" s="14" t="s">
        <v>21</v>
      </c>
      <c r="H452" s="11" t="s">
        <v>568</v>
      </c>
      <c r="I452" s="26"/>
      <c r="J452" s="12">
        <v>33800.0</v>
      </c>
      <c r="K452" s="10">
        <v>44440.0</v>
      </c>
      <c r="L452" s="11">
        <v>1573.0</v>
      </c>
      <c r="M452" s="11"/>
      <c r="N452" s="10"/>
      <c r="O452" s="10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">
        <v>44410.0</v>
      </c>
      <c r="B453" s="15">
        <v>1371.0</v>
      </c>
      <c r="C453" s="11" t="s">
        <v>39</v>
      </c>
      <c r="D453" s="11" t="s">
        <v>88</v>
      </c>
      <c r="E453" s="11"/>
      <c r="F453" s="12"/>
      <c r="G453" s="14" t="s">
        <v>21</v>
      </c>
      <c r="H453" s="11"/>
      <c r="I453" s="26"/>
      <c r="J453" s="12">
        <v>33800.0</v>
      </c>
      <c r="K453" s="10">
        <v>44538.0</v>
      </c>
      <c r="L453" s="11">
        <v>1641.0</v>
      </c>
      <c r="M453" s="11"/>
      <c r="N453" s="10"/>
      <c r="O453" s="10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">
        <v>44415.0</v>
      </c>
      <c r="B454" s="16">
        <v>1370.0</v>
      </c>
      <c r="C454" s="11" t="s">
        <v>164</v>
      </c>
      <c r="D454" s="11" t="s">
        <v>569</v>
      </c>
      <c r="E454" s="11">
        <v>2.0</v>
      </c>
      <c r="F454" s="12">
        <v>2619.1</v>
      </c>
      <c r="G454" s="11" t="s">
        <v>27</v>
      </c>
      <c r="H454" s="33">
        <v>0.6069444444444444</v>
      </c>
      <c r="I454" s="26"/>
      <c r="J454" s="12"/>
      <c r="K454" s="10"/>
      <c r="L454" s="11"/>
      <c r="M454" s="11"/>
      <c r="N454" s="10"/>
      <c r="O454" s="10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0">
        <v>44414.0</v>
      </c>
      <c r="B455" s="11"/>
      <c r="C455" s="11" t="s">
        <v>164</v>
      </c>
      <c r="D455" s="11" t="s">
        <v>570</v>
      </c>
      <c r="E455" s="11"/>
      <c r="F455" s="12"/>
      <c r="G455" s="11" t="s">
        <v>241</v>
      </c>
      <c r="H455" s="11" t="s">
        <v>571</v>
      </c>
      <c r="I455" s="26"/>
      <c r="J455" s="12"/>
      <c r="K455" s="10"/>
      <c r="L455" s="11"/>
      <c r="M455" s="11"/>
      <c r="N455" s="10"/>
      <c r="O455" s="10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">
        <v>44414.0</v>
      </c>
      <c r="B456" s="16">
        <v>1380.0</v>
      </c>
      <c r="C456" s="11" t="s">
        <v>39</v>
      </c>
      <c r="D456" s="11" t="s">
        <v>572</v>
      </c>
      <c r="E456" s="11">
        <v>6.0</v>
      </c>
      <c r="F456" s="12">
        <v>2001.19</v>
      </c>
      <c r="G456" s="11" t="s">
        <v>27</v>
      </c>
      <c r="H456" s="11" t="s">
        <v>573</v>
      </c>
      <c r="I456" s="26"/>
      <c r="J456" s="12"/>
      <c r="K456" s="10"/>
      <c r="L456" s="11"/>
      <c r="M456" s="11"/>
      <c r="N456" s="10"/>
      <c r="O456" s="10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">
        <v>44420.0</v>
      </c>
      <c r="B457" s="17">
        <v>1381.0</v>
      </c>
      <c r="C457" s="11" t="s">
        <v>39</v>
      </c>
      <c r="D457" s="11" t="s">
        <v>574</v>
      </c>
      <c r="E457" s="11">
        <v>1.0</v>
      </c>
      <c r="F457" s="12">
        <v>19249.87</v>
      </c>
      <c r="G457" s="14" t="s">
        <v>21</v>
      </c>
      <c r="H457" s="11"/>
      <c r="I457" s="26"/>
      <c r="J457" s="12">
        <v>19249.87</v>
      </c>
      <c r="K457" s="10">
        <v>44420.0</v>
      </c>
      <c r="L457" s="11">
        <v>1568.0</v>
      </c>
      <c r="M457" s="11"/>
      <c r="N457" s="10"/>
      <c r="O457" s="10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">
        <v>44414.0</v>
      </c>
      <c r="B458" s="11"/>
      <c r="C458" s="11" t="s">
        <v>457</v>
      </c>
      <c r="D458" s="27" t="s">
        <v>575</v>
      </c>
      <c r="E458" s="27"/>
      <c r="F458" s="12"/>
      <c r="G458" s="11" t="s">
        <v>241</v>
      </c>
      <c r="H458" s="11" t="s">
        <v>576</v>
      </c>
      <c r="I458" s="26"/>
      <c r="J458" s="12"/>
      <c r="K458" s="10"/>
      <c r="L458" s="11"/>
      <c r="M458" s="11"/>
      <c r="N458" s="10"/>
      <c r="O458" s="10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">
        <v>44413.0</v>
      </c>
      <c r="B459" s="11"/>
      <c r="C459" s="11" t="s">
        <v>39</v>
      </c>
      <c r="D459" s="11" t="s">
        <v>577</v>
      </c>
      <c r="E459" s="11"/>
      <c r="F459" s="12"/>
      <c r="G459" s="11" t="s">
        <v>241</v>
      </c>
      <c r="H459" s="11" t="s">
        <v>578</v>
      </c>
      <c r="I459" s="26"/>
      <c r="J459" s="12"/>
      <c r="K459" s="10"/>
      <c r="L459" s="11"/>
      <c r="M459" s="11"/>
      <c r="N459" s="10"/>
      <c r="O459" s="10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0">
        <v>44413.0</v>
      </c>
      <c r="B460" s="13">
        <v>1385.0</v>
      </c>
      <c r="C460" s="11" t="s">
        <v>548</v>
      </c>
      <c r="D460" s="11" t="s">
        <v>579</v>
      </c>
      <c r="E460" s="11">
        <v>1.0</v>
      </c>
      <c r="F460" s="12">
        <v>3948.72</v>
      </c>
      <c r="G460" s="11" t="s">
        <v>27</v>
      </c>
      <c r="H460" s="11"/>
      <c r="I460" s="26"/>
      <c r="J460" s="12"/>
      <c r="K460" s="10"/>
      <c r="L460" s="11"/>
      <c r="M460" s="11"/>
      <c r="N460" s="10"/>
      <c r="O460" s="10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0">
        <v>44413.0</v>
      </c>
      <c r="B461" s="15">
        <v>1385.0</v>
      </c>
      <c r="C461" s="11" t="s">
        <v>548</v>
      </c>
      <c r="D461" s="11" t="s">
        <v>580</v>
      </c>
      <c r="E461" s="11">
        <v>1.0</v>
      </c>
      <c r="F461" s="12" t="s">
        <v>581</v>
      </c>
      <c r="G461" s="11" t="s">
        <v>27</v>
      </c>
      <c r="H461" s="11"/>
      <c r="I461" s="26"/>
      <c r="J461" s="12"/>
      <c r="K461" s="10"/>
      <c r="L461" s="11"/>
      <c r="M461" s="11"/>
      <c r="N461" s="10"/>
      <c r="O461" s="10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">
        <v>44413.0</v>
      </c>
      <c r="B462" s="15">
        <v>1385.0</v>
      </c>
      <c r="C462" s="11" t="s">
        <v>548</v>
      </c>
      <c r="D462" s="11" t="s">
        <v>582</v>
      </c>
      <c r="E462" s="11">
        <v>1.0</v>
      </c>
      <c r="F462" s="12" t="s">
        <v>583</v>
      </c>
      <c r="G462" s="11" t="s">
        <v>27</v>
      </c>
      <c r="H462" s="11"/>
      <c r="I462" s="26"/>
      <c r="J462" s="12"/>
      <c r="K462" s="10"/>
      <c r="L462" s="11"/>
      <c r="M462" s="11"/>
      <c r="N462" s="10"/>
      <c r="O462" s="10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">
        <v>44413.0</v>
      </c>
      <c r="B463" s="15">
        <v>1385.0</v>
      </c>
      <c r="C463" s="11" t="s">
        <v>548</v>
      </c>
      <c r="D463" s="11" t="s">
        <v>584</v>
      </c>
      <c r="E463" s="11">
        <v>1.0</v>
      </c>
      <c r="F463" s="12">
        <v>182.43</v>
      </c>
      <c r="G463" s="11" t="s">
        <v>27</v>
      </c>
      <c r="H463" s="11"/>
      <c r="I463" s="26"/>
      <c r="J463" s="12"/>
      <c r="K463" s="10"/>
      <c r="L463" s="11"/>
      <c r="M463" s="11"/>
      <c r="N463" s="10"/>
      <c r="O463" s="10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0">
        <v>44413.0</v>
      </c>
      <c r="B464" s="15">
        <v>1385.0</v>
      </c>
      <c r="C464" s="11" t="s">
        <v>548</v>
      </c>
      <c r="D464" s="11" t="s">
        <v>585</v>
      </c>
      <c r="E464" s="11">
        <v>1.0</v>
      </c>
      <c r="F464" s="12">
        <v>531.12</v>
      </c>
      <c r="G464" s="11" t="s">
        <v>27</v>
      </c>
      <c r="H464" s="11"/>
      <c r="I464" s="26"/>
      <c r="J464" s="12"/>
      <c r="K464" s="10"/>
      <c r="L464" s="11"/>
      <c r="M464" s="11"/>
      <c r="N464" s="10"/>
      <c r="O464" s="10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0">
        <v>44413.0</v>
      </c>
      <c r="B465" s="15">
        <v>1385.0</v>
      </c>
      <c r="C465" s="11" t="s">
        <v>548</v>
      </c>
      <c r="D465" s="11" t="s">
        <v>586</v>
      </c>
      <c r="E465" s="11">
        <v>1.0</v>
      </c>
      <c r="F465" s="12">
        <v>710.64</v>
      </c>
      <c r="G465" s="11" t="s">
        <v>27</v>
      </c>
      <c r="H465" s="11"/>
      <c r="I465" s="26"/>
      <c r="J465" s="12"/>
      <c r="K465" s="10"/>
      <c r="L465" s="11"/>
      <c r="M465" s="11"/>
      <c r="N465" s="10"/>
      <c r="O465" s="10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">
        <v>44413.0</v>
      </c>
      <c r="B466" s="15">
        <v>1385.0</v>
      </c>
      <c r="C466" s="11" t="s">
        <v>548</v>
      </c>
      <c r="D466" s="11" t="s">
        <v>587</v>
      </c>
      <c r="E466" s="11">
        <v>1.0</v>
      </c>
      <c r="F466" s="12">
        <v>5049.49</v>
      </c>
      <c r="G466" s="11" t="s">
        <v>27</v>
      </c>
      <c r="H466" s="11" t="s">
        <v>588</v>
      </c>
      <c r="I466" s="26"/>
      <c r="J466" s="12"/>
      <c r="K466" s="10"/>
      <c r="L466" s="11"/>
      <c r="M466" s="11"/>
      <c r="N466" s="10"/>
      <c r="O466" s="10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0">
        <v>44413.0</v>
      </c>
      <c r="B467" s="13">
        <v>1386.0</v>
      </c>
      <c r="C467" s="11" t="s">
        <v>548</v>
      </c>
      <c r="D467" s="11" t="s">
        <v>589</v>
      </c>
      <c r="E467" s="11">
        <v>1.0</v>
      </c>
      <c r="F467" s="12">
        <v>1403.69</v>
      </c>
      <c r="G467" s="11" t="s">
        <v>27</v>
      </c>
      <c r="H467" s="11"/>
      <c r="I467" s="26"/>
      <c r="J467" s="12"/>
      <c r="K467" s="10"/>
      <c r="L467" s="11"/>
      <c r="M467" s="11"/>
      <c r="N467" s="10"/>
      <c r="O467" s="10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0">
        <v>44413.0</v>
      </c>
      <c r="B468" s="17">
        <v>1386.0</v>
      </c>
      <c r="C468" s="11" t="s">
        <v>548</v>
      </c>
      <c r="D468" s="11" t="s">
        <v>590</v>
      </c>
      <c r="E468" s="11">
        <v>1.0</v>
      </c>
      <c r="F468" s="12">
        <v>1376.69</v>
      </c>
      <c r="G468" s="11" t="s">
        <v>27</v>
      </c>
      <c r="H468" s="11" t="s">
        <v>591</v>
      </c>
      <c r="I468" s="26"/>
      <c r="J468" s="12"/>
      <c r="K468" s="10"/>
      <c r="L468" s="11"/>
      <c r="M468" s="11"/>
      <c r="N468" s="10"/>
      <c r="O468" s="10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0">
        <v>44447.0</v>
      </c>
      <c r="B469" s="16">
        <v>1374.0</v>
      </c>
      <c r="C469" s="11" t="s">
        <v>39</v>
      </c>
      <c r="D469" s="11" t="s">
        <v>592</v>
      </c>
      <c r="E469" s="11">
        <v>1.0</v>
      </c>
      <c r="F469" s="12">
        <v>5900.0</v>
      </c>
      <c r="G469" s="11" t="s">
        <v>27</v>
      </c>
      <c r="H469" s="11"/>
      <c r="I469" s="26"/>
      <c r="J469" s="12"/>
      <c r="K469" s="10"/>
      <c r="L469" s="11"/>
      <c r="M469" s="11"/>
      <c r="N469" s="10"/>
      <c r="O469" s="10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0">
        <v>44414.0</v>
      </c>
      <c r="B470" s="17">
        <v>1376.0</v>
      </c>
      <c r="C470" s="11" t="s">
        <v>39</v>
      </c>
      <c r="D470" s="11" t="s">
        <v>542</v>
      </c>
      <c r="E470" s="11">
        <v>1.0</v>
      </c>
      <c r="F470" s="12">
        <v>839.43</v>
      </c>
      <c r="G470" s="14" t="s">
        <v>21</v>
      </c>
      <c r="H470" s="11"/>
      <c r="I470" s="26"/>
      <c r="J470" s="12">
        <v>839.43</v>
      </c>
      <c r="K470" s="10">
        <v>44510.0</v>
      </c>
      <c r="L470" s="11">
        <v>1611.0</v>
      </c>
      <c r="M470" s="11"/>
      <c r="N470" s="10"/>
      <c r="O470" s="10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0">
        <v>44417.0</v>
      </c>
      <c r="B471" s="11"/>
      <c r="C471" s="11" t="s">
        <v>39</v>
      </c>
      <c r="D471" s="27" t="s">
        <v>593</v>
      </c>
      <c r="E471" s="27"/>
      <c r="F471" s="12"/>
      <c r="G471" s="11" t="s">
        <v>241</v>
      </c>
      <c r="H471" s="11" t="s">
        <v>594</v>
      </c>
      <c r="I471" s="26"/>
      <c r="J471" s="12"/>
      <c r="K471" s="10"/>
      <c r="L471" s="11"/>
      <c r="M471" s="11"/>
      <c r="N471" s="10"/>
      <c r="O471" s="10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0">
        <v>44418.0</v>
      </c>
      <c r="B472" s="13">
        <v>1377.0</v>
      </c>
      <c r="C472" s="11" t="s">
        <v>551</v>
      </c>
      <c r="D472" s="27" t="s">
        <v>595</v>
      </c>
      <c r="E472" s="27">
        <v>21.0</v>
      </c>
      <c r="F472" s="12" t="s">
        <v>596</v>
      </c>
      <c r="G472" s="11" t="s">
        <v>27</v>
      </c>
      <c r="H472" s="11"/>
      <c r="I472" s="26"/>
      <c r="J472" s="12"/>
      <c r="K472" s="10"/>
      <c r="L472" s="11"/>
      <c r="M472" s="11"/>
      <c r="N472" s="10"/>
      <c r="O472" s="10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0">
        <v>44418.0</v>
      </c>
      <c r="B473" s="15">
        <v>1377.0</v>
      </c>
      <c r="C473" s="11" t="s">
        <v>551</v>
      </c>
      <c r="D473" s="27" t="s">
        <v>45</v>
      </c>
      <c r="E473" s="11">
        <v>21.0</v>
      </c>
      <c r="F473" s="12" t="s">
        <v>597</v>
      </c>
      <c r="G473" s="11" t="s">
        <v>27</v>
      </c>
      <c r="H473" s="11"/>
      <c r="I473" s="11"/>
      <c r="J473" s="12"/>
      <c r="K473" s="10"/>
      <c r="L473" s="11"/>
      <c r="M473" s="11"/>
      <c r="N473" s="10"/>
      <c r="O473" s="10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0">
        <v>44418.0</v>
      </c>
      <c r="B474" s="15">
        <v>1377.0</v>
      </c>
      <c r="C474" s="11" t="s">
        <v>551</v>
      </c>
      <c r="D474" s="11" t="s">
        <v>598</v>
      </c>
      <c r="E474" s="27">
        <v>21.0</v>
      </c>
      <c r="F474" s="12" t="s">
        <v>599</v>
      </c>
      <c r="G474" s="11" t="s">
        <v>27</v>
      </c>
      <c r="H474" s="11"/>
      <c r="I474" s="26"/>
      <c r="J474" s="12"/>
      <c r="K474" s="10"/>
      <c r="L474" s="11"/>
      <c r="M474" s="11"/>
      <c r="N474" s="10"/>
      <c r="O474" s="10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0">
        <v>44418.0</v>
      </c>
      <c r="B475" s="16">
        <v>1384.0</v>
      </c>
      <c r="C475" s="11" t="s">
        <v>164</v>
      </c>
      <c r="D475" s="11" t="s">
        <v>319</v>
      </c>
      <c r="E475" s="11">
        <v>30.0</v>
      </c>
      <c r="F475" s="12">
        <v>585.0</v>
      </c>
      <c r="G475" s="14" t="s">
        <v>21</v>
      </c>
      <c r="H475" s="11" t="s">
        <v>600</v>
      </c>
      <c r="I475" s="26"/>
      <c r="J475" s="12">
        <v>585.0</v>
      </c>
      <c r="K475" s="10">
        <v>44454.0</v>
      </c>
      <c r="L475" s="11">
        <v>1583.0</v>
      </c>
      <c r="M475" s="11"/>
      <c r="N475" s="10"/>
      <c r="O475" s="10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0">
        <v>44420.0</v>
      </c>
      <c r="B476" s="11"/>
      <c r="C476" s="11" t="s">
        <v>164</v>
      </c>
      <c r="D476" s="11" t="s">
        <v>601</v>
      </c>
      <c r="E476" s="11"/>
      <c r="F476" s="12"/>
      <c r="G476" s="11" t="s">
        <v>241</v>
      </c>
      <c r="H476" s="11" t="s">
        <v>571</v>
      </c>
      <c r="I476" s="26"/>
      <c r="J476" s="12"/>
      <c r="K476" s="10"/>
      <c r="L476" s="11"/>
      <c r="M476" s="11"/>
      <c r="N476" s="10"/>
      <c r="O476" s="10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">
        <v>44421.0</v>
      </c>
      <c r="B477" s="11"/>
      <c r="C477" s="11" t="s">
        <v>457</v>
      </c>
      <c r="D477" s="11" t="s">
        <v>602</v>
      </c>
      <c r="E477" s="11"/>
      <c r="F477" s="12"/>
      <c r="G477" s="11" t="s">
        <v>241</v>
      </c>
      <c r="H477" s="11" t="s">
        <v>603</v>
      </c>
      <c r="I477" s="26"/>
      <c r="J477" s="12"/>
      <c r="K477" s="10"/>
      <c r="L477" s="11"/>
      <c r="M477" s="11"/>
      <c r="N477" s="10"/>
      <c r="O477" s="10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0">
        <v>44424.0</v>
      </c>
      <c r="B478" s="13">
        <v>1392.0</v>
      </c>
      <c r="C478" s="11" t="s">
        <v>548</v>
      </c>
      <c r="D478" s="27" t="s">
        <v>604</v>
      </c>
      <c r="E478" s="27">
        <v>1.0</v>
      </c>
      <c r="F478" s="12" t="s">
        <v>605</v>
      </c>
      <c r="G478" s="11" t="s">
        <v>27</v>
      </c>
      <c r="H478" s="11" t="s">
        <v>560</v>
      </c>
      <c r="I478" s="26"/>
      <c r="J478" s="12"/>
      <c r="K478" s="10"/>
      <c r="L478" s="11"/>
      <c r="M478" s="11"/>
      <c r="N478" s="10"/>
      <c r="O478" s="10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0">
        <v>44424.0</v>
      </c>
      <c r="B479" s="16">
        <v>1390.0</v>
      </c>
      <c r="C479" s="11" t="s">
        <v>39</v>
      </c>
      <c r="D479" s="11" t="s">
        <v>606</v>
      </c>
      <c r="E479" s="11">
        <v>1.0</v>
      </c>
      <c r="F479" s="12">
        <v>4769.99</v>
      </c>
      <c r="G479" s="14" t="s">
        <v>21</v>
      </c>
      <c r="H479" s="11" t="s">
        <v>607</v>
      </c>
      <c r="I479" s="26"/>
      <c r="J479" s="12">
        <v>4769.99</v>
      </c>
      <c r="K479" s="10">
        <v>44469.0</v>
      </c>
      <c r="L479" s="11">
        <v>1591.0</v>
      </c>
      <c r="M479" s="11"/>
      <c r="N479" s="10"/>
      <c r="O479" s="10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0">
        <v>44425.0</v>
      </c>
      <c r="B480" s="15">
        <v>1394.0</v>
      </c>
      <c r="C480" s="11" t="s">
        <v>608</v>
      </c>
      <c r="D480" s="11" t="s">
        <v>609</v>
      </c>
      <c r="E480" s="11">
        <v>1.0</v>
      </c>
      <c r="F480" s="12">
        <v>929.47</v>
      </c>
      <c r="G480" s="11" t="s">
        <v>27</v>
      </c>
      <c r="H480" s="11" t="s">
        <v>610</v>
      </c>
      <c r="I480" s="26"/>
      <c r="J480" s="12"/>
      <c r="K480" s="10"/>
      <c r="L480" s="11"/>
      <c r="M480" s="11"/>
      <c r="N480" s="10"/>
      <c r="O480" s="10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0">
        <v>44425.0</v>
      </c>
      <c r="B481" s="16">
        <v>1387.0</v>
      </c>
      <c r="C481" s="11" t="s">
        <v>39</v>
      </c>
      <c r="D481" s="11" t="s">
        <v>611</v>
      </c>
      <c r="E481" s="11">
        <v>2.0</v>
      </c>
      <c r="F481" s="12">
        <v>1966.18</v>
      </c>
      <c r="G481" s="14" t="s">
        <v>21</v>
      </c>
      <c r="H481" s="11"/>
      <c r="I481" s="26"/>
      <c r="J481" s="12">
        <v>2040.1</v>
      </c>
      <c r="K481" s="10">
        <v>44426.0</v>
      </c>
      <c r="L481" s="11">
        <v>1570.0</v>
      </c>
      <c r="M481" s="11"/>
      <c r="N481" s="10"/>
      <c r="O481" s="10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0">
        <v>44426.0</v>
      </c>
      <c r="B482" s="15">
        <v>1389.0</v>
      </c>
      <c r="C482" s="11" t="s">
        <v>39</v>
      </c>
      <c r="D482" s="11" t="s">
        <v>612</v>
      </c>
      <c r="E482" s="11">
        <v>1.0</v>
      </c>
      <c r="F482" s="12" t="s">
        <v>613</v>
      </c>
      <c r="G482" s="11" t="s">
        <v>27</v>
      </c>
      <c r="H482" s="11" t="s">
        <v>614</v>
      </c>
      <c r="I482" s="26"/>
      <c r="J482" s="12"/>
      <c r="K482" s="10"/>
      <c r="L482" s="11"/>
      <c r="M482" s="11"/>
      <c r="N482" s="10"/>
      <c r="O482" s="10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0">
        <v>44426.0</v>
      </c>
      <c r="B483" s="13">
        <v>1391.0</v>
      </c>
      <c r="C483" s="11" t="s">
        <v>164</v>
      </c>
      <c r="D483" s="11" t="s">
        <v>585</v>
      </c>
      <c r="E483" s="11">
        <v>1.0</v>
      </c>
      <c r="F483" s="12">
        <v>435.35</v>
      </c>
      <c r="G483" s="11" t="s">
        <v>27</v>
      </c>
      <c r="H483" s="11"/>
      <c r="I483" s="26"/>
      <c r="J483" s="12"/>
      <c r="K483" s="10"/>
      <c r="L483" s="11"/>
      <c r="M483" s="11"/>
      <c r="N483" s="10"/>
      <c r="O483" s="10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0">
        <v>44426.0</v>
      </c>
      <c r="B484" s="15">
        <v>1391.0</v>
      </c>
      <c r="C484" s="11" t="s">
        <v>164</v>
      </c>
      <c r="D484" s="11" t="s">
        <v>615</v>
      </c>
      <c r="E484" s="11">
        <v>1.0</v>
      </c>
      <c r="F484" s="12">
        <v>1180.39</v>
      </c>
      <c r="G484" s="11" t="s">
        <v>27</v>
      </c>
      <c r="H484" s="11"/>
      <c r="I484" s="26"/>
      <c r="J484" s="12"/>
      <c r="K484" s="10"/>
      <c r="L484" s="11"/>
      <c r="M484" s="11"/>
      <c r="N484" s="10"/>
      <c r="O484" s="10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0">
        <v>44426.0</v>
      </c>
      <c r="B485" s="15">
        <v>1391.0</v>
      </c>
      <c r="C485" s="11" t="s">
        <v>164</v>
      </c>
      <c r="D485" s="11" t="s">
        <v>616</v>
      </c>
      <c r="E485" s="11">
        <v>1.0</v>
      </c>
      <c r="F485" s="12">
        <v>361.48</v>
      </c>
      <c r="G485" s="11" t="s">
        <v>27</v>
      </c>
      <c r="H485" s="11"/>
      <c r="I485" s="26"/>
      <c r="J485" s="12"/>
      <c r="K485" s="10"/>
      <c r="L485" s="11"/>
      <c r="M485" s="11"/>
      <c r="N485" s="10"/>
      <c r="O485" s="10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0">
        <v>44426.0</v>
      </c>
      <c r="B486" s="15">
        <v>1391.0</v>
      </c>
      <c r="C486" s="11" t="s">
        <v>164</v>
      </c>
      <c r="D486" s="11" t="s">
        <v>617</v>
      </c>
      <c r="E486" s="11">
        <v>1.0</v>
      </c>
      <c r="F486" s="12">
        <v>261.81</v>
      </c>
      <c r="G486" s="11" t="s">
        <v>27</v>
      </c>
      <c r="H486" s="11"/>
      <c r="I486" s="26"/>
      <c r="J486" s="12"/>
      <c r="K486" s="10"/>
      <c r="L486" s="11"/>
      <c r="M486" s="11"/>
      <c r="N486" s="10"/>
      <c r="O486" s="10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0">
        <v>44426.0</v>
      </c>
      <c r="B487" s="15">
        <v>1391.0</v>
      </c>
      <c r="C487" s="11" t="s">
        <v>164</v>
      </c>
      <c r="D487" s="11" t="s">
        <v>618</v>
      </c>
      <c r="E487" s="11">
        <v>1.0</v>
      </c>
      <c r="F487" s="12">
        <v>562.17</v>
      </c>
      <c r="G487" s="11" t="s">
        <v>27</v>
      </c>
      <c r="H487" s="11"/>
      <c r="I487" s="26"/>
      <c r="J487" s="12"/>
      <c r="K487" s="10"/>
      <c r="L487" s="11"/>
      <c r="M487" s="11"/>
      <c r="N487" s="10"/>
      <c r="O487" s="10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0">
        <v>44426.0</v>
      </c>
      <c r="B488" s="17">
        <v>1391.0</v>
      </c>
      <c r="C488" s="11" t="s">
        <v>164</v>
      </c>
      <c r="D488" s="11" t="s">
        <v>619</v>
      </c>
      <c r="E488" s="11">
        <v>1.0</v>
      </c>
      <c r="F488" s="12">
        <v>659.0</v>
      </c>
      <c r="G488" s="11" t="s">
        <v>27</v>
      </c>
      <c r="H488" s="11" t="s">
        <v>620</v>
      </c>
      <c r="I488" s="26"/>
      <c r="J488" s="12"/>
      <c r="K488" s="10"/>
      <c r="L488" s="11"/>
      <c r="M488" s="11"/>
      <c r="N488" s="10"/>
      <c r="O488" s="10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0">
        <v>44426.0</v>
      </c>
      <c r="B489" s="15">
        <v>1396.0</v>
      </c>
      <c r="C489" s="11" t="s">
        <v>621</v>
      </c>
      <c r="D489" s="11" t="s">
        <v>622</v>
      </c>
      <c r="E489" s="11">
        <v>3.0</v>
      </c>
      <c r="F489" s="12" t="s">
        <v>623</v>
      </c>
      <c r="G489" s="11" t="s">
        <v>27</v>
      </c>
      <c r="H489" s="11" t="s">
        <v>624</v>
      </c>
      <c r="I489" s="26"/>
      <c r="J489" s="12"/>
      <c r="K489" s="10"/>
      <c r="L489" s="11"/>
      <c r="M489" s="11"/>
      <c r="N489" s="10"/>
      <c r="O489" s="10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0">
        <v>44427.0</v>
      </c>
      <c r="B490" s="16">
        <v>1393.0</v>
      </c>
      <c r="C490" s="11" t="s">
        <v>39</v>
      </c>
      <c r="D490" s="11" t="s">
        <v>615</v>
      </c>
      <c r="E490" s="11">
        <v>2.0</v>
      </c>
      <c r="F490" s="12">
        <v>2360.78</v>
      </c>
      <c r="G490" s="11" t="s">
        <v>27</v>
      </c>
      <c r="H490" s="11" t="s">
        <v>625</v>
      </c>
      <c r="I490" s="26"/>
      <c r="J490" s="12"/>
      <c r="K490" s="10"/>
      <c r="L490" s="11"/>
      <c r="M490" s="11"/>
      <c r="N490" s="10"/>
      <c r="O490" s="10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0">
        <v>44427.0</v>
      </c>
      <c r="B491" s="15">
        <v>1397.0</v>
      </c>
      <c r="C491" s="11" t="s">
        <v>626</v>
      </c>
      <c r="D491" s="11" t="s">
        <v>627</v>
      </c>
      <c r="E491" s="11">
        <v>1.0</v>
      </c>
      <c r="F491" s="12" t="s">
        <v>628</v>
      </c>
      <c r="G491" s="11" t="s">
        <v>27</v>
      </c>
      <c r="H491" s="11"/>
      <c r="I491" s="26"/>
      <c r="J491" s="12"/>
      <c r="K491" s="10"/>
      <c r="L491" s="11"/>
      <c r="M491" s="11"/>
      <c r="N491" s="10"/>
      <c r="O491" s="10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0">
        <v>44427.0</v>
      </c>
      <c r="B492" s="15">
        <v>1397.0</v>
      </c>
      <c r="C492" s="11" t="s">
        <v>626</v>
      </c>
      <c r="D492" s="11" t="s">
        <v>629</v>
      </c>
      <c r="E492" s="11">
        <v>4.0</v>
      </c>
      <c r="F492" s="12">
        <v>1867.44</v>
      </c>
      <c r="G492" s="11" t="s">
        <v>27</v>
      </c>
      <c r="H492" s="11"/>
      <c r="I492" s="26"/>
      <c r="J492" s="12"/>
      <c r="K492" s="10"/>
      <c r="L492" s="11"/>
      <c r="M492" s="11"/>
      <c r="N492" s="10"/>
      <c r="O492" s="10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">
        <v>44427.0</v>
      </c>
      <c r="B493" s="15">
        <v>1397.0</v>
      </c>
      <c r="C493" s="11" t="s">
        <v>626</v>
      </c>
      <c r="D493" s="11" t="s">
        <v>630</v>
      </c>
      <c r="E493" s="11">
        <v>4.0</v>
      </c>
      <c r="F493" s="12">
        <v>3251.12</v>
      </c>
      <c r="G493" s="11" t="s">
        <v>27</v>
      </c>
      <c r="H493" s="11"/>
      <c r="I493" s="26"/>
      <c r="J493" s="12"/>
      <c r="K493" s="10"/>
      <c r="L493" s="11"/>
      <c r="M493" s="11"/>
      <c r="N493" s="10"/>
      <c r="O493" s="10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0">
        <v>44427.0</v>
      </c>
      <c r="B494" s="15">
        <v>1397.0</v>
      </c>
      <c r="C494" s="11" t="s">
        <v>626</v>
      </c>
      <c r="D494" s="11" t="s">
        <v>631</v>
      </c>
      <c r="E494" s="11">
        <v>4.0</v>
      </c>
      <c r="F494" s="12">
        <v>1891.6</v>
      </c>
      <c r="G494" s="11" t="s">
        <v>27</v>
      </c>
      <c r="H494" s="11" t="s">
        <v>632</v>
      </c>
      <c r="I494" s="26"/>
      <c r="J494" s="12"/>
      <c r="K494" s="10"/>
      <c r="L494" s="11"/>
      <c r="M494" s="11"/>
      <c r="N494" s="10"/>
      <c r="O494" s="10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0">
        <v>44427.0</v>
      </c>
      <c r="B495" s="16">
        <v>1395.0</v>
      </c>
      <c r="C495" s="11" t="s">
        <v>633</v>
      </c>
      <c r="D495" s="11" t="s">
        <v>634</v>
      </c>
      <c r="E495" s="11">
        <v>1.0</v>
      </c>
      <c r="F495" s="12">
        <v>6258.59</v>
      </c>
      <c r="G495" s="11" t="s">
        <v>27</v>
      </c>
      <c r="H495" s="11" t="s">
        <v>635</v>
      </c>
      <c r="I495" s="26"/>
      <c r="J495" s="12"/>
      <c r="K495" s="10"/>
      <c r="L495" s="11"/>
      <c r="M495" s="11"/>
      <c r="N495" s="10"/>
      <c r="O495" s="10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0">
        <v>44432.0</v>
      </c>
      <c r="B496" s="16">
        <v>1399.0</v>
      </c>
      <c r="C496" s="11" t="s">
        <v>636</v>
      </c>
      <c r="D496" s="11" t="s">
        <v>637</v>
      </c>
      <c r="E496" s="11">
        <v>1.0</v>
      </c>
      <c r="F496" s="12" t="s">
        <v>638</v>
      </c>
      <c r="G496" s="11" t="s">
        <v>27</v>
      </c>
      <c r="H496" s="11" t="s">
        <v>639</v>
      </c>
      <c r="I496" s="26"/>
      <c r="J496" s="12"/>
      <c r="K496" s="10"/>
      <c r="L496" s="11"/>
      <c r="M496" s="11"/>
      <c r="N496" s="10"/>
      <c r="O496" s="10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0">
        <v>44430.0</v>
      </c>
      <c r="B497" s="15" t="s">
        <v>640</v>
      </c>
      <c r="C497" s="11" t="s">
        <v>551</v>
      </c>
      <c r="D497" s="11" t="s">
        <v>641</v>
      </c>
      <c r="E497" s="11">
        <v>1.0</v>
      </c>
      <c r="F497" s="12">
        <v>2454.85</v>
      </c>
      <c r="G497" s="11" t="s">
        <v>27</v>
      </c>
      <c r="H497" s="11"/>
      <c r="I497" s="26"/>
      <c r="J497" s="12"/>
      <c r="K497" s="10"/>
      <c r="L497" s="11"/>
      <c r="M497" s="11"/>
      <c r="N497" s="10"/>
      <c r="O497" s="10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0">
        <v>44430.0</v>
      </c>
      <c r="B498" s="15" t="s">
        <v>640</v>
      </c>
      <c r="C498" s="11" t="s">
        <v>551</v>
      </c>
      <c r="D498" s="11" t="s">
        <v>642</v>
      </c>
      <c r="E498" s="11">
        <v>1.0</v>
      </c>
      <c r="F498" s="12">
        <v>2191.24</v>
      </c>
      <c r="G498" s="11" t="s">
        <v>27</v>
      </c>
      <c r="H498" s="11"/>
      <c r="I498" s="26"/>
      <c r="J498" s="12"/>
      <c r="K498" s="10"/>
      <c r="L498" s="11"/>
      <c r="M498" s="11"/>
      <c r="N498" s="10"/>
      <c r="O498" s="10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0">
        <v>44430.0</v>
      </c>
      <c r="B499" s="17" t="s">
        <v>640</v>
      </c>
      <c r="C499" s="11" t="s">
        <v>551</v>
      </c>
      <c r="D499" s="11" t="s">
        <v>643</v>
      </c>
      <c r="E499" s="11">
        <v>1.0</v>
      </c>
      <c r="F499" s="12">
        <v>1100.0</v>
      </c>
      <c r="G499" s="11" t="s">
        <v>27</v>
      </c>
      <c r="H499" s="11" t="s">
        <v>644</v>
      </c>
      <c r="I499" s="26"/>
      <c r="J499" s="12"/>
      <c r="K499" s="10"/>
      <c r="L499" s="11"/>
      <c r="M499" s="11"/>
      <c r="N499" s="10"/>
      <c r="O499" s="10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0">
        <v>44432.0</v>
      </c>
      <c r="B500" s="11"/>
      <c r="C500" s="11" t="s">
        <v>39</v>
      </c>
      <c r="D500" s="11" t="s">
        <v>645</v>
      </c>
      <c r="E500" s="11"/>
      <c r="F500" s="12"/>
      <c r="G500" s="11" t="s">
        <v>241</v>
      </c>
      <c r="H500" s="11" t="s">
        <v>625</v>
      </c>
      <c r="I500" s="26"/>
      <c r="J500" s="12"/>
      <c r="K500" s="10"/>
      <c r="L500" s="11"/>
      <c r="M500" s="11"/>
      <c r="N500" s="10"/>
      <c r="O500" s="10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0">
        <v>44431.0</v>
      </c>
      <c r="B501" s="13">
        <v>1400.0</v>
      </c>
      <c r="C501" s="11" t="s">
        <v>646</v>
      </c>
      <c r="D501" s="11" t="s">
        <v>647</v>
      </c>
      <c r="E501" s="11">
        <v>30.0</v>
      </c>
      <c r="F501" s="12">
        <v>1706.67</v>
      </c>
      <c r="G501" s="11" t="s">
        <v>27</v>
      </c>
      <c r="H501" s="11"/>
      <c r="I501" s="26"/>
      <c r="J501" s="12"/>
      <c r="K501" s="10"/>
      <c r="L501" s="11"/>
      <c r="M501" s="11"/>
      <c r="N501" s="10"/>
      <c r="O501" s="10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0">
        <v>44431.0</v>
      </c>
      <c r="B502" s="15">
        <v>1400.0</v>
      </c>
      <c r="C502" s="11" t="s">
        <v>646</v>
      </c>
      <c r="D502" s="11" t="s">
        <v>648</v>
      </c>
      <c r="E502" s="11">
        <v>1.0</v>
      </c>
      <c r="F502" s="12">
        <v>482.71</v>
      </c>
      <c r="G502" s="11" t="s">
        <v>27</v>
      </c>
      <c r="H502" s="11"/>
      <c r="I502" s="26"/>
      <c r="J502" s="12"/>
      <c r="K502" s="10"/>
      <c r="L502" s="11"/>
      <c r="M502" s="11"/>
      <c r="N502" s="10"/>
      <c r="O502" s="10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0">
        <v>44431.0</v>
      </c>
      <c r="B503" s="17">
        <v>1400.0</v>
      </c>
      <c r="C503" s="11" t="s">
        <v>646</v>
      </c>
      <c r="D503" s="11" t="s">
        <v>649</v>
      </c>
      <c r="E503" s="11">
        <v>1.0</v>
      </c>
      <c r="F503" s="12" t="s">
        <v>650</v>
      </c>
      <c r="G503" s="11" t="s">
        <v>27</v>
      </c>
      <c r="H503" s="11" t="s">
        <v>651</v>
      </c>
      <c r="I503" s="26"/>
      <c r="J503" s="12"/>
      <c r="K503" s="10"/>
      <c r="L503" s="11"/>
      <c r="M503" s="11"/>
      <c r="N503" s="10"/>
      <c r="O503" s="10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0">
        <v>44433.0</v>
      </c>
      <c r="B504" s="11"/>
      <c r="C504" s="11" t="s">
        <v>457</v>
      </c>
      <c r="D504" s="11" t="s">
        <v>652</v>
      </c>
      <c r="E504" s="11"/>
      <c r="F504" s="12"/>
      <c r="G504" s="11" t="s">
        <v>241</v>
      </c>
      <c r="H504" s="11" t="s">
        <v>653</v>
      </c>
      <c r="I504" s="26"/>
      <c r="J504" s="12"/>
      <c r="K504" s="10"/>
      <c r="L504" s="11"/>
      <c r="M504" s="11"/>
      <c r="N504" s="10"/>
      <c r="O504" s="10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0">
        <v>44434.0</v>
      </c>
      <c r="B505" s="16">
        <v>1404.0</v>
      </c>
      <c r="C505" s="11" t="s">
        <v>654</v>
      </c>
      <c r="D505" s="11" t="s">
        <v>655</v>
      </c>
      <c r="E505" s="11">
        <v>10.0</v>
      </c>
      <c r="F505" s="12">
        <v>2223.7</v>
      </c>
      <c r="G505" s="11" t="s">
        <v>27</v>
      </c>
      <c r="H505" s="11" t="s">
        <v>656</v>
      </c>
      <c r="I505" s="26" t="s">
        <v>657</v>
      </c>
      <c r="J505" s="12"/>
      <c r="K505" s="10"/>
      <c r="L505" s="11"/>
      <c r="M505" s="11"/>
      <c r="N505" s="10"/>
      <c r="O505" s="10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0">
        <v>44434.0</v>
      </c>
      <c r="B506" s="15">
        <v>1402.0</v>
      </c>
      <c r="C506" s="11" t="s">
        <v>658</v>
      </c>
      <c r="D506" s="11" t="s">
        <v>659</v>
      </c>
      <c r="E506" s="11">
        <v>10.0</v>
      </c>
      <c r="F506" s="12">
        <v>18389.1</v>
      </c>
      <c r="G506" s="11" t="s">
        <v>27</v>
      </c>
      <c r="H506" s="11"/>
      <c r="I506" s="26"/>
      <c r="J506" s="12"/>
      <c r="K506" s="10"/>
      <c r="L506" s="11"/>
      <c r="M506" s="11"/>
      <c r="N506" s="10"/>
      <c r="O506" s="10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0">
        <v>44434.0</v>
      </c>
      <c r="B507" s="17">
        <v>1402.0</v>
      </c>
      <c r="C507" s="11" t="s">
        <v>658</v>
      </c>
      <c r="D507" s="11" t="s">
        <v>660</v>
      </c>
      <c r="E507" s="11">
        <v>1.0</v>
      </c>
      <c r="F507" s="12">
        <v>27283.96</v>
      </c>
      <c r="G507" s="11" t="s">
        <v>27</v>
      </c>
      <c r="H507" s="11" t="s">
        <v>661</v>
      </c>
      <c r="I507" s="26" t="s">
        <v>662</v>
      </c>
      <c r="J507" s="12"/>
      <c r="K507" s="10"/>
      <c r="L507" s="11"/>
      <c r="M507" s="11"/>
      <c r="N507" s="10"/>
      <c r="O507" s="10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0">
        <v>44438.0</v>
      </c>
      <c r="B508" s="11"/>
      <c r="C508" s="11" t="s">
        <v>123</v>
      </c>
      <c r="D508" s="11" t="s">
        <v>663</v>
      </c>
      <c r="E508" s="11"/>
      <c r="F508" s="12"/>
      <c r="G508" s="11" t="s">
        <v>241</v>
      </c>
      <c r="H508" s="11" t="s">
        <v>664</v>
      </c>
      <c r="I508" s="26"/>
      <c r="J508" s="12"/>
      <c r="K508" s="10"/>
      <c r="L508" s="11"/>
      <c r="M508" s="11"/>
      <c r="N508" s="10"/>
      <c r="O508" s="10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0">
        <v>44435.0</v>
      </c>
      <c r="B509" s="13">
        <v>1406.0</v>
      </c>
      <c r="C509" s="11" t="s">
        <v>665</v>
      </c>
      <c r="D509" s="11" t="s">
        <v>666</v>
      </c>
      <c r="E509" s="11">
        <v>1.0</v>
      </c>
      <c r="F509" s="12">
        <v>802.14</v>
      </c>
      <c r="G509" s="11" t="s">
        <v>27</v>
      </c>
      <c r="H509" s="11"/>
      <c r="I509" s="26"/>
      <c r="J509" s="12"/>
      <c r="K509" s="10"/>
      <c r="L509" s="11"/>
      <c r="M509" s="11"/>
      <c r="N509" s="10"/>
      <c r="O509" s="10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">
        <v>44435.0</v>
      </c>
      <c r="B510" s="17">
        <v>1406.0</v>
      </c>
      <c r="C510" s="11" t="s">
        <v>665</v>
      </c>
      <c r="D510" s="11" t="s">
        <v>667</v>
      </c>
      <c r="E510" s="11">
        <v>1.0</v>
      </c>
      <c r="F510" s="12">
        <v>926.4</v>
      </c>
      <c r="G510" s="11" t="s">
        <v>27</v>
      </c>
      <c r="H510" s="11" t="s">
        <v>668</v>
      </c>
      <c r="I510" s="26"/>
      <c r="J510" s="12"/>
      <c r="K510" s="10"/>
      <c r="L510" s="11"/>
      <c r="M510" s="11"/>
      <c r="N510" s="10"/>
      <c r="O510" s="10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0">
        <v>44435.0</v>
      </c>
      <c r="B511" s="11"/>
      <c r="C511" s="11"/>
      <c r="D511" s="27" t="s">
        <v>669</v>
      </c>
      <c r="E511" s="27"/>
      <c r="F511" s="12"/>
      <c r="G511" s="11" t="s">
        <v>241</v>
      </c>
      <c r="H511" s="11" t="s">
        <v>670</v>
      </c>
      <c r="I511" s="26"/>
      <c r="J511" s="12"/>
      <c r="K511" s="10"/>
      <c r="L511" s="11"/>
      <c r="M511" s="11"/>
      <c r="N511" s="10"/>
      <c r="O511" s="10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0">
        <v>44435.0</v>
      </c>
      <c r="B512" s="16">
        <v>1405.0</v>
      </c>
      <c r="C512" s="11" t="s">
        <v>46</v>
      </c>
      <c r="D512" s="11" t="s">
        <v>671</v>
      </c>
      <c r="E512" s="11">
        <v>2.0</v>
      </c>
      <c r="F512" s="12">
        <v>457.72</v>
      </c>
      <c r="G512" s="14" t="s">
        <v>21</v>
      </c>
      <c r="H512" s="11" t="s">
        <v>672</v>
      </c>
      <c r="I512" s="11" t="s">
        <v>673</v>
      </c>
      <c r="J512" s="12">
        <v>457.72</v>
      </c>
      <c r="K512" s="10">
        <v>44651.0</v>
      </c>
      <c r="L512" s="11">
        <v>1731.0</v>
      </c>
      <c r="M512" s="11">
        <v>5121.0</v>
      </c>
      <c r="N512" s="10"/>
      <c r="O512" s="10">
        <v>44681.0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0">
        <v>44435.0</v>
      </c>
      <c r="B513" s="17">
        <v>1403.0</v>
      </c>
      <c r="C513" s="11" t="s">
        <v>674</v>
      </c>
      <c r="D513" s="11" t="s">
        <v>675</v>
      </c>
      <c r="E513" s="11">
        <v>3.0</v>
      </c>
      <c r="F513" s="12">
        <v>5198.94</v>
      </c>
      <c r="G513" s="11" t="s">
        <v>27</v>
      </c>
      <c r="H513" s="11" t="s">
        <v>676</v>
      </c>
      <c r="I513" s="26"/>
      <c r="J513" s="12"/>
      <c r="K513" s="10"/>
      <c r="L513" s="11"/>
      <c r="M513" s="11"/>
      <c r="N513" s="10"/>
      <c r="O513" s="10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0">
        <v>44439.0</v>
      </c>
      <c r="B514" s="11"/>
      <c r="C514" s="11" t="s">
        <v>677</v>
      </c>
      <c r="D514" s="27" t="s">
        <v>678</v>
      </c>
      <c r="E514" s="27"/>
      <c r="F514" s="12"/>
      <c r="G514" s="11" t="s">
        <v>241</v>
      </c>
      <c r="H514" s="11" t="s">
        <v>679</v>
      </c>
      <c r="I514" s="26"/>
      <c r="J514" s="12"/>
      <c r="K514" s="10"/>
      <c r="L514" s="11"/>
      <c r="M514" s="11"/>
      <c r="N514" s="10"/>
      <c r="O514" s="10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8"/>
      <c r="B515" s="19"/>
      <c r="C515" s="19"/>
      <c r="D515" s="19"/>
      <c r="E515" s="19"/>
      <c r="F515" s="20"/>
      <c r="G515" s="19"/>
      <c r="H515" s="19"/>
      <c r="I515" s="19"/>
      <c r="J515" s="20"/>
      <c r="K515" s="18"/>
      <c r="L515" s="19"/>
      <c r="M515" s="19"/>
      <c r="N515" s="18"/>
      <c r="O515" s="18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0">
        <v>44440.0</v>
      </c>
      <c r="B516" s="13">
        <v>1413.0</v>
      </c>
      <c r="C516" s="11" t="s">
        <v>44</v>
      </c>
      <c r="D516" s="11" t="s">
        <v>680</v>
      </c>
      <c r="E516" s="11">
        <v>1.0</v>
      </c>
      <c r="F516" s="12">
        <v>5706.54</v>
      </c>
      <c r="G516" s="11" t="s">
        <v>167</v>
      </c>
      <c r="H516" s="11" t="s">
        <v>607</v>
      </c>
      <c r="I516" s="26"/>
      <c r="J516" s="12"/>
      <c r="K516" s="10"/>
      <c r="L516" s="11"/>
      <c r="M516" s="11"/>
      <c r="N516" s="10"/>
      <c r="O516" s="10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0">
        <v>44440.0</v>
      </c>
      <c r="B517" s="16">
        <v>1407.0</v>
      </c>
      <c r="C517" s="11" t="s">
        <v>681</v>
      </c>
      <c r="D517" s="11" t="s">
        <v>408</v>
      </c>
      <c r="E517" s="11">
        <v>2.0</v>
      </c>
      <c r="F517" s="12">
        <v>6618.68</v>
      </c>
      <c r="G517" s="11" t="s">
        <v>27</v>
      </c>
      <c r="H517" s="11" t="s">
        <v>682</v>
      </c>
      <c r="I517" s="26"/>
      <c r="J517" s="12"/>
      <c r="K517" s="10"/>
      <c r="L517" s="11"/>
      <c r="M517" s="11"/>
      <c r="N517" s="10"/>
      <c r="O517" s="10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0">
        <v>44440.0</v>
      </c>
      <c r="B518" s="11"/>
      <c r="C518" s="11" t="s">
        <v>164</v>
      </c>
      <c r="D518" s="11" t="s">
        <v>683</v>
      </c>
      <c r="E518" s="11"/>
      <c r="F518" s="12"/>
      <c r="G518" s="11" t="s">
        <v>241</v>
      </c>
      <c r="H518" s="11" t="s">
        <v>684</v>
      </c>
      <c r="I518" s="26"/>
      <c r="J518" s="12"/>
      <c r="K518" s="10"/>
      <c r="L518" s="11"/>
      <c r="M518" s="11"/>
      <c r="N518" s="10"/>
      <c r="O518" s="10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0">
        <v>44442.0</v>
      </c>
      <c r="B519" s="16">
        <v>1416.0</v>
      </c>
      <c r="C519" s="11" t="s">
        <v>685</v>
      </c>
      <c r="D519" s="11" t="s">
        <v>686</v>
      </c>
      <c r="E519" s="11">
        <v>1.0</v>
      </c>
      <c r="F519" s="12">
        <v>2815.85</v>
      </c>
      <c r="G519" s="14" t="s">
        <v>180</v>
      </c>
      <c r="H519" s="11" t="s">
        <v>687</v>
      </c>
      <c r="I519" s="26"/>
      <c r="J519" s="12">
        <v>2815.85</v>
      </c>
      <c r="K519" s="10">
        <v>44488.0</v>
      </c>
      <c r="L519" s="11">
        <v>1600.0</v>
      </c>
      <c r="M519" s="11"/>
      <c r="N519" s="10"/>
      <c r="O519" s="10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0">
        <v>44442.0</v>
      </c>
      <c r="B520" s="11"/>
      <c r="C520" s="11" t="s">
        <v>457</v>
      </c>
      <c r="D520" s="11" t="s">
        <v>688</v>
      </c>
      <c r="E520" s="11"/>
      <c r="F520" s="12"/>
      <c r="G520" s="11" t="s">
        <v>448</v>
      </c>
      <c r="H520" s="11" t="s">
        <v>689</v>
      </c>
      <c r="I520" s="26"/>
      <c r="J520" s="12"/>
      <c r="K520" s="10"/>
      <c r="L520" s="11"/>
      <c r="M520" s="11"/>
      <c r="N520" s="10"/>
      <c r="O520" s="10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0">
        <v>44442.0</v>
      </c>
      <c r="B521" s="13">
        <v>1417.0</v>
      </c>
      <c r="C521" s="11" t="s">
        <v>690</v>
      </c>
      <c r="D521" s="11" t="s">
        <v>691</v>
      </c>
      <c r="E521" s="11">
        <v>2.0</v>
      </c>
      <c r="F521" s="12">
        <v>5367.81</v>
      </c>
      <c r="G521" s="14" t="s">
        <v>180</v>
      </c>
      <c r="H521" s="11"/>
      <c r="I521" s="26"/>
      <c r="J521" s="12">
        <v>5367.81</v>
      </c>
      <c r="K521" s="10">
        <v>44670.0</v>
      </c>
      <c r="L521" s="11">
        <v>1783.0</v>
      </c>
      <c r="M521" s="11">
        <v>4.501256692E9</v>
      </c>
      <c r="N521" s="10"/>
      <c r="O521" s="10">
        <v>44707.0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">
        <v>44442.0</v>
      </c>
      <c r="B522" s="15">
        <v>1417.0</v>
      </c>
      <c r="C522" s="11" t="s">
        <v>690</v>
      </c>
      <c r="D522" s="11" t="s">
        <v>692</v>
      </c>
      <c r="E522" s="11">
        <v>2.0</v>
      </c>
      <c r="F522" s="12">
        <v>1927.59</v>
      </c>
      <c r="G522" s="14" t="s">
        <v>180</v>
      </c>
      <c r="H522" s="11"/>
      <c r="I522" s="26"/>
      <c r="J522" s="12">
        <v>1927.59</v>
      </c>
      <c r="K522" s="10">
        <v>44670.0</v>
      </c>
      <c r="L522" s="11">
        <v>1783.0</v>
      </c>
      <c r="M522" s="11">
        <v>4.501256692E9</v>
      </c>
      <c r="N522" s="10"/>
      <c r="O522" s="10">
        <v>44707.0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">
        <v>44442.0</v>
      </c>
      <c r="B523" s="17">
        <v>1417.0</v>
      </c>
      <c r="C523" s="11" t="s">
        <v>690</v>
      </c>
      <c r="D523" s="11" t="s">
        <v>693</v>
      </c>
      <c r="E523" s="11">
        <v>2.0</v>
      </c>
      <c r="F523" s="12">
        <v>8207.35</v>
      </c>
      <c r="G523" s="14" t="s">
        <v>180</v>
      </c>
      <c r="H523" s="11" t="s">
        <v>694</v>
      </c>
      <c r="I523" s="26"/>
      <c r="J523" s="12">
        <v>8207.35</v>
      </c>
      <c r="K523" s="10">
        <v>44670.0</v>
      </c>
      <c r="L523" s="11">
        <v>1783.0</v>
      </c>
      <c r="M523" s="11">
        <v>4.501256692E9</v>
      </c>
      <c r="N523" s="10"/>
      <c r="O523" s="10">
        <v>44707.0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0">
        <v>44441.0</v>
      </c>
      <c r="B524" s="11"/>
      <c r="C524" s="11" t="s">
        <v>695</v>
      </c>
      <c r="D524" s="11" t="s">
        <v>696</v>
      </c>
      <c r="E524" s="11"/>
      <c r="F524" s="12"/>
      <c r="G524" s="11" t="s">
        <v>27</v>
      </c>
      <c r="H524" s="11" t="s">
        <v>697</v>
      </c>
      <c r="I524" s="26"/>
      <c r="J524" s="12"/>
      <c r="K524" s="10"/>
      <c r="L524" s="11"/>
      <c r="M524" s="11"/>
      <c r="N524" s="10"/>
      <c r="O524" s="10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0">
        <v>44448.0</v>
      </c>
      <c r="B525" s="13">
        <v>1425.0</v>
      </c>
      <c r="C525" s="11" t="s">
        <v>39</v>
      </c>
      <c r="D525" s="11" t="s">
        <v>698</v>
      </c>
      <c r="E525" s="11">
        <v>1.0</v>
      </c>
      <c r="F525" s="12">
        <v>17583.51</v>
      </c>
      <c r="G525" s="14" t="s">
        <v>21</v>
      </c>
      <c r="H525" s="11" t="s">
        <v>607</v>
      </c>
      <c r="I525" s="26"/>
      <c r="J525" s="12">
        <v>17583.51</v>
      </c>
      <c r="K525" s="10">
        <v>44669.0</v>
      </c>
      <c r="L525" s="11">
        <v>1781.0</v>
      </c>
      <c r="M525" s="11">
        <v>4.501427093E9</v>
      </c>
      <c r="N525" s="10"/>
      <c r="O525" s="10">
        <v>44732.0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">
        <v>44448.0</v>
      </c>
      <c r="B526" s="13">
        <v>1424.0</v>
      </c>
      <c r="C526" s="11" t="s">
        <v>188</v>
      </c>
      <c r="D526" s="11" t="s">
        <v>699</v>
      </c>
      <c r="E526" s="11">
        <v>2.0</v>
      </c>
      <c r="F526" s="12">
        <v>20450.48</v>
      </c>
      <c r="G526" s="11" t="s">
        <v>167</v>
      </c>
      <c r="H526" s="11"/>
      <c r="I526" s="26"/>
      <c r="J526" s="12"/>
      <c r="K526" s="10"/>
      <c r="L526" s="11"/>
      <c r="M526" s="11"/>
      <c r="N526" s="10"/>
      <c r="O526" s="10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">
        <v>44448.0</v>
      </c>
      <c r="B527" s="15">
        <v>1424.0</v>
      </c>
      <c r="C527" s="11" t="s">
        <v>188</v>
      </c>
      <c r="D527" s="11" t="s">
        <v>700</v>
      </c>
      <c r="E527" s="11">
        <v>2.0</v>
      </c>
      <c r="F527" s="12">
        <v>8277.6</v>
      </c>
      <c r="G527" s="11" t="s">
        <v>167</v>
      </c>
      <c r="H527" s="11"/>
      <c r="I527" s="26"/>
      <c r="J527" s="12"/>
      <c r="K527" s="10"/>
      <c r="L527" s="11"/>
      <c r="M527" s="11"/>
      <c r="N527" s="10"/>
      <c r="O527" s="10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">
        <v>44448.0</v>
      </c>
      <c r="B528" s="15">
        <v>1424.0</v>
      </c>
      <c r="C528" s="11" t="s">
        <v>188</v>
      </c>
      <c r="D528" s="11" t="s">
        <v>701</v>
      </c>
      <c r="E528" s="11">
        <v>1.0</v>
      </c>
      <c r="F528" s="12">
        <v>12518.62</v>
      </c>
      <c r="G528" s="11" t="s">
        <v>167</v>
      </c>
      <c r="H528" s="11"/>
      <c r="I528" s="26"/>
      <c r="J528" s="12"/>
      <c r="K528" s="10"/>
      <c r="L528" s="11"/>
      <c r="M528" s="11"/>
      <c r="N528" s="10"/>
      <c r="O528" s="10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">
        <v>44448.0</v>
      </c>
      <c r="B529" s="17" t="s">
        <v>702</v>
      </c>
      <c r="C529" s="11" t="s">
        <v>457</v>
      </c>
      <c r="D529" s="11" t="s">
        <v>703</v>
      </c>
      <c r="E529" s="11">
        <v>2.0</v>
      </c>
      <c r="F529" s="12">
        <v>8277.6</v>
      </c>
      <c r="G529" s="11" t="s">
        <v>448</v>
      </c>
      <c r="H529" s="11" t="s">
        <v>689</v>
      </c>
      <c r="I529" s="26"/>
      <c r="J529" s="12"/>
      <c r="K529" s="10"/>
      <c r="L529" s="11"/>
      <c r="M529" s="11"/>
      <c r="N529" s="10"/>
      <c r="O529" s="10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0">
        <v>44448.0</v>
      </c>
      <c r="B530" s="15">
        <v>1432.0</v>
      </c>
      <c r="C530" s="11" t="s">
        <v>46</v>
      </c>
      <c r="D530" s="11" t="s">
        <v>704</v>
      </c>
      <c r="E530" s="11">
        <v>4.0</v>
      </c>
      <c r="F530" s="12">
        <v>13225.08</v>
      </c>
      <c r="G530" s="11" t="s">
        <v>167</v>
      </c>
      <c r="H530" s="11" t="s">
        <v>705</v>
      </c>
      <c r="I530" s="11" t="s">
        <v>706</v>
      </c>
      <c r="J530" s="12"/>
      <c r="K530" s="10"/>
      <c r="L530" s="11"/>
      <c r="M530" s="11"/>
      <c r="N530" s="10"/>
      <c r="O530" s="10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0">
        <v>44449.0</v>
      </c>
      <c r="B531" s="13">
        <v>1430.0</v>
      </c>
      <c r="C531" s="11" t="s">
        <v>707</v>
      </c>
      <c r="D531" s="11" t="s">
        <v>708</v>
      </c>
      <c r="E531" s="11">
        <v>1.0</v>
      </c>
      <c r="F531" s="12">
        <v>14273.34</v>
      </c>
      <c r="G531" s="11" t="s">
        <v>167</v>
      </c>
      <c r="H531" s="11"/>
      <c r="I531" s="11"/>
      <c r="J531" s="12"/>
      <c r="K531" s="10"/>
      <c r="L531" s="11"/>
      <c r="M531" s="11"/>
      <c r="N531" s="10"/>
      <c r="O531" s="10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0">
        <v>44449.0</v>
      </c>
      <c r="B532" s="17">
        <v>1430.0</v>
      </c>
      <c r="C532" s="11" t="s">
        <v>707</v>
      </c>
      <c r="D532" s="11" t="s">
        <v>709</v>
      </c>
      <c r="E532" s="11">
        <v>1.0</v>
      </c>
      <c r="F532" s="12">
        <v>802.14</v>
      </c>
      <c r="G532" s="11" t="s">
        <v>27</v>
      </c>
      <c r="H532" s="11" t="s">
        <v>560</v>
      </c>
      <c r="I532" s="26"/>
      <c r="J532" s="12"/>
      <c r="K532" s="10"/>
      <c r="L532" s="11"/>
      <c r="M532" s="11"/>
      <c r="N532" s="10"/>
      <c r="O532" s="10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0">
        <v>44449.0</v>
      </c>
      <c r="B533" s="15">
        <v>1433.0</v>
      </c>
      <c r="C533" s="11" t="s">
        <v>164</v>
      </c>
      <c r="D533" s="11" t="s">
        <v>710</v>
      </c>
      <c r="E533" s="11">
        <v>40.0</v>
      </c>
      <c r="F533" s="12">
        <v>780.0</v>
      </c>
      <c r="G533" s="14" t="s">
        <v>180</v>
      </c>
      <c r="H533" s="11" t="s">
        <v>684</v>
      </c>
      <c r="I533" s="26"/>
      <c r="J533" s="12">
        <v>780.0</v>
      </c>
      <c r="K533" s="10">
        <v>44460.0</v>
      </c>
      <c r="L533" s="11">
        <v>1587.0</v>
      </c>
      <c r="M533" s="11"/>
      <c r="N533" s="10"/>
      <c r="O533" s="10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0">
        <v>44449.0</v>
      </c>
      <c r="B534" s="15">
        <v>1433.0</v>
      </c>
      <c r="C534" s="11" t="s">
        <v>164</v>
      </c>
      <c r="D534" s="11" t="s">
        <v>22</v>
      </c>
      <c r="E534" s="11">
        <v>105.0</v>
      </c>
      <c r="F534" s="12">
        <v>278.25</v>
      </c>
      <c r="G534" s="14" t="s">
        <v>180</v>
      </c>
      <c r="H534" s="11" t="s">
        <v>684</v>
      </c>
      <c r="I534" s="11" t="s">
        <v>711</v>
      </c>
      <c r="J534" s="12">
        <v>278.25</v>
      </c>
      <c r="K534" s="10">
        <v>44460.0</v>
      </c>
      <c r="L534" s="11">
        <v>1587.0</v>
      </c>
      <c r="M534" s="11"/>
      <c r="N534" s="10"/>
      <c r="O534" s="10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0">
        <v>44449.0</v>
      </c>
      <c r="B535" s="16">
        <v>1426.0</v>
      </c>
      <c r="C535" s="11" t="s">
        <v>159</v>
      </c>
      <c r="D535" s="11" t="s">
        <v>712</v>
      </c>
      <c r="E535" s="11">
        <v>15.0</v>
      </c>
      <c r="F535" s="12" t="s">
        <v>713</v>
      </c>
      <c r="G535" s="11" t="s">
        <v>27</v>
      </c>
      <c r="H535" s="11" t="s">
        <v>714</v>
      </c>
      <c r="I535" s="26"/>
      <c r="J535" s="12"/>
      <c r="K535" s="10"/>
      <c r="L535" s="11"/>
      <c r="M535" s="11"/>
      <c r="N535" s="10"/>
      <c r="O535" s="10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0">
        <v>44449.0</v>
      </c>
      <c r="B536" s="13">
        <v>1427.0</v>
      </c>
      <c r="C536" s="11" t="s">
        <v>715</v>
      </c>
      <c r="D536" s="11" t="s">
        <v>716</v>
      </c>
      <c r="E536" s="11">
        <v>1.0</v>
      </c>
      <c r="F536" s="12">
        <v>311.24</v>
      </c>
      <c r="G536" s="11" t="s">
        <v>167</v>
      </c>
      <c r="H536" s="11"/>
      <c r="I536" s="26"/>
      <c r="J536" s="12"/>
      <c r="K536" s="10"/>
      <c r="L536" s="11"/>
      <c r="M536" s="11"/>
      <c r="N536" s="10"/>
      <c r="O536" s="10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0">
        <v>44449.0</v>
      </c>
      <c r="B537" s="17">
        <v>1427.0</v>
      </c>
      <c r="C537" s="11" t="s">
        <v>715</v>
      </c>
      <c r="D537" s="11" t="s">
        <v>717</v>
      </c>
      <c r="E537" s="11">
        <v>1.0</v>
      </c>
      <c r="F537" s="12">
        <v>8572.4</v>
      </c>
      <c r="G537" s="11" t="s">
        <v>27</v>
      </c>
      <c r="H537" s="11" t="s">
        <v>718</v>
      </c>
      <c r="I537" s="26"/>
      <c r="J537" s="12"/>
      <c r="K537" s="10"/>
      <c r="L537" s="11"/>
      <c r="M537" s="11"/>
      <c r="N537" s="10"/>
      <c r="O537" s="10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0">
        <v>44449.0</v>
      </c>
      <c r="B538" s="17">
        <v>1429.0</v>
      </c>
      <c r="C538" s="11" t="s">
        <v>719</v>
      </c>
      <c r="D538" s="11" t="s">
        <v>720</v>
      </c>
      <c r="E538" s="11">
        <v>4.0</v>
      </c>
      <c r="F538" s="12">
        <v>1736.08</v>
      </c>
      <c r="G538" s="11" t="s">
        <v>167</v>
      </c>
      <c r="H538" s="11" t="s">
        <v>603</v>
      </c>
      <c r="I538" s="26"/>
      <c r="J538" s="12"/>
      <c r="K538" s="10"/>
      <c r="L538" s="11"/>
      <c r="M538" s="11"/>
      <c r="N538" s="10"/>
      <c r="O538" s="10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0">
        <v>44452.0</v>
      </c>
      <c r="B539" s="11"/>
      <c r="C539" s="11" t="s">
        <v>721</v>
      </c>
      <c r="D539" s="11" t="s">
        <v>722</v>
      </c>
      <c r="E539" s="11"/>
      <c r="F539" s="12"/>
      <c r="G539" s="11" t="s">
        <v>241</v>
      </c>
      <c r="H539" s="11" t="s">
        <v>723</v>
      </c>
      <c r="I539" s="26"/>
      <c r="J539" s="12"/>
      <c r="K539" s="10"/>
      <c r="L539" s="11"/>
      <c r="M539" s="11"/>
      <c r="N539" s="10"/>
      <c r="O539" s="10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0">
        <v>44452.0</v>
      </c>
      <c r="B540" s="16">
        <v>1431.0</v>
      </c>
      <c r="C540" s="11" t="s">
        <v>159</v>
      </c>
      <c r="D540" s="11" t="s">
        <v>724</v>
      </c>
      <c r="E540" s="11">
        <v>3.0</v>
      </c>
      <c r="F540" s="12">
        <v>3877.43</v>
      </c>
      <c r="G540" s="11" t="s">
        <v>27</v>
      </c>
      <c r="H540" s="11" t="s">
        <v>714</v>
      </c>
      <c r="I540" s="26"/>
      <c r="J540" s="12"/>
      <c r="K540" s="10"/>
      <c r="L540" s="11"/>
      <c r="M540" s="11"/>
      <c r="N540" s="10"/>
      <c r="O540" s="10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0">
        <v>44452.0</v>
      </c>
      <c r="B541" s="15">
        <v>1434.0</v>
      </c>
      <c r="C541" s="11" t="s">
        <v>725</v>
      </c>
      <c r="D541" s="11" t="s">
        <v>726</v>
      </c>
      <c r="E541" s="11">
        <v>1.0</v>
      </c>
      <c r="F541" s="12">
        <v>8028.0</v>
      </c>
      <c r="G541" s="14" t="s">
        <v>180</v>
      </c>
      <c r="H541" s="11" t="s">
        <v>727</v>
      </c>
      <c r="I541" s="26"/>
      <c r="J541" s="12">
        <v>8028.0</v>
      </c>
      <c r="K541" s="10">
        <v>44530.0</v>
      </c>
      <c r="L541" s="11">
        <v>1631.0</v>
      </c>
      <c r="M541" s="11"/>
      <c r="N541" s="10"/>
      <c r="O541" s="10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0">
        <v>44452.0</v>
      </c>
      <c r="B542" s="15">
        <v>1434.0</v>
      </c>
      <c r="C542" s="11" t="s">
        <v>725</v>
      </c>
      <c r="D542" s="11" t="s">
        <v>708</v>
      </c>
      <c r="E542" s="11">
        <v>1.0</v>
      </c>
      <c r="F542" s="12">
        <v>948.0</v>
      </c>
      <c r="G542" s="14" t="s">
        <v>180</v>
      </c>
      <c r="H542" s="11" t="s">
        <v>727</v>
      </c>
      <c r="I542" s="26"/>
      <c r="J542" s="12">
        <v>948.0</v>
      </c>
      <c r="K542" s="10">
        <v>44530.0</v>
      </c>
      <c r="L542" s="11">
        <v>1631.0</v>
      </c>
      <c r="M542" s="11"/>
      <c r="N542" s="10"/>
      <c r="O542" s="10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0">
        <v>44452.0</v>
      </c>
      <c r="B543" s="15">
        <v>1434.0</v>
      </c>
      <c r="C543" s="11" t="s">
        <v>725</v>
      </c>
      <c r="D543" s="11" t="s">
        <v>728</v>
      </c>
      <c r="E543" s="11">
        <v>8.0</v>
      </c>
      <c r="F543" s="12">
        <v>144.0</v>
      </c>
      <c r="G543" s="14" t="s">
        <v>180</v>
      </c>
      <c r="H543" s="11" t="s">
        <v>727</v>
      </c>
      <c r="I543" s="26"/>
      <c r="J543" s="12">
        <v>144.0</v>
      </c>
      <c r="K543" s="10">
        <v>44530.0</v>
      </c>
      <c r="L543" s="11">
        <v>1631.0</v>
      </c>
      <c r="M543" s="11"/>
      <c r="N543" s="10"/>
      <c r="O543" s="10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0">
        <v>44452.0</v>
      </c>
      <c r="B544" s="17">
        <v>1434.0</v>
      </c>
      <c r="C544" s="11" t="s">
        <v>725</v>
      </c>
      <c r="D544" s="11" t="s">
        <v>155</v>
      </c>
      <c r="E544" s="11">
        <v>1.0</v>
      </c>
      <c r="F544" s="12">
        <v>280.0</v>
      </c>
      <c r="G544" s="14" t="s">
        <v>180</v>
      </c>
      <c r="H544" s="11" t="s">
        <v>727</v>
      </c>
      <c r="I544" s="26"/>
      <c r="J544" s="12">
        <v>280.0</v>
      </c>
      <c r="K544" s="10">
        <v>44530.0</v>
      </c>
      <c r="L544" s="11">
        <v>1631.0</v>
      </c>
      <c r="M544" s="11"/>
      <c r="N544" s="10"/>
      <c r="O544" s="10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0">
        <v>44453.0</v>
      </c>
      <c r="B545" s="11"/>
      <c r="C545" s="11" t="s">
        <v>685</v>
      </c>
      <c r="D545" s="11" t="s">
        <v>729</v>
      </c>
      <c r="E545" s="11"/>
      <c r="F545" s="12"/>
      <c r="G545" s="11" t="s">
        <v>241</v>
      </c>
      <c r="H545" s="11"/>
      <c r="I545" s="26"/>
      <c r="J545" s="12"/>
      <c r="K545" s="10"/>
      <c r="L545" s="11"/>
      <c r="M545" s="11"/>
      <c r="N545" s="10"/>
      <c r="O545" s="10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0">
        <v>44462.0</v>
      </c>
      <c r="B546" s="13">
        <v>1452.0</v>
      </c>
      <c r="C546" s="11" t="s">
        <v>690</v>
      </c>
      <c r="D546" s="11" t="s">
        <v>730</v>
      </c>
      <c r="E546" s="11">
        <v>1.0</v>
      </c>
      <c r="F546" s="12" t="s">
        <v>731</v>
      </c>
      <c r="G546" s="11" t="s">
        <v>27</v>
      </c>
      <c r="H546" s="11"/>
      <c r="I546" s="26"/>
      <c r="J546" s="12"/>
      <c r="K546" s="10"/>
      <c r="L546" s="11"/>
      <c r="M546" s="11"/>
      <c r="N546" s="10"/>
      <c r="O546" s="10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0">
        <v>44462.0</v>
      </c>
      <c r="B547" s="15">
        <v>1452.0</v>
      </c>
      <c r="C547" s="11" t="s">
        <v>690</v>
      </c>
      <c r="D547" s="11" t="s">
        <v>732</v>
      </c>
      <c r="E547" s="11">
        <v>1.0</v>
      </c>
      <c r="F547" s="12" t="s">
        <v>733</v>
      </c>
      <c r="G547" s="11" t="s">
        <v>27</v>
      </c>
      <c r="H547" s="11"/>
      <c r="I547" s="26"/>
      <c r="J547" s="12"/>
      <c r="K547" s="10"/>
      <c r="L547" s="11"/>
      <c r="M547" s="11"/>
      <c r="N547" s="10"/>
      <c r="O547" s="10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0">
        <v>44462.0</v>
      </c>
      <c r="B548" s="15">
        <v>1452.0</v>
      </c>
      <c r="C548" s="11" t="s">
        <v>690</v>
      </c>
      <c r="D548" s="11" t="s">
        <v>734</v>
      </c>
      <c r="E548" s="11">
        <v>2.0</v>
      </c>
      <c r="F548" s="12">
        <v>480.22</v>
      </c>
      <c r="G548" s="11" t="s">
        <v>167</v>
      </c>
      <c r="H548" s="11"/>
      <c r="I548" s="26"/>
      <c r="J548" s="12"/>
      <c r="K548" s="10"/>
      <c r="L548" s="11"/>
      <c r="M548" s="11"/>
      <c r="N548" s="10"/>
      <c r="O548" s="10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0">
        <v>44462.0</v>
      </c>
      <c r="B549" s="16" t="s">
        <v>735</v>
      </c>
      <c r="C549" s="11" t="s">
        <v>690</v>
      </c>
      <c r="D549" s="11" t="s">
        <v>736</v>
      </c>
      <c r="E549" s="11">
        <v>1.0</v>
      </c>
      <c r="F549" s="12">
        <v>24405.51</v>
      </c>
      <c r="G549" s="14" t="s">
        <v>21</v>
      </c>
      <c r="H549" s="11" t="s">
        <v>737</v>
      </c>
      <c r="I549" s="26"/>
      <c r="J549" s="12">
        <v>24405.51</v>
      </c>
      <c r="K549" s="10">
        <v>44651.0</v>
      </c>
      <c r="L549" s="11">
        <v>1732.0</v>
      </c>
      <c r="M549" s="11">
        <v>4.501262761E9</v>
      </c>
      <c r="N549" s="10">
        <v>44617.0</v>
      </c>
      <c r="O549" s="10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0">
        <v>44455.0</v>
      </c>
      <c r="B550" s="15">
        <v>1441.0</v>
      </c>
      <c r="C550" s="11" t="s">
        <v>738</v>
      </c>
      <c r="D550" s="27" t="s">
        <v>739</v>
      </c>
      <c r="E550" s="27">
        <v>1.0</v>
      </c>
      <c r="F550" s="12" t="s">
        <v>740</v>
      </c>
      <c r="G550" s="11" t="s">
        <v>167</v>
      </c>
      <c r="H550" s="11" t="s">
        <v>741</v>
      </c>
      <c r="I550" s="26"/>
      <c r="J550" s="12"/>
      <c r="K550" s="10"/>
      <c r="L550" s="11"/>
      <c r="M550" s="11"/>
      <c r="N550" s="10"/>
      <c r="O550" s="10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0">
        <v>44455.0</v>
      </c>
      <c r="B551" s="16">
        <v>1437.0</v>
      </c>
      <c r="C551" s="11" t="s">
        <v>44</v>
      </c>
      <c r="D551" s="11" t="s">
        <v>742</v>
      </c>
      <c r="E551" s="11">
        <v>4.0</v>
      </c>
      <c r="F551" s="12">
        <v>4373.66</v>
      </c>
      <c r="G551" s="19" t="s">
        <v>180</v>
      </c>
      <c r="H551" s="11" t="s">
        <v>743</v>
      </c>
      <c r="I551" s="26"/>
      <c r="J551" s="12">
        <v>4373.66</v>
      </c>
      <c r="K551" s="10">
        <v>44538.0</v>
      </c>
      <c r="L551" s="11">
        <v>1643.0</v>
      </c>
      <c r="M551" s="11"/>
      <c r="N551" s="10"/>
      <c r="O551" s="10">
        <v>44681.0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0">
        <v>44455.0</v>
      </c>
      <c r="B552" s="11"/>
      <c r="C552" s="11" t="s">
        <v>457</v>
      </c>
      <c r="D552" s="11" t="s">
        <v>744</v>
      </c>
      <c r="E552" s="11"/>
      <c r="F552" s="12"/>
      <c r="G552" s="11" t="s">
        <v>241</v>
      </c>
      <c r="H552" s="11" t="s">
        <v>653</v>
      </c>
      <c r="I552" s="26"/>
      <c r="J552" s="12"/>
      <c r="K552" s="10"/>
      <c r="L552" s="11"/>
      <c r="M552" s="11"/>
      <c r="N552" s="10"/>
      <c r="O552" s="10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0">
        <v>44454.0</v>
      </c>
      <c r="B553" s="11"/>
      <c r="C553" s="11"/>
      <c r="D553" s="11" t="s">
        <v>745</v>
      </c>
      <c r="E553" s="11"/>
      <c r="F553" s="12"/>
      <c r="G553" s="11" t="s">
        <v>241</v>
      </c>
      <c r="H553" s="11" t="s">
        <v>746</v>
      </c>
      <c r="I553" s="26"/>
      <c r="J553" s="12"/>
      <c r="K553" s="10"/>
      <c r="L553" s="11"/>
      <c r="M553" s="11"/>
      <c r="N553" s="10"/>
      <c r="O553" s="10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0">
        <v>44454.0</v>
      </c>
      <c r="B554" s="13">
        <v>1440.0</v>
      </c>
      <c r="C554" s="11" t="s">
        <v>747</v>
      </c>
      <c r="D554" s="27" t="s">
        <v>748</v>
      </c>
      <c r="E554" s="27">
        <v>2.0</v>
      </c>
      <c r="F554" s="12" t="s">
        <v>749</v>
      </c>
      <c r="G554" s="11" t="s">
        <v>27</v>
      </c>
      <c r="H554" s="11"/>
      <c r="I554" s="26"/>
      <c r="J554" s="12"/>
      <c r="K554" s="10"/>
      <c r="L554" s="11"/>
      <c r="M554" s="11"/>
      <c r="N554" s="10"/>
      <c r="O554" s="10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0">
        <v>44455.0</v>
      </c>
      <c r="B555" s="13">
        <v>1435.0</v>
      </c>
      <c r="C555" s="11" t="s">
        <v>39</v>
      </c>
      <c r="D555" s="27" t="s">
        <v>278</v>
      </c>
      <c r="E555" s="27">
        <v>200.0</v>
      </c>
      <c r="F555" s="12">
        <v>2142.0</v>
      </c>
      <c r="G555" s="11" t="s">
        <v>167</v>
      </c>
      <c r="H555" s="11"/>
      <c r="I555" s="26"/>
      <c r="J555" s="12"/>
      <c r="K555" s="10"/>
      <c r="L555" s="11"/>
      <c r="M555" s="11"/>
      <c r="N555" s="10"/>
      <c r="O555" s="10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0">
        <v>44455.0</v>
      </c>
      <c r="B556" s="17">
        <v>1435.0</v>
      </c>
      <c r="C556" s="11" t="s">
        <v>39</v>
      </c>
      <c r="D556" s="27" t="s">
        <v>750</v>
      </c>
      <c r="E556" s="27">
        <v>200.0</v>
      </c>
      <c r="F556" s="12">
        <v>4598.0</v>
      </c>
      <c r="G556" s="11" t="s">
        <v>27</v>
      </c>
      <c r="H556" s="11" t="s">
        <v>751</v>
      </c>
      <c r="I556" s="26"/>
      <c r="J556" s="12"/>
      <c r="K556" s="10"/>
      <c r="L556" s="11"/>
      <c r="M556" s="11"/>
      <c r="N556" s="10"/>
      <c r="O556" s="10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0">
        <v>44456.0</v>
      </c>
      <c r="B557" s="15">
        <v>1448.0</v>
      </c>
      <c r="C557" s="11" t="s">
        <v>752</v>
      </c>
      <c r="D557" s="27" t="s">
        <v>753</v>
      </c>
      <c r="E557" s="27">
        <v>1.0</v>
      </c>
      <c r="F557" s="12">
        <v>9499.79</v>
      </c>
      <c r="G557" s="11" t="s">
        <v>167</v>
      </c>
      <c r="H557" s="11" t="s">
        <v>754</v>
      </c>
      <c r="I557" s="11" t="s">
        <v>755</v>
      </c>
      <c r="J557" s="12"/>
      <c r="K557" s="10"/>
      <c r="L557" s="11"/>
      <c r="M557" s="11"/>
      <c r="N557" s="10"/>
      <c r="O557" s="10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0">
        <v>44456.0</v>
      </c>
      <c r="B558" s="16">
        <v>1439.0</v>
      </c>
      <c r="C558" s="11" t="s">
        <v>44</v>
      </c>
      <c r="D558" s="11" t="s">
        <v>756</v>
      </c>
      <c r="E558" s="11">
        <v>50.0</v>
      </c>
      <c r="F558" s="12">
        <v>706.25</v>
      </c>
      <c r="G558" s="14" t="s">
        <v>180</v>
      </c>
      <c r="H558" s="11" t="s">
        <v>737</v>
      </c>
      <c r="I558" s="11" t="s">
        <v>757</v>
      </c>
      <c r="J558" s="12">
        <v>706.25</v>
      </c>
      <c r="K558" s="10">
        <v>44518.0</v>
      </c>
      <c r="L558" s="11">
        <v>1621.0</v>
      </c>
      <c r="M558" s="11"/>
      <c r="N558" s="10"/>
      <c r="O558" s="10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">
        <v>44456.0</v>
      </c>
      <c r="B559" s="15">
        <v>1442.0</v>
      </c>
      <c r="C559" s="11" t="s">
        <v>44</v>
      </c>
      <c r="D559" s="11" t="s">
        <v>758</v>
      </c>
      <c r="E559" s="11">
        <v>2.0</v>
      </c>
      <c r="F559" s="12">
        <v>1552.35</v>
      </c>
      <c r="G559" s="14" t="s">
        <v>180</v>
      </c>
      <c r="H559" s="11" t="s">
        <v>547</v>
      </c>
      <c r="I559" s="26"/>
      <c r="J559" s="12">
        <v>1552.35</v>
      </c>
      <c r="K559" s="10">
        <v>44469.0</v>
      </c>
      <c r="L559" s="11">
        <v>1593.0</v>
      </c>
      <c r="M559" s="11"/>
      <c r="N559" s="10"/>
      <c r="O559" s="10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0">
        <v>44459.0</v>
      </c>
      <c r="B560" s="13">
        <v>1443.0</v>
      </c>
      <c r="C560" s="11" t="s">
        <v>44</v>
      </c>
      <c r="D560" s="11" t="s">
        <v>759</v>
      </c>
      <c r="E560" s="11">
        <v>2.0</v>
      </c>
      <c r="F560" s="12">
        <v>9520.06</v>
      </c>
      <c r="G560" s="11" t="s">
        <v>167</v>
      </c>
      <c r="H560" s="11" t="s">
        <v>751</v>
      </c>
      <c r="I560" s="26"/>
      <c r="J560" s="12"/>
      <c r="K560" s="10"/>
      <c r="L560" s="11"/>
      <c r="M560" s="11"/>
      <c r="N560" s="10"/>
      <c r="O560" s="10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0">
        <v>44459.0</v>
      </c>
      <c r="B561" s="15">
        <v>1443.0</v>
      </c>
      <c r="C561" s="11" t="s">
        <v>44</v>
      </c>
      <c r="D561" s="11" t="s">
        <v>760</v>
      </c>
      <c r="E561" s="11">
        <v>3.0</v>
      </c>
      <c r="F561" s="12">
        <v>995.3</v>
      </c>
      <c r="G561" s="11" t="s">
        <v>167</v>
      </c>
      <c r="H561" s="11" t="s">
        <v>751</v>
      </c>
      <c r="I561" s="26"/>
      <c r="J561" s="12"/>
      <c r="K561" s="10"/>
      <c r="L561" s="11"/>
      <c r="M561" s="11"/>
      <c r="N561" s="10"/>
      <c r="O561" s="10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0">
        <v>44459.0</v>
      </c>
      <c r="B562" s="15">
        <v>1443.0</v>
      </c>
      <c r="C562" s="11" t="s">
        <v>44</v>
      </c>
      <c r="D562" s="11" t="s">
        <v>761</v>
      </c>
      <c r="E562" s="11">
        <v>1.0</v>
      </c>
      <c r="F562" s="12">
        <v>420.11</v>
      </c>
      <c r="G562" s="11" t="s">
        <v>167</v>
      </c>
      <c r="H562" s="11" t="s">
        <v>751</v>
      </c>
      <c r="I562" s="26"/>
      <c r="J562" s="12"/>
      <c r="K562" s="10"/>
      <c r="L562" s="11"/>
      <c r="M562" s="11"/>
      <c r="N562" s="10"/>
      <c r="O562" s="10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0">
        <v>44459.0</v>
      </c>
      <c r="B563" s="15">
        <v>1443.0</v>
      </c>
      <c r="C563" s="11" t="s">
        <v>44</v>
      </c>
      <c r="D563" s="11" t="s">
        <v>762</v>
      </c>
      <c r="E563" s="11">
        <v>1.0</v>
      </c>
      <c r="F563" s="12">
        <v>3182.64</v>
      </c>
      <c r="G563" s="11" t="s">
        <v>167</v>
      </c>
      <c r="H563" s="11" t="s">
        <v>751</v>
      </c>
      <c r="I563" s="26"/>
      <c r="J563" s="12"/>
      <c r="K563" s="10"/>
      <c r="L563" s="11"/>
      <c r="M563" s="11"/>
      <c r="N563" s="10"/>
      <c r="O563" s="10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0">
        <v>44459.0</v>
      </c>
      <c r="B564" s="15">
        <v>1443.0</v>
      </c>
      <c r="C564" s="11" t="s">
        <v>44</v>
      </c>
      <c r="D564" s="11" t="s">
        <v>763</v>
      </c>
      <c r="E564" s="11">
        <v>1.0</v>
      </c>
      <c r="F564" s="12">
        <v>1477.61</v>
      </c>
      <c r="G564" s="11" t="s">
        <v>167</v>
      </c>
      <c r="H564" s="11" t="s">
        <v>751</v>
      </c>
      <c r="I564" s="26"/>
      <c r="J564" s="12"/>
      <c r="K564" s="10"/>
      <c r="L564" s="11"/>
      <c r="M564" s="11"/>
      <c r="N564" s="10"/>
      <c r="O564" s="10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0">
        <v>44459.0</v>
      </c>
      <c r="B565" s="15">
        <v>1443.0</v>
      </c>
      <c r="C565" s="11" t="s">
        <v>44</v>
      </c>
      <c r="D565" s="11" t="s">
        <v>764</v>
      </c>
      <c r="E565" s="11">
        <v>1.0</v>
      </c>
      <c r="F565" s="12">
        <v>218.25</v>
      </c>
      <c r="G565" s="11" t="s">
        <v>167</v>
      </c>
      <c r="H565" s="11" t="s">
        <v>751</v>
      </c>
      <c r="I565" s="26"/>
      <c r="J565" s="12"/>
      <c r="K565" s="10"/>
      <c r="L565" s="11"/>
      <c r="M565" s="11"/>
      <c r="N565" s="10"/>
      <c r="O565" s="10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0">
        <v>44459.0</v>
      </c>
      <c r="B566" s="15">
        <v>1443.0</v>
      </c>
      <c r="C566" s="11" t="s">
        <v>44</v>
      </c>
      <c r="D566" s="11" t="s">
        <v>765</v>
      </c>
      <c r="E566" s="11">
        <v>1.0</v>
      </c>
      <c r="F566" s="12">
        <v>1127.78</v>
      </c>
      <c r="G566" s="11" t="s">
        <v>167</v>
      </c>
      <c r="H566" s="11" t="s">
        <v>751</v>
      </c>
      <c r="I566" s="26"/>
      <c r="J566" s="12"/>
      <c r="K566" s="10"/>
      <c r="L566" s="11"/>
      <c r="M566" s="11"/>
      <c r="N566" s="10"/>
      <c r="O566" s="10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0">
        <v>44459.0</v>
      </c>
      <c r="B567" s="17">
        <v>1443.0</v>
      </c>
      <c r="C567" s="11" t="s">
        <v>44</v>
      </c>
      <c r="D567" s="11" t="s">
        <v>766</v>
      </c>
      <c r="E567" s="11">
        <v>2.0</v>
      </c>
      <c r="F567" s="12">
        <v>950.61</v>
      </c>
      <c r="G567" s="11" t="s">
        <v>167</v>
      </c>
      <c r="H567" s="11" t="s">
        <v>751</v>
      </c>
      <c r="I567" s="26"/>
      <c r="J567" s="12"/>
      <c r="K567" s="10"/>
      <c r="L567" s="11"/>
      <c r="M567" s="11"/>
      <c r="N567" s="10"/>
      <c r="O567" s="10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10">
        <v>44460.0</v>
      </c>
      <c r="B568" s="17">
        <v>1444.0</v>
      </c>
      <c r="C568" s="11" t="s">
        <v>39</v>
      </c>
      <c r="D568" s="11" t="s">
        <v>767</v>
      </c>
      <c r="E568" s="11">
        <v>1.0</v>
      </c>
      <c r="F568" s="12">
        <v>1697.75</v>
      </c>
      <c r="G568" s="14" t="s">
        <v>21</v>
      </c>
      <c r="H568" s="11" t="s">
        <v>743</v>
      </c>
      <c r="I568" s="26"/>
      <c r="J568" s="12">
        <v>1697.75</v>
      </c>
      <c r="K568" s="10">
        <v>44475.0</v>
      </c>
      <c r="L568" s="11">
        <v>1596.0</v>
      </c>
      <c r="M568" s="11"/>
      <c r="N568" s="10"/>
      <c r="O568" s="10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0">
        <v>44460.0</v>
      </c>
      <c r="B569" s="11"/>
      <c r="C569" s="11" t="s">
        <v>548</v>
      </c>
      <c r="D569" s="11" t="s">
        <v>768</v>
      </c>
      <c r="E569" s="11"/>
      <c r="F569" s="12"/>
      <c r="G569" s="11" t="s">
        <v>241</v>
      </c>
      <c r="H569" s="11" t="s">
        <v>560</v>
      </c>
      <c r="I569" s="26"/>
      <c r="J569" s="12"/>
      <c r="K569" s="10"/>
      <c r="L569" s="11"/>
      <c r="M569" s="11"/>
      <c r="N569" s="10"/>
      <c r="O569" s="10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0">
        <v>44461.0</v>
      </c>
      <c r="B570" s="13">
        <v>1447.0</v>
      </c>
      <c r="C570" s="11" t="s">
        <v>159</v>
      </c>
      <c r="D570" s="11" t="s">
        <v>769</v>
      </c>
      <c r="E570" s="11">
        <v>1.0</v>
      </c>
      <c r="F570" s="12">
        <v>5008.92</v>
      </c>
      <c r="G570" s="11" t="s">
        <v>27</v>
      </c>
      <c r="H570" s="11" t="s">
        <v>714</v>
      </c>
      <c r="I570" s="11" t="s">
        <v>770</v>
      </c>
      <c r="J570" s="12"/>
      <c r="K570" s="10"/>
      <c r="L570" s="11"/>
      <c r="M570" s="11"/>
      <c r="N570" s="10"/>
      <c r="O570" s="10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0">
        <v>44461.0</v>
      </c>
      <c r="B571" s="15">
        <v>1447.0</v>
      </c>
      <c r="C571" s="11" t="s">
        <v>159</v>
      </c>
      <c r="D571" s="11" t="s">
        <v>771</v>
      </c>
      <c r="E571" s="11">
        <v>1.0</v>
      </c>
      <c r="F571" s="12">
        <v>46.6</v>
      </c>
      <c r="G571" s="11" t="s">
        <v>27</v>
      </c>
      <c r="H571" s="11"/>
      <c r="I571" s="11"/>
      <c r="J571" s="12"/>
      <c r="K571" s="10"/>
      <c r="L571" s="11"/>
      <c r="M571" s="11"/>
      <c r="N571" s="10"/>
      <c r="O571" s="10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0">
        <v>44461.0</v>
      </c>
      <c r="B572" s="15">
        <v>1447.0</v>
      </c>
      <c r="C572" s="11" t="s">
        <v>159</v>
      </c>
      <c r="D572" s="11" t="s">
        <v>772</v>
      </c>
      <c r="E572" s="11">
        <v>2.0</v>
      </c>
      <c r="F572" s="12">
        <v>263.25</v>
      </c>
      <c r="G572" s="11" t="s">
        <v>27</v>
      </c>
      <c r="H572" s="11"/>
      <c r="I572" s="11"/>
      <c r="J572" s="12"/>
      <c r="K572" s="10"/>
      <c r="L572" s="11"/>
      <c r="M572" s="11"/>
      <c r="N572" s="10"/>
      <c r="O572" s="10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0">
        <v>44461.0</v>
      </c>
      <c r="B573" s="16" t="s">
        <v>773</v>
      </c>
      <c r="C573" s="11" t="s">
        <v>774</v>
      </c>
      <c r="D573" s="11" t="s">
        <v>775</v>
      </c>
      <c r="E573" s="11">
        <v>3.0</v>
      </c>
      <c r="F573" s="12">
        <v>199.75</v>
      </c>
      <c r="G573" s="14" t="s">
        <v>180</v>
      </c>
      <c r="H573" s="11" t="s">
        <v>776</v>
      </c>
      <c r="I573" s="11" t="s">
        <v>777</v>
      </c>
      <c r="J573" s="12">
        <v>199.75</v>
      </c>
      <c r="K573" s="10">
        <v>44658.0</v>
      </c>
      <c r="L573" s="11">
        <v>1761.0</v>
      </c>
      <c r="M573" s="11"/>
      <c r="N573" s="10">
        <v>44597.0</v>
      </c>
      <c r="O573" s="10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">
        <v>44461.0</v>
      </c>
      <c r="B574" s="15">
        <v>1446.0</v>
      </c>
      <c r="C574" s="11" t="s">
        <v>774</v>
      </c>
      <c r="D574" s="11" t="s">
        <v>778</v>
      </c>
      <c r="E574" s="11">
        <v>2.0</v>
      </c>
      <c r="F574" s="12">
        <v>263.25</v>
      </c>
      <c r="G574" s="11" t="s">
        <v>167</v>
      </c>
      <c r="H574" s="11"/>
      <c r="I574" s="11"/>
      <c r="J574" s="12"/>
      <c r="K574" s="10"/>
      <c r="L574" s="11"/>
      <c r="M574" s="11"/>
      <c r="N574" s="10"/>
      <c r="O574" s="10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0">
        <v>44461.0</v>
      </c>
      <c r="B575" s="15">
        <v>1446.0</v>
      </c>
      <c r="C575" s="11" t="s">
        <v>774</v>
      </c>
      <c r="D575" s="11" t="s">
        <v>771</v>
      </c>
      <c r="E575" s="11">
        <v>3.0</v>
      </c>
      <c r="F575" s="12">
        <v>139.81</v>
      </c>
      <c r="G575" s="11" t="s">
        <v>167</v>
      </c>
      <c r="H575" s="11"/>
      <c r="I575" s="11"/>
      <c r="J575" s="12"/>
      <c r="K575" s="10"/>
      <c r="L575" s="11"/>
      <c r="M575" s="11"/>
      <c r="N575" s="10"/>
      <c r="O575" s="10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0">
        <v>44461.0</v>
      </c>
      <c r="B576" s="16">
        <v>1449.0</v>
      </c>
      <c r="C576" s="11" t="s">
        <v>44</v>
      </c>
      <c r="D576" s="11" t="s">
        <v>64</v>
      </c>
      <c r="E576" s="11">
        <v>1.0</v>
      </c>
      <c r="F576" s="12">
        <v>39010.8</v>
      </c>
      <c r="G576" s="11" t="s">
        <v>27</v>
      </c>
      <c r="H576" s="11"/>
      <c r="I576" s="26"/>
      <c r="J576" s="12"/>
      <c r="K576" s="10"/>
      <c r="L576" s="11"/>
      <c r="M576" s="11"/>
      <c r="N576" s="10"/>
      <c r="O576" s="10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0">
        <v>44462.0</v>
      </c>
      <c r="B577" s="17">
        <v>1453.0</v>
      </c>
      <c r="C577" s="11" t="s">
        <v>159</v>
      </c>
      <c r="D577" s="11" t="s">
        <v>779</v>
      </c>
      <c r="E577" s="11">
        <v>1.0</v>
      </c>
      <c r="F577" s="12">
        <v>3233.87</v>
      </c>
      <c r="G577" s="11" t="s">
        <v>27</v>
      </c>
      <c r="H577" s="11" t="s">
        <v>780</v>
      </c>
      <c r="I577" s="26" t="s">
        <v>781</v>
      </c>
      <c r="J577" s="12"/>
      <c r="K577" s="10"/>
      <c r="L577" s="11"/>
      <c r="M577" s="11"/>
      <c r="N577" s="10"/>
      <c r="O577" s="10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0">
        <v>44463.0</v>
      </c>
      <c r="B578" s="11"/>
      <c r="C578" s="11" t="s">
        <v>782</v>
      </c>
      <c r="D578" s="11" t="s">
        <v>783</v>
      </c>
      <c r="E578" s="11"/>
      <c r="F578" s="12"/>
      <c r="G578" s="11" t="s">
        <v>241</v>
      </c>
      <c r="H578" s="11" t="s">
        <v>784</v>
      </c>
      <c r="I578" s="26"/>
      <c r="J578" s="12"/>
      <c r="K578" s="10"/>
      <c r="L578" s="11"/>
      <c r="M578" s="11"/>
      <c r="N578" s="10"/>
      <c r="O578" s="10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">
        <v>44464.0</v>
      </c>
      <c r="B579" s="16">
        <v>1457.0</v>
      </c>
      <c r="C579" s="11" t="s">
        <v>39</v>
      </c>
      <c r="D579" s="11" t="s">
        <v>785</v>
      </c>
      <c r="E579" s="11">
        <v>4.0</v>
      </c>
      <c r="F579" s="12">
        <v>4754.52</v>
      </c>
      <c r="G579" s="11" t="s">
        <v>27</v>
      </c>
      <c r="H579" s="11" t="s">
        <v>786</v>
      </c>
      <c r="I579" s="26"/>
      <c r="J579" s="12"/>
      <c r="K579" s="10"/>
      <c r="L579" s="11"/>
      <c r="M579" s="11"/>
      <c r="N579" s="10"/>
      <c r="O579" s="10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">
        <v>44464.0</v>
      </c>
      <c r="B580" s="11"/>
      <c r="C580" s="11" t="s">
        <v>39</v>
      </c>
      <c r="D580" s="34" t="s">
        <v>787</v>
      </c>
      <c r="E580" s="34"/>
      <c r="F580" s="12"/>
      <c r="G580" s="11" t="s">
        <v>448</v>
      </c>
      <c r="H580" s="11" t="s">
        <v>743</v>
      </c>
      <c r="I580" s="26"/>
      <c r="J580" s="12"/>
      <c r="K580" s="10"/>
      <c r="L580" s="11"/>
      <c r="M580" s="11"/>
      <c r="N580" s="10"/>
      <c r="O580" s="10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">
        <v>44466.0</v>
      </c>
      <c r="B581" s="13">
        <v>1460.0</v>
      </c>
      <c r="C581" s="11" t="s">
        <v>457</v>
      </c>
      <c r="D581" s="11" t="s">
        <v>788</v>
      </c>
      <c r="E581" s="11">
        <v>13.0</v>
      </c>
      <c r="F581" s="12">
        <v>54004.15</v>
      </c>
      <c r="G581" s="11" t="s">
        <v>27</v>
      </c>
      <c r="H581" s="11" t="s">
        <v>789</v>
      </c>
      <c r="I581" s="26"/>
      <c r="J581" s="12"/>
      <c r="K581" s="10"/>
      <c r="L581" s="11"/>
      <c r="M581" s="11"/>
      <c r="N581" s="10"/>
      <c r="O581" s="10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0">
        <v>44466.0</v>
      </c>
      <c r="B582" s="13">
        <v>1461.0</v>
      </c>
      <c r="C582" s="11" t="s">
        <v>790</v>
      </c>
      <c r="D582" s="35" t="s">
        <v>791</v>
      </c>
      <c r="E582" s="35">
        <v>1.0</v>
      </c>
      <c r="F582" s="12">
        <v>273.9</v>
      </c>
      <c r="G582" s="11" t="s">
        <v>167</v>
      </c>
      <c r="H582" s="11" t="s">
        <v>792</v>
      </c>
      <c r="I582" s="11" t="s">
        <v>793</v>
      </c>
      <c r="J582" s="12"/>
      <c r="K582" s="10"/>
      <c r="L582" s="11"/>
      <c r="M582" s="11"/>
      <c r="N582" s="10"/>
      <c r="O582" s="10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0">
        <v>44466.0</v>
      </c>
      <c r="B583" s="15">
        <v>1461.0</v>
      </c>
      <c r="C583" s="11" t="s">
        <v>790</v>
      </c>
      <c r="D583" s="35" t="s">
        <v>794</v>
      </c>
      <c r="E583" s="35">
        <v>1.0</v>
      </c>
      <c r="F583" s="12">
        <v>16632.06</v>
      </c>
      <c r="G583" s="11" t="s">
        <v>167</v>
      </c>
      <c r="H583" s="11"/>
      <c r="I583" s="11"/>
      <c r="J583" s="12"/>
      <c r="K583" s="10"/>
      <c r="L583" s="11"/>
      <c r="M583" s="11"/>
      <c r="N583" s="10"/>
      <c r="O583" s="10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0">
        <v>44466.0</v>
      </c>
      <c r="B584" s="17">
        <v>1461.0</v>
      </c>
      <c r="C584" s="11" t="s">
        <v>790</v>
      </c>
      <c r="D584" s="35" t="s">
        <v>795</v>
      </c>
      <c r="E584" s="35">
        <v>1.0</v>
      </c>
      <c r="F584" s="12">
        <v>14811.91</v>
      </c>
      <c r="G584" s="11" t="s">
        <v>167</v>
      </c>
      <c r="H584" s="11"/>
      <c r="I584" s="11"/>
      <c r="J584" s="12"/>
      <c r="K584" s="10"/>
      <c r="L584" s="11"/>
      <c r="M584" s="11"/>
      <c r="N584" s="10"/>
      <c r="O584" s="10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0">
        <v>44467.0</v>
      </c>
      <c r="B585" s="15">
        <v>1462.0</v>
      </c>
      <c r="C585" s="11" t="s">
        <v>690</v>
      </c>
      <c r="D585" s="27" t="s">
        <v>796</v>
      </c>
      <c r="E585" s="27">
        <v>72.0</v>
      </c>
      <c r="F585" s="12">
        <v>3215.86</v>
      </c>
      <c r="G585" s="11" t="s">
        <v>167</v>
      </c>
      <c r="H585" s="11" t="s">
        <v>737</v>
      </c>
      <c r="I585" s="11" t="s">
        <v>797</v>
      </c>
      <c r="J585" s="12"/>
      <c r="K585" s="10"/>
      <c r="L585" s="11"/>
      <c r="M585" s="11"/>
      <c r="N585" s="10"/>
      <c r="O585" s="10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0">
        <v>44467.0</v>
      </c>
      <c r="B586" s="15">
        <v>1462.0</v>
      </c>
      <c r="C586" s="11" t="s">
        <v>690</v>
      </c>
      <c r="D586" s="27" t="s">
        <v>798</v>
      </c>
      <c r="E586" s="27">
        <v>18.0</v>
      </c>
      <c r="F586" s="12">
        <v>5423.53</v>
      </c>
      <c r="G586" s="11" t="s">
        <v>167</v>
      </c>
      <c r="H586" s="11"/>
      <c r="I586" s="11"/>
      <c r="J586" s="12"/>
      <c r="K586" s="10"/>
      <c r="L586" s="11"/>
      <c r="M586" s="11"/>
      <c r="N586" s="10"/>
      <c r="O586" s="10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">
        <v>44469.0</v>
      </c>
      <c r="B587" s="16">
        <v>1468.0</v>
      </c>
      <c r="C587" s="11" t="s">
        <v>44</v>
      </c>
      <c r="D587" s="11" t="s">
        <v>799</v>
      </c>
      <c r="E587" s="11">
        <v>12.0</v>
      </c>
      <c r="F587" s="12">
        <v>16714.11</v>
      </c>
      <c r="G587" s="11" t="s">
        <v>27</v>
      </c>
      <c r="H587" s="11" t="s">
        <v>751</v>
      </c>
      <c r="I587" s="11" t="s">
        <v>800</v>
      </c>
      <c r="J587" s="12"/>
      <c r="K587" s="10"/>
      <c r="L587" s="11"/>
      <c r="M587" s="11"/>
      <c r="N587" s="10"/>
      <c r="O587" s="10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0">
        <v>44469.0</v>
      </c>
      <c r="B588" s="11"/>
      <c r="C588" s="11" t="s">
        <v>801</v>
      </c>
      <c r="D588" s="11" t="s">
        <v>802</v>
      </c>
      <c r="E588" s="11"/>
      <c r="F588" s="12"/>
      <c r="G588" s="11" t="s">
        <v>241</v>
      </c>
      <c r="H588" s="11" t="s">
        <v>803</v>
      </c>
      <c r="I588" s="26"/>
      <c r="J588" s="12"/>
      <c r="K588" s="10"/>
      <c r="L588" s="11"/>
      <c r="M588" s="11"/>
      <c r="N588" s="10"/>
      <c r="O588" s="10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0">
        <v>44469.0</v>
      </c>
      <c r="B589" s="16">
        <v>1467.0</v>
      </c>
      <c r="C589" s="11" t="s">
        <v>551</v>
      </c>
      <c r="D589" s="11" t="s">
        <v>804</v>
      </c>
      <c r="E589" s="11">
        <v>5.0</v>
      </c>
      <c r="F589" s="12">
        <v>145732.58</v>
      </c>
      <c r="G589" s="11" t="s">
        <v>27</v>
      </c>
      <c r="H589" s="11" t="s">
        <v>805</v>
      </c>
      <c r="I589" s="26"/>
      <c r="J589" s="12"/>
      <c r="K589" s="10"/>
      <c r="L589" s="11"/>
      <c r="M589" s="11"/>
      <c r="N589" s="10"/>
      <c r="O589" s="10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0">
        <v>44469.0</v>
      </c>
      <c r="B590" s="15">
        <v>1466.0</v>
      </c>
      <c r="C590" s="11" t="s">
        <v>551</v>
      </c>
      <c r="D590" s="11" t="s">
        <v>806</v>
      </c>
      <c r="E590" s="11">
        <v>4.0</v>
      </c>
      <c r="F590" s="12">
        <v>75799.52</v>
      </c>
      <c r="G590" s="11" t="s">
        <v>27</v>
      </c>
      <c r="H590" s="11" t="s">
        <v>805</v>
      </c>
      <c r="I590" s="26"/>
      <c r="J590" s="12"/>
      <c r="K590" s="10"/>
      <c r="L590" s="11"/>
      <c r="M590" s="11"/>
      <c r="N590" s="10"/>
      <c r="O590" s="10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0">
        <v>44469.0</v>
      </c>
      <c r="B591" s="16">
        <v>1464.0</v>
      </c>
      <c r="C591" s="11" t="s">
        <v>159</v>
      </c>
      <c r="D591" s="11" t="s">
        <v>807</v>
      </c>
      <c r="E591" s="11">
        <v>1.0</v>
      </c>
      <c r="F591" s="12">
        <v>37612.26</v>
      </c>
      <c r="G591" s="11" t="s">
        <v>27</v>
      </c>
      <c r="H591" s="11" t="s">
        <v>714</v>
      </c>
      <c r="I591" s="26"/>
      <c r="J591" s="12"/>
      <c r="K591" s="10"/>
      <c r="L591" s="11"/>
      <c r="M591" s="11"/>
      <c r="N591" s="10"/>
      <c r="O591" s="10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0">
        <v>44469.0</v>
      </c>
      <c r="B592" s="17">
        <v>1465.0</v>
      </c>
      <c r="C592" s="11" t="s">
        <v>808</v>
      </c>
      <c r="D592" s="11" t="s">
        <v>809</v>
      </c>
      <c r="E592" s="11">
        <v>10.0</v>
      </c>
      <c r="F592" s="12">
        <v>3537.0</v>
      </c>
      <c r="G592" s="11" t="s">
        <v>27</v>
      </c>
      <c r="H592" s="11" t="s">
        <v>810</v>
      </c>
      <c r="I592" s="26"/>
      <c r="J592" s="12"/>
      <c r="K592" s="10"/>
      <c r="L592" s="11"/>
      <c r="M592" s="11"/>
      <c r="N592" s="10"/>
      <c r="O592" s="10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0">
        <v>44469.0</v>
      </c>
      <c r="B593" s="11"/>
      <c r="C593" s="11"/>
      <c r="D593" s="11" t="s">
        <v>811</v>
      </c>
      <c r="E593" s="11"/>
      <c r="F593" s="12"/>
      <c r="G593" s="11" t="s">
        <v>241</v>
      </c>
      <c r="H593" s="11" t="s">
        <v>812</v>
      </c>
      <c r="I593" s="26"/>
      <c r="J593" s="12"/>
      <c r="K593" s="10"/>
      <c r="L593" s="11"/>
      <c r="M593" s="11"/>
      <c r="N593" s="10"/>
      <c r="O593" s="10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8"/>
      <c r="B594" s="19"/>
      <c r="C594" s="19"/>
      <c r="D594" s="19"/>
      <c r="E594" s="19"/>
      <c r="F594" s="20"/>
      <c r="G594" s="19"/>
      <c r="H594" s="19"/>
      <c r="I594" s="36"/>
      <c r="J594" s="20"/>
      <c r="K594" s="18"/>
      <c r="L594" s="19"/>
      <c r="M594" s="19"/>
      <c r="N594" s="18"/>
      <c r="O594" s="18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0">
        <v>44473.0</v>
      </c>
      <c r="B595" s="11"/>
      <c r="C595" s="11" t="s">
        <v>813</v>
      </c>
      <c r="D595" s="11" t="s">
        <v>814</v>
      </c>
      <c r="E595" s="11"/>
      <c r="F595" s="12"/>
      <c r="G595" s="11" t="s">
        <v>241</v>
      </c>
      <c r="H595" s="11" t="s">
        <v>684</v>
      </c>
      <c r="I595" s="26"/>
      <c r="J595" s="12"/>
      <c r="K595" s="10"/>
      <c r="L595" s="11"/>
      <c r="M595" s="11"/>
      <c r="N595" s="10"/>
      <c r="O595" s="10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0">
        <v>44473.0</v>
      </c>
      <c r="B596" s="16" t="s">
        <v>815</v>
      </c>
      <c r="C596" s="11" t="s">
        <v>39</v>
      </c>
      <c r="D596" s="11" t="s">
        <v>136</v>
      </c>
      <c r="E596" s="11">
        <v>37.0</v>
      </c>
      <c r="F596" s="12">
        <v>1270.33</v>
      </c>
      <c r="G596" s="14" t="s">
        <v>21</v>
      </c>
      <c r="H596" s="11" t="s">
        <v>743</v>
      </c>
      <c r="I596" s="11" t="s">
        <v>816</v>
      </c>
      <c r="J596" s="12">
        <v>1270.33</v>
      </c>
      <c r="K596" s="10">
        <v>44489.0</v>
      </c>
      <c r="L596" s="11">
        <v>1601.0</v>
      </c>
      <c r="M596" s="11"/>
      <c r="N596" s="10"/>
      <c r="O596" s="10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0">
        <v>44473.0</v>
      </c>
      <c r="B597" s="15">
        <v>1481.0</v>
      </c>
      <c r="C597" s="11" t="s">
        <v>39</v>
      </c>
      <c r="D597" s="11" t="s">
        <v>130</v>
      </c>
      <c r="E597" s="11"/>
      <c r="F597" s="12"/>
      <c r="G597" s="11" t="s">
        <v>817</v>
      </c>
      <c r="H597" s="11"/>
      <c r="I597" s="11"/>
      <c r="J597" s="12"/>
      <c r="K597" s="10"/>
      <c r="L597" s="11"/>
      <c r="M597" s="11"/>
      <c r="N597" s="10"/>
      <c r="O597" s="10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0">
        <v>44473.0</v>
      </c>
      <c r="B598" s="15">
        <v>1481.0</v>
      </c>
      <c r="C598" s="11" t="s">
        <v>39</v>
      </c>
      <c r="D598" s="11" t="s">
        <v>818</v>
      </c>
      <c r="E598" s="11">
        <v>1.0</v>
      </c>
      <c r="F598" s="12">
        <v>81002.4</v>
      </c>
      <c r="G598" s="11" t="s">
        <v>167</v>
      </c>
      <c r="H598" s="11"/>
      <c r="I598" s="11" t="s">
        <v>819</v>
      </c>
      <c r="J598" s="12"/>
      <c r="K598" s="10"/>
      <c r="L598" s="11"/>
      <c r="M598" s="11"/>
      <c r="N598" s="10"/>
      <c r="O598" s="10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0">
        <v>44474.0</v>
      </c>
      <c r="B599" s="13">
        <v>1485.0</v>
      </c>
      <c r="C599" s="11" t="s">
        <v>39</v>
      </c>
      <c r="D599" s="11" t="s">
        <v>820</v>
      </c>
      <c r="E599" s="11">
        <v>1.0</v>
      </c>
      <c r="F599" s="12">
        <v>13016.79</v>
      </c>
      <c r="G599" s="11" t="s">
        <v>167</v>
      </c>
      <c r="H599" s="11" t="s">
        <v>821</v>
      </c>
      <c r="I599" s="11" t="s">
        <v>822</v>
      </c>
      <c r="J599" s="12"/>
      <c r="K599" s="10"/>
      <c r="L599" s="11"/>
      <c r="M599" s="11"/>
      <c r="N599" s="10"/>
      <c r="O599" s="10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">
        <v>44474.0</v>
      </c>
      <c r="B600" s="17">
        <v>1485.0</v>
      </c>
      <c r="C600" s="11" t="s">
        <v>39</v>
      </c>
      <c r="D600" s="11" t="s">
        <v>823</v>
      </c>
      <c r="E600" s="11">
        <v>1.0</v>
      </c>
      <c r="F600" s="12">
        <v>5668.98</v>
      </c>
      <c r="G600" s="11" t="s">
        <v>167</v>
      </c>
      <c r="H600" s="11"/>
      <c r="I600" s="11"/>
      <c r="J600" s="12"/>
      <c r="K600" s="10"/>
      <c r="L600" s="11"/>
      <c r="M600" s="11"/>
      <c r="N600" s="10"/>
      <c r="O600" s="10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0">
        <v>44474.0</v>
      </c>
      <c r="B601" s="11"/>
      <c r="C601" s="11" t="s">
        <v>46</v>
      </c>
      <c r="D601" s="11" t="s">
        <v>824</v>
      </c>
      <c r="E601" s="11"/>
      <c r="F601" s="12"/>
      <c r="G601" s="11" t="s">
        <v>241</v>
      </c>
      <c r="H601" s="11" t="s">
        <v>672</v>
      </c>
      <c r="I601" s="26"/>
      <c r="J601" s="12"/>
      <c r="K601" s="10"/>
      <c r="L601" s="11"/>
      <c r="M601" s="11"/>
      <c r="N601" s="10"/>
      <c r="O601" s="10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0">
        <v>44475.0</v>
      </c>
      <c r="B602" s="13">
        <v>1476.0</v>
      </c>
      <c r="C602" s="11" t="s">
        <v>39</v>
      </c>
      <c r="D602" s="11" t="s">
        <v>221</v>
      </c>
      <c r="E602" s="11">
        <v>3.0</v>
      </c>
      <c r="F602" s="12">
        <v>2347.6</v>
      </c>
      <c r="G602" s="11" t="s">
        <v>167</v>
      </c>
      <c r="H602" s="11" t="s">
        <v>547</v>
      </c>
      <c r="I602" s="26"/>
      <c r="J602" s="12"/>
      <c r="K602" s="10"/>
      <c r="L602" s="11"/>
      <c r="M602" s="11"/>
      <c r="N602" s="10"/>
      <c r="O602" s="10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0">
        <v>44475.0</v>
      </c>
      <c r="B603" s="15">
        <v>1476.0</v>
      </c>
      <c r="C603" s="11" t="s">
        <v>39</v>
      </c>
      <c r="D603" s="11" t="s">
        <v>825</v>
      </c>
      <c r="E603" s="11">
        <v>1.0</v>
      </c>
      <c r="F603" s="12">
        <v>1205.52</v>
      </c>
      <c r="G603" s="11" t="s">
        <v>167</v>
      </c>
      <c r="H603" s="11"/>
      <c r="I603" s="26"/>
      <c r="J603" s="12"/>
      <c r="K603" s="10"/>
      <c r="L603" s="11"/>
      <c r="M603" s="11"/>
      <c r="N603" s="10"/>
      <c r="O603" s="10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0">
        <v>44475.0</v>
      </c>
      <c r="B604" s="15">
        <v>1476.0</v>
      </c>
      <c r="C604" s="11" t="s">
        <v>39</v>
      </c>
      <c r="D604" s="11" t="s">
        <v>826</v>
      </c>
      <c r="E604" s="11">
        <v>3.0</v>
      </c>
      <c r="F604" s="12">
        <v>5103.61</v>
      </c>
      <c r="G604" s="11" t="s">
        <v>167</v>
      </c>
      <c r="H604" s="11"/>
      <c r="I604" s="26"/>
      <c r="J604" s="12"/>
      <c r="K604" s="10"/>
      <c r="L604" s="11"/>
      <c r="M604" s="11"/>
      <c r="N604" s="10"/>
      <c r="O604" s="10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0">
        <v>44475.0</v>
      </c>
      <c r="B605" s="15">
        <v>1476.0</v>
      </c>
      <c r="C605" s="11" t="s">
        <v>39</v>
      </c>
      <c r="D605" s="11" t="s">
        <v>45</v>
      </c>
      <c r="E605" s="11">
        <v>1.0</v>
      </c>
      <c r="F605" s="12">
        <v>1343.26</v>
      </c>
      <c r="G605" s="11" t="s">
        <v>167</v>
      </c>
      <c r="H605" s="11"/>
      <c r="I605" s="26"/>
      <c r="J605" s="12"/>
      <c r="K605" s="10"/>
      <c r="L605" s="11"/>
      <c r="M605" s="11"/>
      <c r="N605" s="10"/>
      <c r="O605" s="10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">
        <v>44475.0</v>
      </c>
      <c r="B606" s="16">
        <v>1480.0</v>
      </c>
      <c r="C606" s="11" t="s">
        <v>159</v>
      </c>
      <c r="D606" s="11" t="s">
        <v>827</v>
      </c>
      <c r="E606" s="11">
        <v>1.0</v>
      </c>
      <c r="F606" s="12">
        <v>3215.88</v>
      </c>
      <c r="G606" s="11" t="s">
        <v>167</v>
      </c>
      <c r="H606" s="11" t="s">
        <v>714</v>
      </c>
      <c r="I606" s="26"/>
      <c r="J606" s="12"/>
      <c r="K606" s="10"/>
      <c r="L606" s="11"/>
      <c r="M606" s="11"/>
      <c r="N606" s="10"/>
      <c r="O606" s="10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0">
        <v>44476.0</v>
      </c>
      <c r="B607" s="17">
        <v>1479.0</v>
      </c>
      <c r="C607" s="11" t="s">
        <v>159</v>
      </c>
      <c r="D607" s="11" t="s">
        <v>136</v>
      </c>
      <c r="E607" s="11">
        <v>37.0</v>
      </c>
      <c r="F607" s="12">
        <v>1168.33</v>
      </c>
      <c r="G607" s="11" t="s">
        <v>167</v>
      </c>
      <c r="H607" s="11" t="s">
        <v>714</v>
      </c>
      <c r="I607" s="26"/>
      <c r="J607" s="12"/>
      <c r="K607" s="10"/>
      <c r="L607" s="11"/>
      <c r="M607" s="11"/>
      <c r="N607" s="10"/>
      <c r="O607" s="10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0">
        <v>44476.0</v>
      </c>
      <c r="B608" s="11"/>
      <c r="C608" s="11" t="s">
        <v>828</v>
      </c>
      <c r="D608" s="11" t="s">
        <v>829</v>
      </c>
      <c r="E608" s="11"/>
      <c r="F608" s="12"/>
      <c r="G608" s="11" t="s">
        <v>241</v>
      </c>
      <c r="H608" s="11" t="s">
        <v>830</v>
      </c>
      <c r="I608" s="26"/>
      <c r="J608" s="12"/>
      <c r="K608" s="10"/>
      <c r="L608" s="11"/>
      <c r="M608" s="11"/>
      <c r="N608" s="10"/>
      <c r="O608" s="10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">
        <v>44477.0</v>
      </c>
      <c r="B609" s="13">
        <v>1483.0</v>
      </c>
      <c r="C609" s="11" t="s">
        <v>39</v>
      </c>
      <c r="D609" s="11" t="s">
        <v>22</v>
      </c>
      <c r="E609" s="11">
        <v>80.0</v>
      </c>
      <c r="F609" s="12">
        <v>260.26</v>
      </c>
      <c r="G609" s="11" t="s">
        <v>167</v>
      </c>
      <c r="H609" s="11" t="s">
        <v>831</v>
      </c>
      <c r="I609" s="26"/>
      <c r="J609" s="12"/>
      <c r="K609" s="10"/>
      <c r="L609" s="11"/>
      <c r="M609" s="11"/>
      <c r="N609" s="10"/>
      <c r="O609" s="10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0">
        <v>44482.0</v>
      </c>
      <c r="B610" s="16">
        <v>1486.0</v>
      </c>
      <c r="C610" s="11" t="s">
        <v>832</v>
      </c>
      <c r="D610" s="11" t="s">
        <v>833</v>
      </c>
      <c r="E610" s="11">
        <v>2.0</v>
      </c>
      <c r="F610" s="12">
        <v>1995.71</v>
      </c>
      <c r="G610" s="11" t="s">
        <v>167</v>
      </c>
      <c r="H610" s="11" t="s">
        <v>834</v>
      </c>
      <c r="I610" s="11" t="s">
        <v>835</v>
      </c>
      <c r="J610" s="12"/>
      <c r="K610" s="10"/>
      <c r="L610" s="11"/>
      <c r="M610" s="11"/>
      <c r="N610" s="10"/>
      <c r="O610" s="10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0">
        <v>44477.0</v>
      </c>
      <c r="B611" s="15">
        <v>1484.0</v>
      </c>
      <c r="C611" s="11" t="s">
        <v>457</v>
      </c>
      <c r="D611" s="11" t="s">
        <v>836</v>
      </c>
      <c r="E611" s="11">
        <v>8.0</v>
      </c>
      <c r="F611" s="12">
        <v>10326.96</v>
      </c>
      <c r="G611" s="14" t="s">
        <v>21</v>
      </c>
      <c r="H611" s="11"/>
      <c r="I611" s="26"/>
      <c r="J611" s="12">
        <v>10326.96</v>
      </c>
      <c r="K611" s="10">
        <v>44587.0</v>
      </c>
      <c r="L611" s="11">
        <v>1680.0</v>
      </c>
      <c r="M611" s="11">
        <v>5.201931894E9</v>
      </c>
      <c r="N611" s="10">
        <v>44587.0</v>
      </c>
      <c r="O611" s="10">
        <v>44633.0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0">
        <v>44483.0</v>
      </c>
      <c r="B612" s="15">
        <v>1489.0</v>
      </c>
      <c r="C612" s="11" t="s">
        <v>39</v>
      </c>
      <c r="D612" s="11" t="s">
        <v>837</v>
      </c>
      <c r="E612" s="11">
        <v>1.0</v>
      </c>
      <c r="F612" s="12">
        <v>1219.1</v>
      </c>
      <c r="G612" s="11" t="s">
        <v>167</v>
      </c>
      <c r="H612" s="11" t="s">
        <v>547</v>
      </c>
      <c r="I612" s="26"/>
      <c r="J612" s="12"/>
      <c r="K612" s="10"/>
      <c r="L612" s="11"/>
      <c r="M612" s="11"/>
      <c r="N612" s="10"/>
      <c r="O612" s="10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0">
        <v>44483.0</v>
      </c>
      <c r="B613" s="15">
        <v>1489.0</v>
      </c>
      <c r="C613" s="11" t="s">
        <v>39</v>
      </c>
      <c r="D613" s="11" t="s">
        <v>825</v>
      </c>
      <c r="E613" s="11">
        <v>1.0</v>
      </c>
      <c r="F613" s="12">
        <v>1205.52</v>
      </c>
      <c r="G613" s="11" t="s">
        <v>167</v>
      </c>
      <c r="H613" s="11"/>
      <c r="I613" s="26"/>
      <c r="J613" s="12"/>
      <c r="K613" s="10"/>
      <c r="L613" s="11"/>
      <c r="M613" s="11"/>
      <c r="N613" s="10"/>
      <c r="O613" s="10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0">
        <v>44484.0</v>
      </c>
      <c r="B614" s="13">
        <v>1490.0</v>
      </c>
      <c r="C614" s="11" t="s">
        <v>164</v>
      </c>
      <c r="D614" s="11" t="s">
        <v>838</v>
      </c>
      <c r="E614" s="11">
        <v>50.0</v>
      </c>
      <c r="F614" s="12">
        <v>461.51</v>
      </c>
      <c r="G614" s="14" t="s">
        <v>21</v>
      </c>
      <c r="H614" s="11" t="s">
        <v>684</v>
      </c>
      <c r="I614" s="26"/>
      <c r="J614" s="12">
        <v>230.0</v>
      </c>
      <c r="K614" s="10">
        <v>44496.0</v>
      </c>
      <c r="L614" s="11">
        <v>1605.0</v>
      </c>
      <c r="M614" s="11">
        <v>4.500370537E9</v>
      </c>
      <c r="N614" s="10"/>
      <c r="O614" s="10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0">
        <v>44484.0</v>
      </c>
      <c r="B615" s="17">
        <v>1490.0</v>
      </c>
      <c r="C615" s="11" t="s">
        <v>164</v>
      </c>
      <c r="D615" s="11" t="s">
        <v>838</v>
      </c>
      <c r="E615" s="11">
        <v>50.0</v>
      </c>
      <c r="F615" s="12"/>
      <c r="G615" s="14" t="s">
        <v>21</v>
      </c>
      <c r="H615" s="11"/>
      <c r="I615" s="26"/>
      <c r="J615" s="12">
        <v>230.76</v>
      </c>
      <c r="K615" s="10">
        <v>44656.0</v>
      </c>
      <c r="L615" s="11">
        <v>1754.0</v>
      </c>
      <c r="M615" s="11">
        <v>4.500370537E9</v>
      </c>
      <c r="N615" s="10">
        <v>44621.0</v>
      </c>
      <c r="O615" s="10">
        <v>44686.0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0">
        <v>44488.0</v>
      </c>
      <c r="B616" s="15">
        <v>1494.0</v>
      </c>
      <c r="C616" s="11" t="s">
        <v>839</v>
      </c>
      <c r="D616" s="11" t="s">
        <v>840</v>
      </c>
      <c r="E616" s="11">
        <v>1.0</v>
      </c>
      <c r="F616" s="12">
        <v>3041.94</v>
      </c>
      <c r="G616" s="11" t="s">
        <v>167</v>
      </c>
      <c r="H616" s="11" t="s">
        <v>841</v>
      </c>
      <c r="I616" s="11" t="s">
        <v>842</v>
      </c>
      <c r="J616" s="12"/>
      <c r="K616" s="10"/>
      <c r="L616" s="11"/>
      <c r="M616" s="11"/>
      <c r="N616" s="10"/>
      <c r="O616" s="10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0">
        <v>44488.0</v>
      </c>
      <c r="B617" s="16">
        <v>1460.0</v>
      </c>
      <c r="C617" s="11" t="s">
        <v>457</v>
      </c>
      <c r="D617" s="11" t="s">
        <v>788</v>
      </c>
      <c r="E617" s="11">
        <v>25.0</v>
      </c>
      <c r="F617" s="12" t="s">
        <v>843</v>
      </c>
      <c r="G617" s="11" t="s">
        <v>167</v>
      </c>
      <c r="H617" s="11" t="s">
        <v>844</v>
      </c>
      <c r="I617" s="26"/>
      <c r="J617" s="12"/>
      <c r="K617" s="10"/>
      <c r="L617" s="11"/>
      <c r="M617" s="11"/>
      <c r="N617" s="10"/>
      <c r="O617" s="10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0">
        <v>44488.0</v>
      </c>
      <c r="B618" s="16">
        <v>1492.0</v>
      </c>
      <c r="C618" s="11" t="s">
        <v>164</v>
      </c>
      <c r="D618" s="11" t="s">
        <v>845</v>
      </c>
      <c r="E618" s="11">
        <v>2.0</v>
      </c>
      <c r="F618" s="12">
        <v>1431.31</v>
      </c>
      <c r="G618" s="11" t="s">
        <v>167</v>
      </c>
      <c r="H618" s="11"/>
      <c r="I618" s="26"/>
      <c r="J618" s="12"/>
      <c r="K618" s="10"/>
      <c r="L618" s="11"/>
      <c r="M618" s="11"/>
      <c r="N618" s="10"/>
      <c r="O618" s="10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0">
        <v>44489.0</v>
      </c>
      <c r="B619" s="17">
        <v>1495.0</v>
      </c>
      <c r="C619" s="11" t="s">
        <v>39</v>
      </c>
      <c r="D619" s="11" t="s">
        <v>846</v>
      </c>
      <c r="E619" s="11">
        <v>2.0</v>
      </c>
      <c r="F619" s="12">
        <v>2044.1</v>
      </c>
      <c r="G619" s="11" t="s">
        <v>167</v>
      </c>
      <c r="H619" s="11" t="s">
        <v>831</v>
      </c>
      <c r="I619" s="26"/>
      <c r="J619" s="12"/>
      <c r="K619" s="10"/>
      <c r="L619" s="11"/>
      <c r="M619" s="11"/>
      <c r="N619" s="10"/>
      <c r="O619" s="10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0">
        <v>44488.0</v>
      </c>
      <c r="B620" s="11"/>
      <c r="C620" s="11" t="s">
        <v>847</v>
      </c>
      <c r="D620" s="11" t="s">
        <v>848</v>
      </c>
      <c r="E620" s="11"/>
      <c r="F620" s="12"/>
      <c r="G620" s="11" t="s">
        <v>241</v>
      </c>
      <c r="H620" s="11" t="s">
        <v>849</v>
      </c>
      <c r="I620" s="26"/>
      <c r="J620" s="12"/>
      <c r="K620" s="10"/>
      <c r="L620" s="11"/>
      <c r="M620" s="11"/>
      <c r="N620" s="10"/>
      <c r="O620" s="10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0">
        <v>44489.0</v>
      </c>
      <c r="B621" s="13">
        <v>1502.0</v>
      </c>
      <c r="C621" s="11" t="s">
        <v>159</v>
      </c>
      <c r="D621" s="11" t="s">
        <v>850</v>
      </c>
      <c r="E621" s="11">
        <v>4.0</v>
      </c>
      <c r="F621" s="12">
        <v>2824.31</v>
      </c>
      <c r="G621" s="11" t="s">
        <v>27</v>
      </c>
      <c r="H621" s="11" t="s">
        <v>714</v>
      </c>
      <c r="I621" s="37" t="s">
        <v>851</v>
      </c>
      <c r="J621" s="12"/>
      <c r="K621" s="10"/>
      <c r="L621" s="11"/>
      <c r="M621" s="11"/>
      <c r="N621" s="10"/>
      <c r="O621" s="10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0">
        <v>44491.0</v>
      </c>
      <c r="B622" s="16">
        <v>1500.0</v>
      </c>
      <c r="C622" s="11" t="s">
        <v>457</v>
      </c>
      <c r="D622" s="11" t="s">
        <v>852</v>
      </c>
      <c r="E622" s="11">
        <v>4.0</v>
      </c>
      <c r="F622" s="12">
        <v>2900.64</v>
      </c>
      <c r="G622" s="11" t="s">
        <v>27</v>
      </c>
      <c r="H622" s="11" t="s">
        <v>844</v>
      </c>
      <c r="I622" s="26"/>
      <c r="J622" s="12"/>
      <c r="K622" s="10"/>
      <c r="L622" s="11"/>
      <c r="M622" s="11"/>
      <c r="N622" s="10"/>
      <c r="O622" s="10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0">
        <v>44491.0</v>
      </c>
      <c r="B623" s="17">
        <v>1501.0</v>
      </c>
      <c r="C623" s="11" t="s">
        <v>457</v>
      </c>
      <c r="D623" s="11" t="s">
        <v>788</v>
      </c>
      <c r="E623" s="11">
        <v>25.0</v>
      </c>
      <c r="F623" s="12"/>
      <c r="G623" s="11" t="s">
        <v>27</v>
      </c>
      <c r="H623" s="11" t="s">
        <v>844</v>
      </c>
      <c r="I623" s="26"/>
      <c r="J623" s="12"/>
      <c r="K623" s="10"/>
      <c r="L623" s="11"/>
      <c r="M623" s="11"/>
      <c r="N623" s="10"/>
      <c r="O623" s="10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0">
        <v>44490.0</v>
      </c>
      <c r="B624" s="11"/>
      <c r="C624" s="11"/>
      <c r="D624" s="11" t="s">
        <v>853</v>
      </c>
      <c r="E624" s="11"/>
      <c r="F624" s="12"/>
      <c r="G624" s="11" t="s">
        <v>241</v>
      </c>
      <c r="H624" s="11" t="s">
        <v>854</v>
      </c>
      <c r="I624" s="37" t="s">
        <v>855</v>
      </c>
      <c r="J624" s="12"/>
      <c r="K624" s="10"/>
      <c r="L624" s="11"/>
      <c r="M624" s="11"/>
      <c r="N624" s="10"/>
      <c r="O624" s="10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0">
        <v>44494.0</v>
      </c>
      <c r="B625" s="11"/>
      <c r="C625" s="11"/>
      <c r="D625" s="27" t="s">
        <v>856</v>
      </c>
      <c r="E625" s="11"/>
      <c r="F625" s="12"/>
      <c r="G625" s="11" t="s">
        <v>241</v>
      </c>
      <c r="H625" s="11" t="s">
        <v>857</v>
      </c>
      <c r="I625" s="26"/>
      <c r="J625" s="12"/>
      <c r="K625" s="10"/>
      <c r="L625" s="11"/>
      <c r="M625" s="11"/>
      <c r="N625" s="10"/>
      <c r="O625" s="10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0">
        <v>44494.0</v>
      </c>
      <c r="B626" s="11"/>
      <c r="C626" s="11" t="s">
        <v>188</v>
      </c>
      <c r="D626" s="11" t="s">
        <v>858</v>
      </c>
      <c r="E626" s="11">
        <v>3.0</v>
      </c>
      <c r="F626" s="12"/>
      <c r="G626" s="11" t="s">
        <v>241</v>
      </c>
      <c r="H626" s="11" t="s">
        <v>689</v>
      </c>
      <c r="I626" s="26"/>
      <c r="J626" s="12"/>
      <c r="K626" s="10"/>
      <c r="L626" s="11"/>
      <c r="M626" s="11"/>
      <c r="N626" s="10"/>
      <c r="O626" s="10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0">
        <v>44495.0</v>
      </c>
      <c r="B627" s="16">
        <v>1511.0</v>
      </c>
      <c r="C627" s="11" t="s">
        <v>859</v>
      </c>
      <c r="D627" s="27" t="s">
        <v>860</v>
      </c>
      <c r="E627" s="11">
        <v>1.0</v>
      </c>
      <c r="F627" s="12" t="s">
        <v>861</v>
      </c>
      <c r="G627" s="11" t="s">
        <v>27</v>
      </c>
      <c r="H627" s="11" t="s">
        <v>862</v>
      </c>
      <c r="I627" s="37" t="s">
        <v>863</v>
      </c>
      <c r="J627" s="12"/>
      <c r="K627" s="10"/>
      <c r="L627" s="11"/>
      <c r="M627" s="11"/>
      <c r="N627" s="10"/>
      <c r="O627" s="10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0">
        <v>44495.0</v>
      </c>
      <c r="B628" s="11"/>
      <c r="C628" s="11" t="s">
        <v>864</v>
      </c>
      <c r="D628" s="27" t="s">
        <v>865</v>
      </c>
      <c r="E628" s="11"/>
      <c r="F628" s="12"/>
      <c r="G628" s="11" t="s">
        <v>241</v>
      </c>
      <c r="H628" s="11" t="s">
        <v>866</v>
      </c>
      <c r="I628" s="26"/>
      <c r="J628" s="12"/>
      <c r="K628" s="10"/>
      <c r="L628" s="11"/>
      <c r="M628" s="11"/>
      <c r="N628" s="10"/>
      <c r="O628" s="10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0">
        <v>44496.0</v>
      </c>
      <c r="B629" s="13">
        <v>1516.0</v>
      </c>
      <c r="C629" s="11" t="s">
        <v>457</v>
      </c>
      <c r="D629" s="11" t="s">
        <v>867</v>
      </c>
      <c r="E629" s="11">
        <v>13.0</v>
      </c>
      <c r="F629" s="12" t="s">
        <v>868</v>
      </c>
      <c r="G629" s="11" t="s">
        <v>27</v>
      </c>
      <c r="H629" s="11" t="s">
        <v>751</v>
      </c>
      <c r="I629" s="26"/>
      <c r="J629" s="12"/>
      <c r="K629" s="10"/>
      <c r="L629" s="11"/>
      <c r="M629" s="11"/>
      <c r="N629" s="10"/>
      <c r="O629" s="10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0">
        <v>44495.0</v>
      </c>
      <c r="B630" s="16">
        <v>1509.0</v>
      </c>
      <c r="C630" s="11" t="s">
        <v>457</v>
      </c>
      <c r="D630" s="11" t="s">
        <v>869</v>
      </c>
      <c r="E630" s="11">
        <v>27.0</v>
      </c>
      <c r="F630" s="12">
        <v>35969.35</v>
      </c>
      <c r="G630" s="11" t="s">
        <v>27</v>
      </c>
      <c r="H630" s="11" t="s">
        <v>687</v>
      </c>
      <c r="I630" s="26"/>
      <c r="J630" s="12"/>
      <c r="K630" s="10"/>
      <c r="L630" s="11"/>
      <c r="M630" s="11"/>
      <c r="N630" s="10"/>
      <c r="O630" s="10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0">
        <v>44497.0</v>
      </c>
      <c r="B631" s="17">
        <v>1510.0</v>
      </c>
      <c r="C631" s="11" t="s">
        <v>870</v>
      </c>
      <c r="D631" s="11" t="s">
        <v>871</v>
      </c>
      <c r="E631" s="11">
        <v>1.0</v>
      </c>
      <c r="F631" s="12">
        <v>6962.68</v>
      </c>
      <c r="G631" s="11" t="s">
        <v>27</v>
      </c>
      <c r="H631" s="11" t="s">
        <v>872</v>
      </c>
      <c r="I631" s="26"/>
      <c r="J631" s="12"/>
      <c r="K631" s="10"/>
      <c r="L631" s="11"/>
      <c r="M631" s="11"/>
      <c r="N631" s="10"/>
      <c r="O631" s="10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0">
        <v>44498.0</v>
      </c>
      <c r="B632" s="11"/>
      <c r="C632" s="11" t="s">
        <v>873</v>
      </c>
      <c r="D632" s="11" t="s">
        <v>874</v>
      </c>
      <c r="E632" s="11">
        <v>16.0</v>
      </c>
      <c r="F632" s="12"/>
      <c r="G632" s="11" t="s">
        <v>241</v>
      </c>
      <c r="H632" s="11" t="s">
        <v>875</v>
      </c>
      <c r="I632" s="37" t="s">
        <v>876</v>
      </c>
      <c r="J632" s="12"/>
      <c r="K632" s="10"/>
      <c r="L632" s="11"/>
      <c r="M632" s="11"/>
      <c r="N632" s="10"/>
      <c r="O632" s="10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0">
        <v>44498.0</v>
      </c>
      <c r="B633" s="13">
        <v>1514.0</v>
      </c>
      <c r="C633" s="11" t="s">
        <v>39</v>
      </c>
      <c r="D633" s="11" t="s">
        <v>825</v>
      </c>
      <c r="E633" s="11">
        <v>2.0</v>
      </c>
      <c r="F633" s="12">
        <v>3149.04</v>
      </c>
      <c r="G633" s="11" t="s">
        <v>27</v>
      </c>
      <c r="H633" s="11"/>
      <c r="I633" s="26"/>
      <c r="J633" s="12"/>
      <c r="K633" s="10"/>
      <c r="L633" s="11"/>
      <c r="M633" s="11"/>
      <c r="N633" s="10"/>
      <c r="O633" s="10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0">
        <v>44498.0</v>
      </c>
      <c r="B634" s="15">
        <v>1514.0</v>
      </c>
      <c r="C634" s="11" t="s">
        <v>39</v>
      </c>
      <c r="D634" s="11" t="s">
        <v>877</v>
      </c>
      <c r="E634" s="11">
        <v>1.0</v>
      </c>
      <c r="F634" s="12">
        <v>1085.74</v>
      </c>
      <c r="G634" s="11" t="s">
        <v>27</v>
      </c>
      <c r="H634" s="11"/>
      <c r="I634" s="26"/>
      <c r="J634" s="12"/>
      <c r="K634" s="10"/>
      <c r="L634" s="11"/>
      <c r="M634" s="11"/>
      <c r="N634" s="10"/>
      <c r="O634" s="10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0">
        <v>44498.0</v>
      </c>
      <c r="B635" s="15">
        <v>1514.0</v>
      </c>
      <c r="C635" s="11" t="s">
        <v>39</v>
      </c>
      <c r="D635" s="11" t="s">
        <v>416</v>
      </c>
      <c r="E635" s="11">
        <v>1.0</v>
      </c>
      <c r="F635" s="12">
        <v>2271.63</v>
      </c>
      <c r="G635" s="11" t="s">
        <v>27</v>
      </c>
      <c r="H635" s="11"/>
      <c r="I635" s="26"/>
      <c r="J635" s="12"/>
      <c r="K635" s="10"/>
      <c r="L635" s="11"/>
      <c r="M635" s="11"/>
      <c r="N635" s="10"/>
      <c r="O635" s="10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0">
        <v>44498.0</v>
      </c>
      <c r="B636" s="17">
        <v>1514.0</v>
      </c>
      <c r="C636" s="11" t="s">
        <v>39</v>
      </c>
      <c r="D636" s="11" t="s">
        <v>598</v>
      </c>
      <c r="E636" s="11">
        <v>4.0</v>
      </c>
      <c r="F636" s="12">
        <v>7027.24</v>
      </c>
      <c r="G636" s="11" t="s">
        <v>27</v>
      </c>
      <c r="H636" s="11"/>
      <c r="I636" s="26"/>
      <c r="J636" s="12"/>
      <c r="K636" s="10"/>
      <c r="L636" s="11"/>
      <c r="M636" s="11"/>
      <c r="N636" s="10"/>
      <c r="O636" s="10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8"/>
      <c r="B637" s="19"/>
      <c r="C637" s="19"/>
      <c r="D637" s="19"/>
      <c r="E637" s="19"/>
      <c r="F637" s="20"/>
      <c r="G637" s="19"/>
      <c r="H637" s="19"/>
      <c r="I637" s="36"/>
      <c r="J637" s="20"/>
      <c r="K637" s="18"/>
      <c r="L637" s="19"/>
      <c r="M637" s="19"/>
      <c r="N637" s="18"/>
      <c r="O637" s="18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0">
        <v>44501.0</v>
      </c>
      <c r="B638" s="11"/>
      <c r="C638" s="11"/>
      <c r="D638" s="11" t="s">
        <v>878</v>
      </c>
      <c r="E638" s="11"/>
      <c r="F638" s="12"/>
      <c r="G638" s="11" t="s">
        <v>241</v>
      </c>
      <c r="H638" s="11" t="s">
        <v>879</v>
      </c>
      <c r="I638" s="26"/>
      <c r="J638" s="12"/>
      <c r="K638" s="10"/>
      <c r="L638" s="11"/>
      <c r="M638" s="11"/>
      <c r="N638" s="10"/>
      <c r="O638" s="10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0">
        <v>44503.0</v>
      </c>
      <c r="B639" s="11"/>
      <c r="C639" s="11" t="s">
        <v>46</v>
      </c>
      <c r="D639" s="11" t="s">
        <v>880</v>
      </c>
      <c r="E639" s="11">
        <v>1.0</v>
      </c>
      <c r="F639" s="12"/>
      <c r="G639" s="11" t="s">
        <v>241</v>
      </c>
      <c r="H639" s="11" t="s">
        <v>705</v>
      </c>
      <c r="I639" s="37" t="s">
        <v>881</v>
      </c>
      <c r="J639" s="12"/>
      <c r="K639" s="10"/>
      <c r="L639" s="11"/>
      <c r="M639" s="11"/>
      <c r="N639" s="10"/>
      <c r="O639" s="10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0">
        <v>44503.0</v>
      </c>
      <c r="B640" s="11"/>
      <c r="C640" s="11" t="s">
        <v>46</v>
      </c>
      <c r="D640" s="11" t="s">
        <v>882</v>
      </c>
      <c r="E640" s="11">
        <v>1.0</v>
      </c>
      <c r="F640" s="12"/>
      <c r="G640" s="11" t="s">
        <v>241</v>
      </c>
      <c r="H640" s="11" t="s">
        <v>705</v>
      </c>
      <c r="I640" s="26"/>
      <c r="J640" s="12"/>
      <c r="K640" s="10"/>
      <c r="L640" s="11"/>
      <c r="M640" s="11"/>
      <c r="N640" s="10"/>
      <c r="O640" s="10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0">
        <v>44503.0</v>
      </c>
      <c r="B641" s="11"/>
      <c r="C641" s="11" t="s">
        <v>46</v>
      </c>
      <c r="D641" s="11" t="s">
        <v>883</v>
      </c>
      <c r="E641" s="11">
        <v>1.0</v>
      </c>
      <c r="F641" s="12"/>
      <c r="G641" s="11" t="s">
        <v>241</v>
      </c>
      <c r="H641" s="11" t="s">
        <v>705</v>
      </c>
      <c r="I641" s="26"/>
      <c r="J641" s="12"/>
      <c r="K641" s="10"/>
      <c r="L641" s="11"/>
      <c r="M641" s="11"/>
      <c r="N641" s="10"/>
      <c r="O641" s="10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0">
        <v>44503.0</v>
      </c>
      <c r="B642" s="11"/>
      <c r="C642" s="11" t="s">
        <v>46</v>
      </c>
      <c r="D642" s="11" t="s">
        <v>884</v>
      </c>
      <c r="E642" s="11">
        <v>1.0</v>
      </c>
      <c r="F642" s="12"/>
      <c r="G642" s="11" t="s">
        <v>241</v>
      </c>
      <c r="H642" s="11" t="s">
        <v>705</v>
      </c>
      <c r="I642" s="26"/>
      <c r="J642" s="12"/>
      <c r="K642" s="10"/>
      <c r="L642" s="11"/>
      <c r="M642" s="11"/>
      <c r="N642" s="10"/>
      <c r="O642" s="10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0">
        <v>44503.0</v>
      </c>
      <c r="B643" s="11"/>
      <c r="C643" s="11" t="s">
        <v>46</v>
      </c>
      <c r="D643" s="11" t="s">
        <v>885</v>
      </c>
      <c r="E643" s="11">
        <v>1.0</v>
      </c>
      <c r="F643" s="12"/>
      <c r="G643" s="11" t="s">
        <v>241</v>
      </c>
      <c r="H643" s="11" t="s">
        <v>705</v>
      </c>
      <c r="I643" s="26"/>
      <c r="J643" s="12"/>
      <c r="K643" s="10"/>
      <c r="L643" s="11"/>
      <c r="M643" s="11"/>
      <c r="N643" s="10"/>
      <c r="O643" s="10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0">
        <v>44503.0</v>
      </c>
      <c r="B644" s="11"/>
      <c r="C644" s="11" t="s">
        <v>46</v>
      </c>
      <c r="D644" s="11" t="s">
        <v>886</v>
      </c>
      <c r="E644" s="11">
        <v>1.0</v>
      </c>
      <c r="F644" s="12"/>
      <c r="G644" s="11" t="s">
        <v>241</v>
      </c>
      <c r="H644" s="11" t="s">
        <v>705</v>
      </c>
      <c r="I644" s="26"/>
      <c r="J644" s="12"/>
      <c r="K644" s="10"/>
      <c r="L644" s="11"/>
      <c r="M644" s="11"/>
      <c r="N644" s="10"/>
      <c r="O644" s="10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0">
        <v>44503.0</v>
      </c>
      <c r="B645" s="11"/>
      <c r="C645" s="11" t="s">
        <v>46</v>
      </c>
      <c r="D645" s="11" t="s">
        <v>887</v>
      </c>
      <c r="E645" s="11">
        <v>1.0</v>
      </c>
      <c r="F645" s="12"/>
      <c r="G645" s="11" t="s">
        <v>241</v>
      </c>
      <c r="H645" s="11" t="s">
        <v>705</v>
      </c>
      <c r="I645" s="26"/>
      <c r="J645" s="12"/>
      <c r="K645" s="10"/>
      <c r="L645" s="11"/>
      <c r="M645" s="11"/>
      <c r="N645" s="10"/>
      <c r="O645" s="10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0">
        <v>44503.0</v>
      </c>
      <c r="B646" s="11"/>
      <c r="C646" s="11" t="s">
        <v>46</v>
      </c>
      <c r="D646" s="11" t="s">
        <v>888</v>
      </c>
      <c r="E646" s="11">
        <v>1.0</v>
      </c>
      <c r="F646" s="12"/>
      <c r="G646" s="11" t="s">
        <v>241</v>
      </c>
      <c r="H646" s="11" t="s">
        <v>705</v>
      </c>
      <c r="I646" s="26"/>
      <c r="J646" s="12"/>
      <c r="K646" s="10"/>
      <c r="L646" s="11"/>
      <c r="M646" s="11"/>
      <c r="N646" s="10"/>
      <c r="O646" s="10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0">
        <v>44503.0</v>
      </c>
      <c r="B647" s="11"/>
      <c r="C647" s="11" t="s">
        <v>46</v>
      </c>
      <c r="D647" s="11" t="s">
        <v>889</v>
      </c>
      <c r="E647" s="11">
        <v>1.0</v>
      </c>
      <c r="F647" s="12"/>
      <c r="G647" s="11" t="s">
        <v>241</v>
      </c>
      <c r="H647" s="11" t="s">
        <v>705</v>
      </c>
      <c r="I647" s="26"/>
      <c r="J647" s="12"/>
      <c r="K647" s="10"/>
      <c r="L647" s="11"/>
      <c r="M647" s="11"/>
      <c r="N647" s="10"/>
      <c r="O647" s="10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0">
        <v>44503.0</v>
      </c>
      <c r="B648" s="11"/>
      <c r="C648" s="11" t="s">
        <v>46</v>
      </c>
      <c r="D648" s="11" t="s">
        <v>890</v>
      </c>
      <c r="E648" s="11">
        <v>1.0</v>
      </c>
      <c r="F648" s="12"/>
      <c r="G648" s="11" t="s">
        <v>241</v>
      </c>
      <c r="H648" s="11" t="s">
        <v>705</v>
      </c>
      <c r="I648" s="26"/>
      <c r="J648" s="12"/>
      <c r="K648" s="10"/>
      <c r="L648" s="11"/>
      <c r="M648" s="11"/>
      <c r="N648" s="10"/>
      <c r="O648" s="10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0">
        <v>44503.0</v>
      </c>
      <c r="B649" s="11"/>
      <c r="C649" s="11" t="s">
        <v>46</v>
      </c>
      <c r="D649" s="11" t="s">
        <v>891</v>
      </c>
      <c r="E649" s="11">
        <v>1.0</v>
      </c>
      <c r="F649" s="12"/>
      <c r="G649" s="11" t="s">
        <v>241</v>
      </c>
      <c r="H649" s="11" t="s">
        <v>705</v>
      </c>
      <c r="I649" s="26"/>
      <c r="J649" s="12"/>
      <c r="K649" s="10"/>
      <c r="L649" s="11"/>
      <c r="M649" s="11"/>
      <c r="N649" s="10"/>
      <c r="O649" s="10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0">
        <v>44503.0</v>
      </c>
      <c r="B650" s="11"/>
      <c r="C650" s="11" t="s">
        <v>46</v>
      </c>
      <c r="D650" s="11" t="s">
        <v>892</v>
      </c>
      <c r="E650" s="11">
        <v>1.0</v>
      </c>
      <c r="F650" s="12"/>
      <c r="G650" s="11" t="s">
        <v>241</v>
      </c>
      <c r="H650" s="11" t="s">
        <v>705</v>
      </c>
      <c r="I650" s="26"/>
      <c r="J650" s="12"/>
      <c r="K650" s="10"/>
      <c r="L650" s="11"/>
      <c r="M650" s="11"/>
      <c r="N650" s="10"/>
      <c r="O650" s="10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0">
        <v>44503.0</v>
      </c>
      <c r="B651" s="11"/>
      <c r="C651" s="11" t="s">
        <v>46</v>
      </c>
      <c r="D651" s="11" t="s">
        <v>893</v>
      </c>
      <c r="E651" s="11">
        <v>1.0</v>
      </c>
      <c r="F651" s="12"/>
      <c r="G651" s="11" t="s">
        <v>241</v>
      </c>
      <c r="H651" s="11" t="s">
        <v>705</v>
      </c>
      <c r="I651" s="26"/>
      <c r="J651" s="12"/>
      <c r="K651" s="10"/>
      <c r="L651" s="11"/>
      <c r="M651" s="11"/>
      <c r="N651" s="10"/>
      <c r="O651" s="10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0">
        <v>44503.0</v>
      </c>
      <c r="B652" s="11"/>
      <c r="C652" s="11" t="s">
        <v>46</v>
      </c>
      <c r="D652" s="11" t="s">
        <v>894</v>
      </c>
      <c r="E652" s="11">
        <v>1.0</v>
      </c>
      <c r="F652" s="12"/>
      <c r="G652" s="11" t="s">
        <v>241</v>
      </c>
      <c r="H652" s="11" t="s">
        <v>705</v>
      </c>
      <c r="I652" s="26"/>
      <c r="J652" s="12"/>
      <c r="K652" s="10"/>
      <c r="L652" s="11"/>
      <c r="M652" s="11"/>
      <c r="N652" s="10"/>
      <c r="O652" s="10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0">
        <v>44503.0</v>
      </c>
      <c r="B653" s="11"/>
      <c r="C653" s="11" t="s">
        <v>46</v>
      </c>
      <c r="D653" s="11" t="s">
        <v>895</v>
      </c>
      <c r="E653" s="11">
        <v>1.0</v>
      </c>
      <c r="F653" s="12"/>
      <c r="G653" s="11" t="s">
        <v>241</v>
      </c>
      <c r="H653" s="11" t="s">
        <v>705</v>
      </c>
      <c r="I653" s="26"/>
      <c r="J653" s="12"/>
      <c r="K653" s="10"/>
      <c r="L653" s="11"/>
      <c r="M653" s="11"/>
      <c r="N653" s="10"/>
      <c r="O653" s="10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0">
        <v>44503.0</v>
      </c>
      <c r="B654" s="11"/>
      <c r="C654" s="11" t="s">
        <v>46</v>
      </c>
      <c r="D654" s="11" t="s">
        <v>896</v>
      </c>
      <c r="E654" s="11">
        <v>1.0</v>
      </c>
      <c r="F654" s="12"/>
      <c r="G654" s="11" t="s">
        <v>241</v>
      </c>
      <c r="H654" s="11" t="s">
        <v>705</v>
      </c>
      <c r="I654" s="26"/>
      <c r="J654" s="12"/>
      <c r="K654" s="10"/>
      <c r="L654" s="11"/>
      <c r="M654" s="11"/>
      <c r="N654" s="10"/>
      <c r="O654" s="10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0">
        <v>44503.0</v>
      </c>
      <c r="B655" s="11"/>
      <c r="C655" s="11" t="s">
        <v>46</v>
      </c>
      <c r="D655" s="11" t="s">
        <v>897</v>
      </c>
      <c r="E655" s="11">
        <v>1.0</v>
      </c>
      <c r="F655" s="12"/>
      <c r="G655" s="11" t="s">
        <v>241</v>
      </c>
      <c r="H655" s="11" t="s">
        <v>705</v>
      </c>
      <c r="I655" s="26"/>
      <c r="J655" s="12"/>
      <c r="K655" s="10"/>
      <c r="L655" s="11"/>
      <c r="M655" s="11"/>
      <c r="N655" s="10"/>
      <c r="O655" s="10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0">
        <v>44503.0</v>
      </c>
      <c r="B656" s="11"/>
      <c r="C656" s="11" t="s">
        <v>46</v>
      </c>
      <c r="D656" s="11" t="s">
        <v>898</v>
      </c>
      <c r="E656" s="11">
        <v>1.0</v>
      </c>
      <c r="F656" s="12"/>
      <c r="G656" s="11" t="s">
        <v>241</v>
      </c>
      <c r="H656" s="11" t="s">
        <v>705</v>
      </c>
      <c r="I656" s="26"/>
      <c r="J656" s="12"/>
      <c r="K656" s="10"/>
      <c r="L656" s="11"/>
      <c r="M656" s="11"/>
      <c r="N656" s="10"/>
      <c r="O656" s="10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0">
        <v>44503.0</v>
      </c>
      <c r="B657" s="11"/>
      <c r="C657" s="11" t="s">
        <v>46</v>
      </c>
      <c r="D657" s="11" t="s">
        <v>899</v>
      </c>
      <c r="E657" s="11">
        <v>1.0</v>
      </c>
      <c r="F657" s="12"/>
      <c r="G657" s="11" t="s">
        <v>241</v>
      </c>
      <c r="H657" s="11" t="s">
        <v>705</v>
      </c>
      <c r="I657" s="26"/>
      <c r="J657" s="12"/>
      <c r="K657" s="10"/>
      <c r="L657" s="11"/>
      <c r="M657" s="11"/>
      <c r="N657" s="10"/>
      <c r="O657" s="10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0">
        <v>44503.0</v>
      </c>
      <c r="B658" s="11"/>
      <c r="C658" s="11" t="s">
        <v>46</v>
      </c>
      <c r="D658" s="11" t="s">
        <v>900</v>
      </c>
      <c r="E658" s="11">
        <v>1.0</v>
      </c>
      <c r="F658" s="12"/>
      <c r="G658" s="11" t="s">
        <v>241</v>
      </c>
      <c r="H658" s="11" t="s">
        <v>705</v>
      </c>
      <c r="I658" s="26"/>
      <c r="J658" s="12"/>
      <c r="K658" s="10"/>
      <c r="L658" s="11"/>
      <c r="M658" s="11"/>
      <c r="N658" s="10"/>
      <c r="O658" s="10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0">
        <v>44503.0</v>
      </c>
      <c r="B659" s="11"/>
      <c r="C659" s="11" t="s">
        <v>46</v>
      </c>
      <c r="D659" s="11" t="s">
        <v>901</v>
      </c>
      <c r="E659" s="11">
        <v>1.0</v>
      </c>
      <c r="F659" s="12"/>
      <c r="G659" s="11" t="s">
        <v>241</v>
      </c>
      <c r="H659" s="11" t="s">
        <v>705</v>
      </c>
      <c r="I659" s="26"/>
      <c r="J659" s="12"/>
      <c r="K659" s="10"/>
      <c r="L659" s="11"/>
      <c r="M659" s="11"/>
      <c r="N659" s="10"/>
      <c r="O659" s="10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0">
        <v>44503.0</v>
      </c>
      <c r="B660" s="11"/>
      <c r="C660" s="11" t="s">
        <v>46</v>
      </c>
      <c r="D660" s="11" t="s">
        <v>902</v>
      </c>
      <c r="E660" s="11">
        <v>1.0</v>
      </c>
      <c r="F660" s="12"/>
      <c r="G660" s="11" t="s">
        <v>241</v>
      </c>
      <c r="H660" s="11" t="s">
        <v>705</v>
      </c>
      <c r="I660" s="26"/>
      <c r="J660" s="12"/>
      <c r="K660" s="10"/>
      <c r="L660" s="11"/>
      <c r="M660" s="11"/>
      <c r="N660" s="10"/>
      <c r="O660" s="10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0">
        <v>44503.0</v>
      </c>
      <c r="B661" s="11"/>
      <c r="C661" s="11" t="s">
        <v>46</v>
      </c>
      <c r="D661" s="11" t="s">
        <v>903</v>
      </c>
      <c r="E661" s="11">
        <v>1.0</v>
      </c>
      <c r="F661" s="12"/>
      <c r="G661" s="11" t="s">
        <v>241</v>
      </c>
      <c r="H661" s="11" t="s">
        <v>705</v>
      </c>
      <c r="I661" s="26"/>
      <c r="J661" s="12"/>
      <c r="K661" s="10"/>
      <c r="L661" s="11"/>
      <c r="M661" s="11"/>
      <c r="N661" s="10"/>
      <c r="O661" s="10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0">
        <v>44503.0</v>
      </c>
      <c r="B662" s="11"/>
      <c r="C662" s="11" t="s">
        <v>46</v>
      </c>
      <c r="D662" s="11" t="s">
        <v>904</v>
      </c>
      <c r="E662" s="11">
        <v>1.0</v>
      </c>
      <c r="F662" s="12"/>
      <c r="G662" s="11" t="s">
        <v>241</v>
      </c>
      <c r="H662" s="11" t="s">
        <v>705</v>
      </c>
      <c r="I662" s="26"/>
      <c r="J662" s="12"/>
      <c r="K662" s="10"/>
      <c r="L662" s="11"/>
      <c r="M662" s="11"/>
      <c r="N662" s="10"/>
      <c r="O662" s="10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0">
        <v>44503.0</v>
      </c>
      <c r="B663" s="11"/>
      <c r="C663" s="11" t="s">
        <v>46</v>
      </c>
      <c r="D663" s="11" t="s">
        <v>882</v>
      </c>
      <c r="E663" s="11">
        <v>1.0</v>
      </c>
      <c r="F663" s="12"/>
      <c r="G663" s="11" t="s">
        <v>241</v>
      </c>
      <c r="H663" s="11" t="s">
        <v>705</v>
      </c>
      <c r="I663" s="26"/>
      <c r="J663" s="12"/>
      <c r="K663" s="10"/>
      <c r="L663" s="11"/>
      <c r="M663" s="11"/>
      <c r="N663" s="10"/>
      <c r="O663" s="10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0">
        <v>44503.0</v>
      </c>
      <c r="B664" s="11"/>
      <c r="C664" s="11" t="s">
        <v>707</v>
      </c>
      <c r="D664" s="11" t="s">
        <v>905</v>
      </c>
      <c r="E664" s="11">
        <v>1.0</v>
      </c>
      <c r="F664" s="12"/>
      <c r="G664" s="11" t="s">
        <v>241</v>
      </c>
      <c r="H664" s="11" t="s">
        <v>560</v>
      </c>
      <c r="I664" s="37" t="s">
        <v>906</v>
      </c>
      <c r="J664" s="12"/>
      <c r="K664" s="10"/>
      <c r="L664" s="11"/>
      <c r="M664" s="11"/>
      <c r="N664" s="10"/>
      <c r="O664" s="10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0">
        <v>44503.0</v>
      </c>
      <c r="B665" s="16">
        <v>1520.0</v>
      </c>
      <c r="C665" s="11" t="s">
        <v>707</v>
      </c>
      <c r="D665" s="27" t="s">
        <v>907</v>
      </c>
      <c r="E665" s="11">
        <v>10.0</v>
      </c>
      <c r="F665" s="12">
        <v>1405.26</v>
      </c>
      <c r="G665" s="11" t="s">
        <v>27</v>
      </c>
      <c r="H665" s="11" t="s">
        <v>560</v>
      </c>
      <c r="I665" s="37" t="s">
        <v>908</v>
      </c>
      <c r="J665" s="12"/>
      <c r="K665" s="10"/>
      <c r="L665" s="11"/>
      <c r="M665" s="11"/>
      <c r="N665" s="10"/>
      <c r="O665" s="10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0">
        <v>44504.0</v>
      </c>
      <c r="B666" s="17">
        <v>1518.0</v>
      </c>
      <c r="C666" s="11" t="s">
        <v>690</v>
      </c>
      <c r="D666" s="27" t="s">
        <v>909</v>
      </c>
      <c r="E666" s="11">
        <v>2.0</v>
      </c>
      <c r="F666" s="12">
        <v>3050.37</v>
      </c>
      <c r="G666" s="11" t="s">
        <v>27</v>
      </c>
      <c r="H666" s="11" t="s">
        <v>737</v>
      </c>
      <c r="I666" s="26"/>
      <c r="J666" s="12"/>
      <c r="K666" s="10"/>
      <c r="L666" s="11"/>
      <c r="M666" s="11"/>
      <c r="N666" s="10"/>
      <c r="O666" s="10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0">
        <v>44504.0</v>
      </c>
      <c r="B667" s="11"/>
      <c r="C667" s="11" t="s">
        <v>707</v>
      </c>
      <c r="D667" s="11" t="s">
        <v>910</v>
      </c>
      <c r="E667" s="11"/>
      <c r="F667" s="12"/>
      <c r="G667" s="11" t="s">
        <v>241</v>
      </c>
      <c r="H667" s="11" t="s">
        <v>560</v>
      </c>
      <c r="I667" s="37" t="s">
        <v>911</v>
      </c>
      <c r="J667" s="12"/>
      <c r="K667" s="10"/>
      <c r="L667" s="11"/>
      <c r="M667" s="11"/>
      <c r="N667" s="10"/>
      <c r="O667" s="10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0">
        <v>44504.0</v>
      </c>
      <c r="B668" s="16">
        <v>1519.0</v>
      </c>
      <c r="C668" s="11" t="s">
        <v>457</v>
      </c>
      <c r="D668" s="11" t="s">
        <v>912</v>
      </c>
      <c r="E668" s="11">
        <v>30.0</v>
      </c>
      <c r="F668" s="12">
        <v>4292.96</v>
      </c>
      <c r="G668" s="11" t="s">
        <v>27</v>
      </c>
      <c r="H668" s="11" t="s">
        <v>844</v>
      </c>
      <c r="I668" s="26"/>
      <c r="J668" s="12"/>
      <c r="K668" s="10"/>
      <c r="L668" s="11"/>
      <c r="M668" s="11"/>
      <c r="N668" s="10"/>
      <c r="O668" s="10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0">
        <v>44504.0</v>
      </c>
      <c r="B669" s="15">
        <v>1527.0</v>
      </c>
      <c r="C669" s="11" t="s">
        <v>548</v>
      </c>
      <c r="D669" s="27" t="s">
        <v>913</v>
      </c>
      <c r="E669" s="11">
        <v>1.0</v>
      </c>
      <c r="F669" s="12">
        <v>9695.42</v>
      </c>
      <c r="G669" s="11" t="s">
        <v>27</v>
      </c>
      <c r="H669" s="11" t="s">
        <v>560</v>
      </c>
      <c r="I669" s="37" t="s">
        <v>914</v>
      </c>
      <c r="J669" s="12"/>
      <c r="K669" s="10"/>
      <c r="L669" s="11"/>
      <c r="M669" s="11"/>
      <c r="N669" s="10"/>
      <c r="O669" s="10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">
        <v>44504.0</v>
      </c>
      <c r="B670" s="15">
        <v>1527.0</v>
      </c>
      <c r="C670" s="11" t="s">
        <v>548</v>
      </c>
      <c r="D670" s="11" t="s">
        <v>915</v>
      </c>
      <c r="E670" s="11">
        <v>144.0</v>
      </c>
      <c r="F670" s="12" t="s">
        <v>916</v>
      </c>
      <c r="G670" s="11" t="s">
        <v>27</v>
      </c>
      <c r="H670" s="11"/>
      <c r="I670" s="26"/>
      <c r="J670" s="12"/>
      <c r="K670" s="10"/>
      <c r="L670" s="11"/>
      <c r="M670" s="11"/>
      <c r="N670" s="10"/>
      <c r="O670" s="10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0">
        <v>44504.0</v>
      </c>
      <c r="B671" s="17">
        <v>1527.0</v>
      </c>
      <c r="C671" s="11" t="s">
        <v>548</v>
      </c>
      <c r="D671" s="11" t="s">
        <v>917</v>
      </c>
      <c r="E671" s="11">
        <v>14.0</v>
      </c>
      <c r="F671" s="12" t="s">
        <v>918</v>
      </c>
      <c r="G671" s="11" t="s">
        <v>27</v>
      </c>
      <c r="H671" s="11"/>
      <c r="I671" s="26"/>
      <c r="J671" s="12"/>
      <c r="K671" s="10"/>
      <c r="L671" s="11"/>
      <c r="M671" s="11"/>
      <c r="N671" s="10"/>
      <c r="O671" s="10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0">
        <v>44504.0</v>
      </c>
      <c r="B672" s="11"/>
      <c r="C672" s="11" t="s">
        <v>548</v>
      </c>
      <c r="D672" s="11" t="s">
        <v>919</v>
      </c>
      <c r="E672" s="11">
        <v>11.0</v>
      </c>
      <c r="F672" s="12"/>
      <c r="G672" s="11" t="s">
        <v>241</v>
      </c>
      <c r="H672" s="11"/>
      <c r="I672" s="26"/>
      <c r="J672" s="12"/>
      <c r="K672" s="10"/>
      <c r="L672" s="11"/>
      <c r="M672" s="11"/>
      <c r="N672" s="10"/>
      <c r="O672" s="10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">
        <v>44504.0</v>
      </c>
      <c r="B673" s="16">
        <v>1527.0</v>
      </c>
      <c r="C673" s="11" t="s">
        <v>548</v>
      </c>
      <c r="D673" s="11" t="s">
        <v>920</v>
      </c>
      <c r="E673" s="11">
        <v>6.0</v>
      </c>
      <c r="F673" s="12">
        <v>8483.29</v>
      </c>
      <c r="G673" s="11" t="s">
        <v>27</v>
      </c>
      <c r="H673" s="11"/>
      <c r="I673" s="26"/>
      <c r="J673" s="12"/>
      <c r="K673" s="10"/>
      <c r="L673" s="11"/>
      <c r="M673" s="11"/>
      <c r="N673" s="10"/>
      <c r="O673" s="10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0">
        <v>44504.0</v>
      </c>
      <c r="B674" s="11"/>
      <c r="C674" s="11" t="s">
        <v>548</v>
      </c>
      <c r="D674" s="11" t="s">
        <v>921</v>
      </c>
      <c r="E674" s="11">
        <v>1.0</v>
      </c>
      <c r="F674" s="12"/>
      <c r="G674" s="11" t="s">
        <v>241</v>
      </c>
      <c r="H674" s="11"/>
      <c r="I674" s="26"/>
      <c r="J674" s="12"/>
      <c r="K674" s="10"/>
      <c r="L674" s="11"/>
      <c r="M674" s="11"/>
      <c r="N674" s="10"/>
      <c r="O674" s="10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0">
        <v>44504.0</v>
      </c>
      <c r="B675" s="13">
        <v>1527.0</v>
      </c>
      <c r="C675" s="11" t="s">
        <v>548</v>
      </c>
      <c r="D675" s="11" t="s">
        <v>922</v>
      </c>
      <c r="E675" s="11">
        <v>2.0</v>
      </c>
      <c r="F675" s="12" t="s">
        <v>923</v>
      </c>
      <c r="G675" s="11" t="s">
        <v>27</v>
      </c>
      <c r="H675" s="11"/>
      <c r="I675" s="11" t="s">
        <v>924</v>
      </c>
      <c r="J675" s="12"/>
      <c r="K675" s="10"/>
      <c r="L675" s="11"/>
      <c r="M675" s="11"/>
      <c r="N675" s="10"/>
      <c r="O675" s="10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0">
        <v>44504.0</v>
      </c>
      <c r="B676" s="15">
        <v>1527.0</v>
      </c>
      <c r="C676" s="11" t="s">
        <v>548</v>
      </c>
      <c r="D676" s="11" t="s">
        <v>925</v>
      </c>
      <c r="E676" s="11">
        <v>34.0</v>
      </c>
      <c r="F676" s="12" t="s">
        <v>926</v>
      </c>
      <c r="G676" s="11" t="s">
        <v>27</v>
      </c>
      <c r="H676" s="11"/>
      <c r="I676" s="26"/>
      <c r="J676" s="12"/>
      <c r="K676" s="10"/>
      <c r="L676" s="11"/>
      <c r="M676" s="11"/>
      <c r="N676" s="10"/>
      <c r="O676" s="10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0">
        <v>44504.0</v>
      </c>
      <c r="B677" s="15">
        <v>1527.0</v>
      </c>
      <c r="C677" s="11" t="s">
        <v>548</v>
      </c>
      <c r="D677" s="11" t="s">
        <v>927</v>
      </c>
      <c r="E677" s="11">
        <v>1.0</v>
      </c>
      <c r="F677" s="12" t="s">
        <v>928</v>
      </c>
      <c r="G677" s="11" t="s">
        <v>27</v>
      </c>
      <c r="H677" s="11"/>
      <c r="I677" s="26"/>
      <c r="J677" s="12"/>
      <c r="K677" s="10"/>
      <c r="L677" s="11"/>
      <c r="M677" s="11"/>
      <c r="N677" s="10"/>
      <c r="O677" s="10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0">
        <v>44504.0</v>
      </c>
      <c r="B678" s="15">
        <v>1527.0</v>
      </c>
      <c r="C678" s="11" t="s">
        <v>548</v>
      </c>
      <c r="D678" s="27" t="s">
        <v>929</v>
      </c>
      <c r="E678" s="11">
        <v>1.0</v>
      </c>
      <c r="F678" s="12" t="s">
        <v>930</v>
      </c>
      <c r="G678" s="11" t="s">
        <v>27</v>
      </c>
      <c r="H678" s="11"/>
      <c r="I678" s="26"/>
      <c r="J678" s="12"/>
      <c r="K678" s="10"/>
      <c r="L678" s="11"/>
      <c r="M678" s="11"/>
      <c r="N678" s="10"/>
      <c r="O678" s="10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0">
        <v>44504.0</v>
      </c>
      <c r="B679" s="13">
        <v>1524.0</v>
      </c>
      <c r="C679" s="11" t="s">
        <v>39</v>
      </c>
      <c r="D679" s="27" t="s">
        <v>931</v>
      </c>
      <c r="E679" s="11">
        <v>2.0</v>
      </c>
      <c r="F679" s="12">
        <v>1335.05</v>
      </c>
      <c r="G679" s="14" t="s">
        <v>21</v>
      </c>
      <c r="H679" s="11" t="s">
        <v>786</v>
      </c>
      <c r="I679" s="11" t="s">
        <v>932</v>
      </c>
      <c r="J679" s="12">
        <v>890.04</v>
      </c>
      <c r="K679" s="10">
        <v>44566.0</v>
      </c>
      <c r="L679" s="11">
        <v>1653.0</v>
      </c>
      <c r="M679" s="11">
        <v>4.501456502E9</v>
      </c>
      <c r="N679" s="10">
        <v>44565.0</v>
      </c>
      <c r="O679" s="10">
        <v>44602.0</v>
      </c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">
        <v>44869.0</v>
      </c>
      <c r="B680" s="15">
        <v>1524.0</v>
      </c>
      <c r="C680" s="11" t="s">
        <v>39</v>
      </c>
      <c r="D680" s="27" t="s">
        <v>931</v>
      </c>
      <c r="E680" s="11">
        <v>1.0</v>
      </c>
      <c r="F680" s="12">
        <v>445.02</v>
      </c>
      <c r="G680" s="14" t="s">
        <v>21</v>
      </c>
      <c r="H680" s="11"/>
      <c r="I680" s="11"/>
      <c r="J680" s="12">
        <v>445.02</v>
      </c>
      <c r="K680" s="10">
        <v>44658.0</v>
      </c>
      <c r="L680" s="11">
        <v>1763.0</v>
      </c>
      <c r="M680" s="11">
        <v>4.501456502E9</v>
      </c>
      <c r="N680" s="10"/>
      <c r="O680" s="10">
        <v>44691.0</v>
      </c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0">
        <v>44504.0</v>
      </c>
      <c r="B681" s="15">
        <v>1524.0</v>
      </c>
      <c r="C681" s="11" t="s">
        <v>39</v>
      </c>
      <c r="D681" s="27" t="s">
        <v>933</v>
      </c>
      <c r="E681" s="11">
        <v>1.0</v>
      </c>
      <c r="F681" s="12">
        <v>1007.56</v>
      </c>
      <c r="G681" s="14" t="s">
        <v>21</v>
      </c>
      <c r="H681" s="11" t="s">
        <v>786</v>
      </c>
      <c r="I681" s="26"/>
      <c r="J681" s="12">
        <v>1007.56</v>
      </c>
      <c r="K681" s="10">
        <v>44658.0</v>
      </c>
      <c r="L681" s="11">
        <v>1763.0</v>
      </c>
      <c r="M681" s="11">
        <v>4.501456502E9</v>
      </c>
      <c r="N681" s="10"/>
      <c r="O681" s="10">
        <v>44691.0</v>
      </c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0">
        <v>44504.0</v>
      </c>
      <c r="B682" s="15">
        <v>1524.0</v>
      </c>
      <c r="C682" s="11" t="s">
        <v>39</v>
      </c>
      <c r="D682" s="11" t="s">
        <v>934</v>
      </c>
      <c r="E682" s="11">
        <v>1.0</v>
      </c>
      <c r="F682" s="12">
        <v>351.66</v>
      </c>
      <c r="G682" s="14" t="s">
        <v>21</v>
      </c>
      <c r="H682" s="11" t="s">
        <v>786</v>
      </c>
      <c r="I682" s="26"/>
      <c r="J682" s="12">
        <v>351.66</v>
      </c>
      <c r="K682" s="10">
        <v>44566.0</v>
      </c>
      <c r="L682" s="11">
        <v>1653.0</v>
      </c>
      <c r="M682" s="11">
        <v>4.501456502E9</v>
      </c>
      <c r="N682" s="10">
        <v>44565.0</v>
      </c>
      <c r="O682" s="10">
        <v>44602.0</v>
      </c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0">
        <v>44504.0</v>
      </c>
      <c r="B683" s="17">
        <v>1524.0</v>
      </c>
      <c r="C683" s="11" t="s">
        <v>39</v>
      </c>
      <c r="D683" s="27" t="s">
        <v>935</v>
      </c>
      <c r="E683" s="11">
        <v>1.0</v>
      </c>
      <c r="F683" s="12">
        <v>1470.06</v>
      </c>
      <c r="G683" s="14" t="s">
        <v>21</v>
      </c>
      <c r="H683" s="11" t="s">
        <v>786</v>
      </c>
      <c r="I683" s="11" t="s">
        <v>936</v>
      </c>
      <c r="J683" s="12">
        <v>1470.06</v>
      </c>
      <c r="K683" s="10">
        <v>44643.0</v>
      </c>
      <c r="L683" s="11">
        <v>1722.0</v>
      </c>
      <c r="M683" s="11">
        <v>4.501456502E9</v>
      </c>
      <c r="N683" s="10"/>
      <c r="O683" s="10">
        <v>44682.0</v>
      </c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0">
        <v>44504.0</v>
      </c>
      <c r="B684" s="11"/>
      <c r="C684" s="11" t="s">
        <v>39</v>
      </c>
      <c r="D684" s="27" t="s">
        <v>937</v>
      </c>
      <c r="E684" s="11">
        <v>1.0</v>
      </c>
      <c r="F684" s="12"/>
      <c r="G684" s="11" t="s">
        <v>938</v>
      </c>
      <c r="H684" s="11" t="s">
        <v>786</v>
      </c>
      <c r="I684" s="26"/>
      <c r="J684" s="12"/>
      <c r="K684" s="10"/>
      <c r="L684" s="11"/>
      <c r="M684" s="11"/>
      <c r="N684" s="10"/>
      <c r="O684" s="10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0">
        <v>44504.0</v>
      </c>
      <c r="B685" s="13">
        <v>1522.0</v>
      </c>
      <c r="C685" s="11" t="s">
        <v>39</v>
      </c>
      <c r="D685" s="11" t="s">
        <v>416</v>
      </c>
      <c r="E685" s="11">
        <v>4.0</v>
      </c>
      <c r="F685" s="12">
        <v>6962.59</v>
      </c>
      <c r="G685" s="14" t="s">
        <v>21</v>
      </c>
      <c r="H685" s="11" t="s">
        <v>625</v>
      </c>
      <c r="I685" s="26"/>
      <c r="J685" s="12">
        <v>6962.59</v>
      </c>
      <c r="K685" s="10">
        <v>44518.0</v>
      </c>
      <c r="L685" s="11">
        <v>1620.0</v>
      </c>
      <c r="M685" s="11"/>
      <c r="N685" s="10"/>
      <c r="O685" s="10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0">
        <v>44504.0</v>
      </c>
      <c r="B686" s="15">
        <v>1525.0</v>
      </c>
      <c r="C686" s="11" t="s">
        <v>75</v>
      </c>
      <c r="D686" s="11" t="s">
        <v>939</v>
      </c>
      <c r="E686" s="11">
        <v>10.0</v>
      </c>
      <c r="F686" s="12">
        <v>1139.5</v>
      </c>
      <c r="G686" s="14" t="s">
        <v>21</v>
      </c>
      <c r="H686" s="11" t="s">
        <v>940</v>
      </c>
      <c r="I686" s="11" t="s">
        <v>941</v>
      </c>
      <c r="J686" s="12">
        <v>1139.5</v>
      </c>
      <c r="K686" s="10">
        <v>44662.0</v>
      </c>
      <c r="L686" s="11">
        <v>1766.0</v>
      </c>
      <c r="M686" s="11">
        <v>4.500388405E9</v>
      </c>
      <c r="N686" s="10"/>
      <c r="O686" s="10">
        <v>44692.0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0">
        <v>44505.0</v>
      </c>
      <c r="B687" s="15" t="s">
        <v>942</v>
      </c>
      <c r="C687" s="11" t="s">
        <v>44</v>
      </c>
      <c r="D687" s="11" t="s">
        <v>943</v>
      </c>
      <c r="E687" s="11">
        <v>1.0</v>
      </c>
      <c r="F687" s="12">
        <v>1525.36</v>
      </c>
      <c r="G687" s="14" t="s">
        <v>21</v>
      </c>
      <c r="H687" s="11" t="s">
        <v>625</v>
      </c>
      <c r="I687" s="26"/>
      <c r="J687" s="12">
        <v>1525.36</v>
      </c>
      <c r="K687" s="10">
        <v>44656.0</v>
      </c>
      <c r="L687" s="11">
        <v>1746.0</v>
      </c>
      <c r="M687" s="11">
        <v>4.501455222E9</v>
      </c>
      <c r="N687" s="10"/>
      <c r="O687" s="10">
        <v>44691.0</v>
      </c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0">
        <v>44505.0</v>
      </c>
      <c r="B688" s="17">
        <v>1529.0</v>
      </c>
      <c r="C688" s="11" t="s">
        <v>44</v>
      </c>
      <c r="D688" s="11" t="s">
        <v>944</v>
      </c>
      <c r="E688" s="11">
        <v>1.0</v>
      </c>
      <c r="F688" s="12">
        <v>3117.38</v>
      </c>
      <c r="G688" s="11" t="s">
        <v>27</v>
      </c>
      <c r="H688" s="11" t="s">
        <v>625</v>
      </c>
      <c r="I688" s="26"/>
      <c r="J688" s="12"/>
      <c r="K688" s="10"/>
      <c r="L688" s="11"/>
      <c r="M688" s="11"/>
      <c r="N688" s="10"/>
      <c r="O688" s="10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">
        <v>44505.0</v>
      </c>
      <c r="B689" s="11"/>
      <c r="C689" s="11" t="s">
        <v>44</v>
      </c>
      <c r="D689" s="11" t="s">
        <v>945</v>
      </c>
      <c r="E689" s="11">
        <v>1.0</v>
      </c>
      <c r="F689" s="12"/>
      <c r="G689" s="11" t="s">
        <v>241</v>
      </c>
      <c r="H689" s="11" t="s">
        <v>625</v>
      </c>
      <c r="I689" s="26"/>
      <c r="J689" s="12"/>
      <c r="K689" s="10"/>
      <c r="L689" s="11"/>
      <c r="M689" s="11"/>
      <c r="N689" s="10"/>
      <c r="O689" s="10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0">
        <v>44508.0</v>
      </c>
      <c r="B690" s="13">
        <v>1530.0</v>
      </c>
      <c r="C690" s="11" t="s">
        <v>707</v>
      </c>
      <c r="D690" s="27" t="s">
        <v>946</v>
      </c>
      <c r="E690" s="11">
        <v>1.0</v>
      </c>
      <c r="F690" s="12">
        <v>1790.43</v>
      </c>
      <c r="G690" s="11" t="s">
        <v>27</v>
      </c>
      <c r="H690" s="11" t="s">
        <v>560</v>
      </c>
      <c r="I690" s="32" t="s">
        <v>947</v>
      </c>
      <c r="J690" s="12"/>
      <c r="K690" s="10"/>
      <c r="L690" s="11"/>
      <c r="M690" s="11"/>
      <c r="N690" s="10"/>
      <c r="O690" s="10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0">
        <v>44508.0</v>
      </c>
      <c r="B691" s="15">
        <v>1530.0</v>
      </c>
      <c r="C691" s="11" t="s">
        <v>707</v>
      </c>
      <c r="D691" s="27" t="s">
        <v>948</v>
      </c>
      <c r="E691" s="11">
        <v>1.0</v>
      </c>
      <c r="F691" s="12" t="s">
        <v>949</v>
      </c>
      <c r="G691" s="11" t="s">
        <v>27</v>
      </c>
      <c r="H691" s="11" t="s">
        <v>560</v>
      </c>
      <c r="I691" s="32" t="s">
        <v>950</v>
      </c>
      <c r="J691" s="12"/>
      <c r="K691" s="10"/>
      <c r="L691" s="11"/>
      <c r="M691" s="11"/>
      <c r="N691" s="10"/>
      <c r="O691" s="10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">
        <v>44508.0</v>
      </c>
      <c r="B692" s="15">
        <v>1530.0</v>
      </c>
      <c r="C692" s="11" t="s">
        <v>707</v>
      </c>
      <c r="D692" s="27" t="s">
        <v>951</v>
      </c>
      <c r="E692" s="11">
        <v>1.0</v>
      </c>
      <c r="F692" s="12" t="s">
        <v>952</v>
      </c>
      <c r="G692" s="11" t="s">
        <v>27</v>
      </c>
      <c r="H692" s="11" t="s">
        <v>560</v>
      </c>
      <c r="I692" s="26"/>
      <c r="J692" s="12"/>
      <c r="K692" s="10"/>
      <c r="L692" s="11"/>
      <c r="M692" s="11"/>
      <c r="N692" s="10"/>
      <c r="O692" s="10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0">
        <v>44508.0</v>
      </c>
      <c r="B693" s="15">
        <v>1530.0</v>
      </c>
      <c r="C693" s="11" t="s">
        <v>707</v>
      </c>
      <c r="D693" s="27" t="s">
        <v>953</v>
      </c>
      <c r="E693" s="11">
        <v>1.0</v>
      </c>
      <c r="F693" s="12" t="s">
        <v>954</v>
      </c>
      <c r="G693" s="11" t="s">
        <v>27</v>
      </c>
      <c r="H693" s="11" t="s">
        <v>560</v>
      </c>
      <c r="I693" s="26"/>
      <c r="J693" s="12"/>
      <c r="K693" s="10"/>
      <c r="L693" s="11"/>
      <c r="M693" s="11"/>
      <c r="N693" s="10"/>
      <c r="O693" s="10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0">
        <v>44508.0</v>
      </c>
      <c r="B694" s="13">
        <v>1528.0</v>
      </c>
      <c r="C694" s="11" t="s">
        <v>77</v>
      </c>
      <c r="D694" s="27" t="s">
        <v>931</v>
      </c>
      <c r="E694" s="11">
        <v>3.0</v>
      </c>
      <c r="F694" s="12">
        <v>1335.05</v>
      </c>
      <c r="G694" s="11" t="s">
        <v>27</v>
      </c>
      <c r="H694" s="11" t="s">
        <v>955</v>
      </c>
      <c r="I694" s="26"/>
      <c r="J694" s="12"/>
      <c r="K694" s="10"/>
      <c r="L694" s="11"/>
      <c r="M694" s="11"/>
      <c r="N694" s="10"/>
      <c r="O694" s="10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">
        <v>44508.0</v>
      </c>
      <c r="B695" s="15">
        <v>1528.0</v>
      </c>
      <c r="C695" s="11" t="s">
        <v>77</v>
      </c>
      <c r="D695" s="27" t="s">
        <v>933</v>
      </c>
      <c r="E695" s="11">
        <v>2.0</v>
      </c>
      <c r="F695" s="12">
        <v>1007.56</v>
      </c>
      <c r="G695" s="11" t="s">
        <v>27</v>
      </c>
      <c r="H695" s="11" t="s">
        <v>955</v>
      </c>
      <c r="I695" s="26"/>
      <c r="J695" s="12"/>
      <c r="K695" s="10"/>
      <c r="L695" s="11"/>
      <c r="M695" s="11"/>
      <c r="N695" s="10"/>
      <c r="O695" s="10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0">
        <v>44508.0</v>
      </c>
      <c r="B696" s="15">
        <v>1528.0</v>
      </c>
      <c r="C696" s="11" t="s">
        <v>77</v>
      </c>
      <c r="D696" s="11" t="s">
        <v>934</v>
      </c>
      <c r="E696" s="11">
        <v>1.0</v>
      </c>
      <c r="F696" s="12">
        <v>351.66</v>
      </c>
      <c r="G696" s="11" t="s">
        <v>27</v>
      </c>
      <c r="H696" s="11" t="s">
        <v>955</v>
      </c>
      <c r="I696" s="26"/>
      <c r="J696" s="12"/>
      <c r="K696" s="10"/>
      <c r="L696" s="11"/>
      <c r="M696" s="11"/>
      <c r="N696" s="10"/>
      <c r="O696" s="10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0">
        <v>44508.0</v>
      </c>
      <c r="B697" s="17">
        <v>1528.0</v>
      </c>
      <c r="C697" s="11" t="s">
        <v>77</v>
      </c>
      <c r="D697" s="27" t="s">
        <v>935</v>
      </c>
      <c r="E697" s="11">
        <v>1.0</v>
      </c>
      <c r="F697" s="12">
        <v>1470.06</v>
      </c>
      <c r="G697" s="11" t="s">
        <v>27</v>
      </c>
      <c r="H697" s="11" t="s">
        <v>955</v>
      </c>
      <c r="I697" s="26"/>
      <c r="J697" s="12"/>
      <c r="K697" s="10"/>
      <c r="L697" s="11"/>
      <c r="M697" s="11"/>
      <c r="N697" s="10"/>
      <c r="O697" s="10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0">
        <v>44508.0</v>
      </c>
      <c r="B698" s="11"/>
      <c r="C698" s="11" t="s">
        <v>77</v>
      </c>
      <c r="D698" s="27" t="s">
        <v>937</v>
      </c>
      <c r="E698" s="11">
        <v>1.0</v>
      </c>
      <c r="F698" s="12"/>
      <c r="G698" s="11" t="s">
        <v>938</v>
      </c>
      <c r="H698" s="11" t="s">
        <v>955</v>
      </c>
      <c r="I698" s="26"/>
      <c r="J698" s="12"/>
      <c r="K698" s="10"/>
      <c r="L698" s="11"/>
      <c r="M698" s="11"/>
      <c r="N698" s="10"/>
      <c r="O698" s="10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0">
        <v>44509.0</v>
      </c>
      <c r="B699" s="11"/>
      <c r="C699" s="11" t="s">
        <v>457</v>
      </c>
      <c r="D699" s="11" t="s">
        <v>956</v>
      </c>
      <c r="E699" s="11">
        <v>1.0</v>
      </c>
      <c r="F699" s="12"/>
      <c r="G699" s="11" t="s">
        <v>241</v>
      </c>
      <c r="H699" s="11" t="s">
        <v>957</v>
      </c>
      <c r="I699" s="26"/>
      <c r="J699" s="12"/>
      <c r="K699" s="10"/>
      <c r="L699" s="11"/>
      <c r="M699" s="11"/>
      <c r="N699" s="10"/>
      <c r="O699" s="10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0">
        <v>44509.0</v>
      </c>
      <c r="B700" s="11"/>
      <c r="C700" s="11" t="s">
        <v>457</v>
      </c>
      <c r="D700" s="11" t="s">
        <v>958</v>
      </c>
      <c r="E700" s="11">
        <v>2.0</v>
      </c>
      <c r="F700" s="12"/>
      <c r="G700" s="11" t="s">
        <v>241</v>
      </c>
      <c r="H700" s="11" t="s">
        <v>957</v>
      </c>
      <c r="I700" s="26"/>
      <c r="J700" s="12"/>
      <c r="K700" s="10"/>
      <c r="L700" s="11"/>
      <c r="M700" s="11"/>
      <c r="N700" s="10"/>
      <c r="O700" s="10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0">
        <v>44508.0</v>
      </c>
      <c r="B701" s="11"/>
      <c r="C701" s="38" t="s">
        <v>959</v>
      </c>
      <c r="D701" s="27" t="s">
        <v>960</v>
      </c>
      <c r="E701" s="11">
        <v>15.0</v>
      </c>
      <c r="F701" s="12"/>
      <c r="G701" s="11" t="s">
        <v>241</v>
      </c>
      <c r="H701" s="11" t="s">
        <v>961</v>
      </c>
      <c r="I701" s="26"/>
      <c r="J701" s="12"/>
      <c r="K701" s="10"/>
      <c r="L701" s="11"/>
      <c r="M701" s="11"/>
      <c r="N701" s="10"/>
      <c r="O701" s="10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0">
        <v>44510.0</v>
      </c>
      <c r="B702" s="16">
        <v>1536.0</v>
      </c>
      <c r="C702" s="11" t="s">
        <v>962</v>
      </c>
      <c r="D702" s="27" t="s">
        <v>963</v>
      </c>
      <c r="E702" s="11">
        <v>1.0</v>
      </c>
      <c r="F702" s="12">
        <v>5322.36</v>
      </c>
      <c r="G702" s="11" t="s">
        <v>27</v>
      </c>
      <c r="H702" s="11" t="s">
        <v>547</v>
      </c>
      <c r="I702" s="26"/>
      <c r="J702" s="12"/>
      <c r="K702" s="10"/>
      <c r="L702" s="11"/>
      <c r="M702" s="11"/>
      <c r="N702" s="10"/>
      <c r="O702" s="10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0">
        <v>44510.0</v>
      </c>
      <c r="B703" s="11"/>
      <c r="C703" s="11" t="s">
        <v>962</v>
      </c>
      <c r="D703" s="27" t="s">
        <v>964</v>
      </c>
      <c r="E703" s="11">
        <v>1.0</v>
      </c>
      <c r="F703" s="12"/>
      <c r="G703" s="11" t="s">
        <v>241</v>
      </c>
      <c r="H703" s="11" t="s">
        <v>547</v>
      </c>
      <c r="I703" s="26"/>
      <c r="J703" s="12"/>
      <c r="K703" s="10"/>
      <c r="L703" s="11"/>
      <c r="M703" s="11"/>
      <c r="N703" s="10"/>
      <c r="O703" s="10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">
        <v>44510.0</v>
      </c>
      <c r="B704" s="16">
        <v>1531.0</v>
      </c>
      <c r="C704" s="11" t="s">
        <v>965</v>
      </c>
      <c r="D704" s="11" t="s">
        <v>966</v>
      </c>
      <c r="E704" s="11">
        <v>1.0</v>
      </c>
      <c r="F704" s="12">
        <v>9725.71</v>
      </c>
      <c r="G704" s="11" t="s">
        <v>27</v>
      </c>
      <c r="H704" s="11" t="s">
        <v>967</v>
      </c>
      <c r="I704" s="26"/>
      <c r="J704" s="12"/>
      <c r="K704" s="10"/>
      <c r="L704" s="11"/>
      <c r="M704" s="11"/>
      <c r="N704" s="10"/>
      <c r="O704" s="10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0">
        <v>44510.0</v>
      </c>
      <c r="B705" s="11"/>
      <c r="C705" s="11" t="s">
        <v>968</v>
      </c>
      <c r="D705" s="11" t="s">
        <v>969</v>
      </c>
      <c r="E705" s="11"/>
      <c r="F705" s="12"/>
      <c r="G705" s="11" t="s">
        <v>241</v>
      </c>
      <c r="H705" s="11" t="s">
        <v>970</v>
      </c>
      <c r="I705" s="26"/>
      <c r="J705" s="12"/>
      <c r="K705" s="10"/>
      <c r="L705" s="11"/>
      <c r="M705" s="11"/>
      <c r="N705" s="10"/>
      <c r="O705" s="10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0">
        <v>44510.0</v>
      </c>
      <c r="B706" s="11"/>
      <c r="C706" s="11" t="s">
        <v>164</v>
      </c>
      <c r="D706" s="11" t="s">
        <v>971</v>
      </c>
      <c r="E706" s="11">
        <v>2.0</v>
      </c>
      <c r="F706" s="12"/>
      <c r="G706" s="11" t="s">
        <v>241</v>
      </c>
      <c r="H706" s="11" t="s">
        <v>684</v>
      </c>
      <c r="I706" s="26"/>
      <c r="J706" s="12"/>
      <c r="K706" s="10"/>
      <c r="L706" s="11"/>
      <c r="M706" s="11"/>
      <c r="N706" s="10"/>
      <c r="O706" s="10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0">
        <v>44510.0</v>
      </c>
      <c r="B707" s="13">
        <v>1535.0</v>
      </c>
      <c r="C707" s="11" t="s">
        <v>972</v>
      </c>
      <c r="D707" s="11" t="s">
        <v>973</v>
      </c>
      <c r="E707" s="11">
        <v>1.0</v>
      </c>
      <c r="F707" s="12">
        <v>720.08</v>
      </c>
      <c r="G707" s="11" t="s">
        <v>27</v>
      </c>
      <c r="H707" s="11" t="s">
        <v>857</v>
      </c>
      <c r="I707" s="26"/>
      <c r="J707" s="12"/>
      <c r="K707" s="10"/>
      <c r="L707" s="11"/>
      <c r="M707" s="11"/>
      <c r="N707" s="10"/>
      <c r="O707" s="10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0">
        <v>44511.0</v>
      </c>
      <c r="B708" s="16">
        <v>1537.0</v>
      </c>
      <c r="C708" s="11" t="s">
        <v>457</v>
      </c>
      <c r="D708" s="11" t="s">
        <v>974</v>
      </c>
      <c r="E708" s="11">
        <v>2.0</v>
      </c>
      <c r="F708" s="12">
        <v>2854.96</v>
      </c>
      <c r="G708" s="14" t="s">
        <v>21</v>
      </c>
      <c r="H708" s="11" t="s">
        <v>689</v>
      </c>
      <c r="I708" s="26"/>
      <c r="J708" s="12"/>
      <c r="K708" s="10">
        <v>44566.0</v>
      </c>
      <c r="L708" s="11">
        <v>1652.0</v>
      </c>
      <c r="M708" s="11">
        <v>4.400514539E9</v>
      </c>
      <c r="N708" s="10">
        <v>44562.0</v>
      </c>
      <c r="O708" s="10">
        <v>44608.0</v>
      </c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0">
        <v>44511.0</v>
      </c>
      <c r="B709" s="15">
        <v>1538.0</v>
      </c>
      <c r="C709" s="11" t="s">
        <v>972</v>
      </c>
      <c r="D709" s="11" t="s">
        <v>975</v>
      </c>
      <c r="E709" s="11">
        <v>1.0</v>
      </c>
      <c r="F709" s="12">
        <v>153.08</v>
      </c>
      <c r="G709" s="11" t="s">
        <v>27</v>
      </c>
      <c r="H709" s="11"/>
      <c r="I709" s="26"/>
      <c r="J709" s="12"/>
      <c r="K709" s="10"/>
      <c r="L709" s="11"/>
      <c r="M709" s="11"/>
      <c r="N709" s="10"/>
      <c r="O709" s="10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0">
        <v>44511.0</v>
      </c>
      <c r="B710" s="16">
        <v>1546.0</v>
      </c>
      <c r="C710" s="11" t="s">
        <v>976</v>
      </c>
      <c r="D710" s="27" t="s">
        <v>977</v>
      </c>
      <c r="E710" s="11">
        <v>2.0</v>
      </c>
      <c r="F710" s="12" t="s">
        <v>978</v>
      </c>
      <c r="G710" s="11" t="s">
        <v>27</v>
      </c>
      <c r="H710" s="11" t="s">
        <v>979</v>
      </c>
      <c r="I710" s="39" t="s">
        <v>980</v>
      </c>
      <c r="J710" s="12"/>
      <c r="K710" s="10"/>
      <c r="L710" s="11"/>
      <c r="M710" s="11"/>
      <c r="N710" s="10"/>
      <c r="O710" s="10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0">
        <v>44512.0</v>
      </c>
      <c r="B711" s="17">
        <v>1539.0</v>
      </c>
      <c r="C711" s="11" t="s">
        <v>44</v>
      </c>
      <c r="D711" s="11" t="s">
        <v>981</v>
      </c>
      <c r="E711" s="11">
        <v>2.0</v>
      </c>
      <c r="F711" s="12">
        <v>1906.51</v>
      </c>
      <c r="G711" s="14" t="s">
        <v>21</v>
      </c>
      <c r="H711" s="11" t="s">
        <v>982</v>
      </c>
      <c r="I711" s="32" t="s">
        <v>983</v>
      </c>
      <c r="J711" s="12">
        <v>1906.51</v>
      </c>
      <c r="K711" s="10">
        <v>44595.0</v>
      </c>
      <c r="L711" s="11">
        <v>1682.0</v>
      </c>
      <c r="M711" s="11">
        <v>4.501460942E9</v>
      </c>
      <c r="N711" s="10"/>
      <c r="O711" s="10">
        <v>44630.0</v>
      </c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0">
        <v>44512.0</v>
      </c>
      <c r="B712" s="11"/>
      <c r="C712" s="11" t="s">
        <v>984</v>
      </c>
      <c r="D712" s="11" t="s">
        <v>985</v>
      </c>
      <c r="E712" s="11">
        <v>3.0</v>
      </c>
      <c r="F712" s="12"/>
      <c r="G712" s="11" t="s">
        <v>241</v>
      </c>
      <c r="H712" s="11" t="s">
        <v>986</v>
      </c>
      <c r="I712" s="32" t="s">
        <v>987</v>
      </c>
      <c r="J712" s="12"/>
      <c r="K712" s="10"/>
      <c r="L712" s="11"/>
      <c r="M712" s="11"/>
      <c r="N712" s="10"/>
      <c r="O712" s="10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0">
        <v>44512.0</v>
      </c>
      <c r="B713" s="11"/>
      <c r="C713" s="11" t="s">
        <v>77</v>
      </c>
      <c r="D713" s="11" t="s">
        <v>988</v>
      </c>
      <c r="E713" s="11">
        <v>2.0</v>
      </c>
      <c r="F713" s="12"/>
      <c r="G713" s="11" t="s">
        <v>241</v>
      </c>
      <c r="H713" s="11" t="s">
        <v>955</v>
      </c>
      <c r="I713" s="26"/>
      <c r="J713" s="12"/>
      <c r="K713" s="10"/>
      <c r="L713" s="11"/>
      <c r="M713" s="11"/>
      <c r="N713" s="10"/>
      <c r="O713" s="10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">
        <v>44512.0</v>
      </c>
      <c r="B714" s="11"/>
      <c r="C714" s="11" t="s">
        <v>685</v>
      </c>
      <c r="D714" s="11" t="s">
        <v>989</v>
      </c>
      <c r="E714" s="11">
        <v>1.0</v>
      </c>
      <c r="F714" s="12"/>
      <c r="G714" s="11" t="s">
        <v>241</v>
      </c>
      <c r="H714" s="11" t="s">
        <v>990</v>
      </c>
      <c r="I714" s="32" t="s">
        <v>991</v>
      </c>
      <c r="J714" s="12"/>
      <c r="K714" s="10"/>
      <c r="L714" s="11"/>
      <c r="M714" s="11"/>
      <c r="N714" s="10"/>
      <c r="O714" s="10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0">
        <v>44516.0</v>
      </c>
      <c r="B715" s="11"/>
      <c r="C715" s="11" t="s">
        <v>44</v>
      </c>
      <c r="D715" s="11" t="s">
        <v>992</v>
      </c>
      <c r="E715" s="11">
        <v>100.0</v>
      </c>
      <c r="F715" s="12"/>
      <c r="G715" s="11" t="s">
        <v>241</v>
      </c>
      <c r="H715" s="11" t="s">
        <v>993</v>
      </c>
      <c r="I715" s="26"/>
      <c r="J715" s="12"/>
      <c r="K715" s="10"/>
      <c r="L715" s="11"/>
      <c r="M715" s="11"/>
      <c r="N715" s="10"/>
      <c r="O715" s="10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0">
        <v>44516.0</v>
      </c>
      <c r="B716" s="11"/>
      <c r="C716" s="11"/>
      <c r="D716" s="27" t="s">
        <v>994</v>
      </c>
      <c r="E716" s="11">
        <v>1.0</v>
      </c>
      <c r="F716" s="12"/>
      <c r="G716" s="11" t="s">
        <v>241</v>
      </c>
      <c r="H716" s="11" t="s">
        <v>995</v>
      </c>
      <c r="I716" s="32" t="s">
        <v>996</v>
      </c>
      <c r="J716" s="12"/>
      <c r="K716" s="10"/>
      <c r="L716" s="11"/>
      <c r="M716" s="11"/>
      <c r="N716" s="10"/>
      <c r="O716" s="10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">
        <v>44516.0</v>
      </c>
      <c r="B717" s="11"/>
      <c r="C717" s="11"/>
      <c r="D717" s="27" t="s">
        <v>997</v>
      </c>
      <c r="E717" s="11">
        <v>5.0</v>
      </c>
      <c r="F717" s="12"/>
      <c r="G717" s="11" t="s">
        <v>241</v>
      </c>
      <c r="H717" s="11" t="s">
        <v>998</v>
      </c>
      <c r="I717" s="32" t="s">
        <v>999</v>
      </c>
      <c r="J717" s="12"/>
      <c r="K717" s="10"/>
      <c r="L717" s="11"/>
      <c r="M717" s="11"/>
      <c r="N717" s="10"/>
      <c r="O717" s="10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0">
        <v>44517.0</v>
      </c>
      <c r="B718" s="13">
        <v>1548.0</v>
      </c>
      <c r="C718" s="11" t="s">
        <v>962</v>
      </c>
      <c r="D718" s="27" t="s">
        <v>1000</v>
      </c>
      <c r="E718" s="11">
        <v>1.0</v>
      </c>
      <c r="F718" s="12"/>
      <c r="G718" s="11" t="s">
        <v>27</v>
      </c>
      <c r="H718" s="11" t="s">
        <v>625</v>
      </c>
      <c r="I718" s="26"/>
      <c r="J718" s="12"/>
      <c r="K718" s="10"/>
      <c r="L718" s="11"/>
      <c r="M718" s="11"/>
      <c r="N718" s="10"/>
      <c r="O718" s="10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0">
        <v>44518.0</v>
      </c>
      <c r="B719" s="16">
        <v>1550.0</v>
      </c>
      <c r="C719" s="11" t="s">
        <v>44</v>
      </c>
      <c r="D719" s="11" t="s">
        <v>1001</v>
      </c>
      <c r="E719" s="11">
        <v>1.0</v>
      </c>
      <c r="F719" s="12">
        <v>1163.67</v>
      </c>
      <c r="G719" s="14" t="s">
        <v>21</v>
      </c>
      <c r="H719" s="11" t="s">
        <v>754</v>
      </c>
      <c r="I719" s="26"/>
      <c r="J719" s="12">
        <v>1163.67</v>
      </c>
      <c r="K719" s="10">
        <v>44538.0</v>
      </c>
      <c r="L719" s="11">
        <v>1642.0</v>
      </c>
      <c r="M719" s="11"/>
      <c r="N719" s="10"/>
      <c r="O719" s="10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0">
        <v>44519.0</v>
      </c>
      <c r="B720" s="15">
        <v>1551.0</v>
      </c>
      <c r="C720" s="11" t="s">
        <v>44</v>
      </c>
      <c r="D720" s="11" t="s">
        <v>1002</v>
      </c>
      <c r="E720" s="11">
        <v>1.0</v>
      </c>
      <c r="F720" s="12">
        <v>1751.71</v>
      </c>
      <c r="G720" s="14" t="s">
        <v>21</v>
      </c>
      <c r="H720" s="11" t="s">
        <v>754</v>
      </c>
      <c r="I720" s="26"/>
      <c r="J720" s="12">
        <v>1751.71</v>
      </c>
      <c r="K720" s="10">
        <v>44539.0</v>
      </c>
      <c r="L720" s="11">
        <v>1644.0</v>
      </c>
      <c r="M720" s="11">
        <v>4.501465848E9</v>
      </c>
      <c r="N720" s="10"/>
      <c r="O720" s="10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">
        <v>44519.0</v>
      </c>
      <c r="B721" s="15">
        <v>1551.0</v>
      </c>
      <c r="C721" s="11" t="s">
        <v>44</v>
      </c>
      <c r="D721" s="34" t="s">
        <v>135</v>
      </c>
      <c r="E721" s="11">
        <v>40.0</v>
      </c>
      <c r="F721" s="12">
        <v>2258.79</v>
      </c>
      <c r="G721" s="14" t="s">
        <v>21</v>
      </c>
      <c r="H721" s="11" t="s">
        <v>754</v>
      </c>
      <c r="I721" s="26"/>
      <c r="J721" s="12">
        <v>677.82</v>
      </c>
      <c r="K721" s="10">
        <v>44539.0</v>
      </c>
      <c r="L721" s="11">
        <v>1644.0</v>
      </c>
      <c r="M721" s="11">
        <v>4.501465848E9</v>
      </c>
      <c r="N721" s="10"/>
      <c r="O721" s="10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">
        <v>44519.0</v>
      </c>
      <c r="B722" s="15">
        <v>1551.0</v>
      </c>
      <c r="C722" s="11" t="s">
        <v>44</v>
      </c>
      <c r="D722" s="34" t="s">
        <v>135</v>
      </c>
      <c r="E722" s="11">
        <v>70.0</v>
      </c>
      <c r="F722" s="12"/>
      <c r="G722" s="14" t="s">
        <v>21</v>
      </c>
      <c r="H722" s="11"/>
      <c r="I722" s="26"/>
      <c r="J722" s="12">
        <v>203.66</v>
      </c>
      <c r="K722" s="10">
        <v>44655.0</v>
      </c>
      <c r="L722" s="11">
        <v>1748.0</v>
      </c>
      <c r="M722" s="11">
        <v>4.501465848E9</v>
      </c>
      <c r="N722" s="10"/>
      <c r="O722" s="10">
        <v>44691.0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">
        <v>44519.0</v>
      </c>
      <c r="B723" s="15">
        <v>1551.0</v>
      </c>
      <c r="C723" s="11" t="s">
        <v>44</v>
      </c>
      <c r="D723" s="11" t="s">
        <v>136</v>
      </c>
      <c r="E723" s="11">
        <v>43.0</v>
      </c>
      <c r="F723" s="12">
        <v>2124.35</v>
      </c>
      <c r="G723" s="14" t="s">
        <v>21</v>
      </c>
      <c r="H723" s="11" t="s">
        <v>754</v>
      </c>
      <c r="I723" s="26"/>
      <c r="J723" s="12">
        <v>1522.0</v>
      </c>
      <c r="K723" s="10">
        <v>44539.0</v>
      </c>
      <c r="L723" s="11">
        <v>1644.0</v>
      </c>
      <c r="M723" s="11">
        <v>4.501465848E9</v>
      </c>
      <c r="N723" s="10"/>
      <c r="O723" s="10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">
        <v>44519.0</v>
      </c>
      <c r="B724" s="15">
        <v>1551.0</v>
      </c>
      <c r="C724" s="11" t="s">
        <v>44</v>
      </c>
      <c r="D724" s="11" t="s">
        <v>136</v>
      </c>
      <c r="E724" s="11">
        <v>17.0</v>
      </c>
      <c r="F724" s="12"/>
      <c r="G724" s="14" t="s">
        <v>21</v>
      </c>
      <c r="H724" s="11"/>
      <c r="I724" s="26"/>
      <c r="J724" s="12">
        <v>77.52</v>
      </c>
      <c r="K724" s="10">
        <v>44655.0</v>
      </c>
      <c r="L724" s="11">
        <v>1748.0</v>
      </c>
      <c r="M724" s="11">
        <v>4.501465848E9</v>
      </c>
      <c r="N724" s="10"/>
      <c r="O724" s="10">
        <v>44691.0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">
        <v>44519.0</v>
      </c>
      <c r="B725" s="13" t="s">
        <v>1003</v>
      </c>
      <c r="C725" s="11" t="s">
        <v>1004</v>
      </c>
      <c r="D725" s="11" t="s">
        <v>197</v>
      </c>
      <c r="E725" s="11">
        <v>1.0</v>
      </c>
      <c r="F725" s="12">
        <v>890.37</v>
      </c>
      <c r="G725" s="14" t="s">
        <v>21</v>
      </c>
      <c r="H725" s="11" t="s">
        <v>1005</v>
      </c>
      <c r="I725" s="26" t="s">
        <v>1006</v>
      </c>
      <c r="J725" s="12">
        <v>890.37</v>
      </c>
      <c r="K725" s="10">
        <v>44523.0</v>
      </c>
      <c r="L725" s="11">
        <v>1626.0</v>
      </c>
      <c r="M725" s="11"/>
      <c r="N725" s="10"/>
      <c r="O725" s="10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">
        <v>44519.0</v>
      </c>
      <c r="B726" s="17" t="s">
        <v>1003</v>
      </c>
      <c r="C726" s="11" t="s">
        <v>1004</v>
      </c>
      <c r="D726" s="11" t="s">
        <v>168</v>
      </c>
      <c r="E726" s="11">
        <v>3.0</v>
      </c>
      <c r="F726" s="12">
        <v>2491.4</v>
      </c>
      <c r="G726" s="14" t="s">
        <v>21</v>
      </c>
      <c r="H726" s="11" t="s">
        <v>1005</v>
      </c>
      <c r="I726" s="26" t="s">
        <v>1006</v>
      </c>
      <c r="J726" s="12">
        <v>2491.4</v>
      </c>
      <c r="K726" s="10">
        <v>44523.0</v>
      </c>
      <c r="L726" s="11">
        <v>1626.0</v>
      </c>
      <c r="M726" s="11"/>
      <c r="N726" s="10"/>
      <c r="O726" s="10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">
        <v>44519.0</v>
      </c>
      <c r="B727" s="17">
        <v>1552.0</v>
      </c>
      <c r="C727" s="11" t="s">
        <v>1004</v>
      </c>
      <c r="D727" s="11" t="s">
        <v>257</v>
      </c>
      <c r="E727" s="11">
        <v>3.0</v>
      </c>
      <c r="F727" s="12">
        <v>4258.16</v>
      </c>
      <c r="G727" s="11" t="s">
        <v>27</v>
      </c>
      <c r="H727" s="11" t="s">
        <v>1005</v>
      </c>
      <c r="I727" s="26"/>
      <c r="J727" s="12"/>
      <c r="K727" s="10"/>
      <c r="L727" s="11"/>
      <c r="M727" s="11"/>
      <c r="N727" s="10"/>
      <c r="O727" s="10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">
        <v>44519.0</v>
      </c>
      <c r="B728" s="11"/>
      <c r="C728" s="11" t="s">
        <v>44</v>
      </c>
      <c r="D728" s="11" t="s">
        <v>992</v>
      </c>
      <c r="E728" s="11">
        <v>100.0</v>
      </c>
      <c r="F728" s="12"/>
      <c r="G728" s="11" t="s">
        <v>18</v>
      </c>
      <c r="H728" s="11" t="s">
        <v>993</v>
      </c>
      <c r="I728" s="26"/>
      <c r="J728" s="12"/>
      <c r="K728" s="10"/>
      <c r="L728" s="11"/>
      <c r="M728" s="11"/>
      <c r="N728" s="10"/>
      <c r="O728" s="10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0">
        <v>44519.0</v>
      </c>
      <c r="B729" s="11"/>
      <c r="C729" s="11" t="s">
        <v>39</v>
      </c>
      <c r="D729" s="11" t="s">
        <v>1007</v>
      </c>
      <c r="E729" s="11">
        <v>200.0</v>
      </c>
      <c r="F729" s="12"/>
      <c r="G729" s="11" t="s">
        <v>18</v>
      </c>
      <c r="H729" s="11" t="s">
        <v>993</v>
      </c>
      <c r="I729" s="26"/>
      <c r="J729" s="12"/>
      <c r="K729" s="10"/>
      <c r="L729" s="11"/>
      <c r="M729" s="11"/>
      <c r="N729" s="10"/>
      <c r="O729" s="10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">
        <v>44522.0</v>
      </c>
      <c r="B730" s="16">
        <v>1554.0</v>
      </c>
      <c r="C730" s="11" t="s">
        <v>1008</v>
      </c>
      <c r="D730" s="11" t="s">
        <v>1009</v>
      </c>
      <c r="E730" s="11">
        <v>1.0</v>
      </c>
      <c r="F730" s="12" t="s">
        <v>1010</v>
      </c>
      <c r="G730" s="11" t="s">
        <v>27</v>
      </c>
      <c r="H730" s="11"/>
      <c r="I730" s="26"/>
      <c r="J730" s="12"/>
      <c r="K730" s="10"/>
      <c r="L730" s="11"/>
      <c r="M730" s="11"/>
      <c r="N730" s="10"/>
      <c r="O730" s="10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">
        <v>44522.0</v>
      </c>
      <c r="B731" s="17">
        <v>1553.0</v>
      </c>
      <c r="C731" s="11" t="s">
        <v>1011</v>
      </c>
      <c r="D731" s="11">
        <v>52312.0</v>
      </c>
      <c r="E731" s="11">
        <v>1.0</v>
      </c>
      <c r="F731" s="12">
        <v>1383.38</v>
      </c>
      <c r="G731" s="11" t="s">
        <v>27</v>
      </c>
      <c r="H731" s="11"/>
      <c r="I731" s="26"/>
      <c r="J731" s="12"/>
      <c r="K731" s="10"/>
      <c r="L731" s="11"/>
      <c r="M731" s="11"/>
      <c r="N731" s="10"/>
      <c r="O731" s="10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">
        <v>44523.0</v>
      </c>
      <c r="B732" s="11"/>
      <c r="C732" s="11" t="s">
        <v>44</v>
      </c>
      <c r="D732" s="11" t="s">
        <v>1012</v>
      </c>
      <c r="E732" s="11">
        <v>2.0</v>
      </c>
      <c r="F732" s="12"/>
      <c r="G732" s="11" t="s">
        <v>18</v>
      </c>
      <c r="H732" s="11" t="s">
        <v>993</v>
      </c>
      <c r="I732" s="26"/>
      <c r="J732" s="12"/>
      <c r="K732" s="10"/>
      <c r="L732" s="11"/>
      <c r="M732" s="11"/>
      <c r="N732" s="10"/>
      <c r="O732" s="10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">
        <v>44523.0</v>
      </c>
      <c r="B733" s="11"/>
      <c r="C733" s="11" t="s">
        <v>44</v>
      </c>
      <c r="D733" s="11" t="s">
        <v>1012</v>
      </c>
      <c r="E733" s="11">
        <v>12.0</v>
      </c>
      <c r="F733" s="12"/>
      <c r="G733" s="11" t="s">
        <v>18</v>
      </c>
      <c r="H733" s="11" t="s">
        <v>993</v>
      </c>
      <c r="I733" s="26"/>
      <c r="J733" s="12"/>
      <c r="K733" s="10"/>
      <c r="L733" s="11"/>
      <c r="M733" s="11"/>
      <c r="N733" s="10"/>
      <c r="O733" s="10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">
        <v>44523.0</v>
      </c>
      <c r="B734" s="13">
        <v>1557.0</v>
      </c>
      <c r="C734" s="11" t="s">
        <v>77</v>
      </c>
      <c r="D734" s="11" t="s">
        <v>1013</v>
      </c>
      <c r="E734" s="11">
        <v>1.0</v>
      </c>
      <c r="F734" s="12">
        <v>1751.71</v>
      </c>
      <c r="G734" s="11" t="s">
        <v>27</v>
      </c>
      <c r="H734" s="11" t="s">
        <v>955</v>
      </c>
      <c r="I734" s="26"/>
      <c r="J734" s="12"/>
      <c r="K734" s="10"/>
      <c r="L734" s="11"/>
      <c r="M734" s="11"/>
      <c r="N734" s="10"/>
      <c r="O734" s="10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">
        <v>44523.0</v>
      </c>
      <c r="B735" s="15">
        <v>1557.0</v>
      </c>
      <c r="C735" s="11" t="s">
        <v>77</v>
      </c>
      <c r="D735" s="34" t="s">
        <v>135</v>
      </c>
      <c r="E735" s="11">
        <v>100.0</v>
      </c>
      <c r="F735" s="12">
        <v>2258.79</v>
      </c>
      <c r="G735" s="11" t="s">
        <v>27</v>
      </c>
      <c r="H735" s="11" t="s">
        <v>955</v>
      </c>
      <c r="I735" s="26"/>
      <c r="J735" s="12"/>
      <c r="K735" s="10"/>
      <c r="L735" s="11"/>
      <c r="M735" s="11"/>
      <c r="N735" s="10"/>
      <c r="O735" s="10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">
        <v>44523.0</v>
      </c>
      <c r="B736" s="17">
        <v>1557.0</v>
      </c>
      <c r="C736" s="11" t="s">
        <v>77</v>
      </c>
      <c r="D736" s="11" t="s">
        <v>136</v>
      </c>
      <c r="E736" s="11">
        <v>60.0</v>
      </c>
      <c r="F736" s="12">
        <v>2124.35</v>
      </c>
      <c r="G736" s="11" t="s">
        <v>27</v>
      </c>
      <c r="H736" s="11" t="s">
        <v>955</v>
      </c>
      <c r="I736" s="26"/>
      <c r="J736" s="12"/>
      <c r="K736" s="10"/>
      <c r="L736" s="11"/>
      <c r="M736" s="11"/>
      <c r="N736" s="10"/>
      <c r="O736" s="10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">
        <v>44524.0</v>
      </c>
      <c r="B737" s="11"/>
      <c r="C737" s="11" t="s">
        <v>1014</v>
      </c>
      <c r="D737" s="11" t="s">
        <v>1015</v>
      </c>
      <c r="E737" s="11"/>
      <c r="F737" s="12"/>
      <c r="G737" s="11" t="s">
        <v>18</v>
      </c>
      <c r="H737" s="11" t="s">
        <v>1016</v>
      </c>
      <c r="I737" s="26"/>
      <c r="J737" s="12"/>
      <c r="K737" s="10"/>
      <c r="L737" s="11"/>
      <c r="M737" s="11"/>
      <c r="N737" s="10"/>
      <c r="O737" s="10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">
        <v>44523.0</v>
      </c>
      <c r="B738" s="13">
        <v>1563.0</v>
      </c>
      <c r="C738" s="11" t="s">
        <v>44</v>
      </c>
      <c r="D738" s="11" t="s">
        <v>1017</v>
      </c>
      <c r="E738" s="11">
        <v>75.0</v>
      </c>
      <c r="F738" s="12">
        <v>186.0</v>
      </c>
      <c r="G738" s="14" t="s">
        <v>21</v>
      </c>
      <c r="H738" s="11" t="s">
        <v>737</v>
      </c>
      <c r="I738" s="26"/>
      <c r="J738" s="12">
        <v>185.94</v>
      </c>
      <c r="K738" s="10">
        <v>44538.0</v>
      </c>
      <c r="L738" s="11">
        <v>1640.0</v>
      </c>
      <c r="M738" s="11"/>
      <c r="N738" s="10"/>
      <c r="O738" s="10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0">
        <v>44524.0</v>
      </c>
      <c r="B739" s="16">
        <v>1561.0</v>
      </c>
      <c r="C739" s="11" t="s">
        <v>164</v>
      </c>
      <c r="D739" s="11" t="s">
        <v>1018</v>
      </c>
      <c r="E739" s="11">
        <v>1.0</v>
      </c>
      <c r="F739" s="12">
        <v>156.74</v>
      </c>
      <c r="G739" s="11" t="s">
        <v>27</v>
      </c>
      <c r="H739" s="11"/>
      <c r="I739" s="26"/>
      <c r="J739" s="12"/>
      <c r="K739" s="10"/>
      <c r="L739" s="11"/>
      <c r="M739" s="11"/>
      <c r="N739" s="10"/>
      <c r="O739" s="10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0">
        <v>44524.0</v>
      </c>
      <c r="B740" s="15">
        <v>1560.0</v>
      </c>
      <c r="C740" s="11" t="s">
        <v>164</v>
      </c>
      <c r="D740" s="11" t="s">
        <v>1019</v>
      </c>
      <c r="E740" s="11">
        <v>2.0</v>
      </c>
      <c r="F740" s="12">
        <v>404.71</v>
      </c>
      <c r="G740" s="11" t="s">
        <v>27</v>
      </c>
      <c r="H740" s="11"/>
      <c r="I740" s="26"/>
      <c r="J740" s="12"/>
      <c r="K740" s="10"/>
      <c r="L740" s="11"/>
      <c r="M740" s="11"/>
      <c r="N740" s="10"/>
      <c r="O740" s="10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0">
        <v>44524.0</v>
      </c>
      <c r="B741" s="15">
        <v>1560.0</v>
      </c>
      <c r="C741" s="11" t="s">
        <v>164</v>
      </c>
      <c r="D741" s="11" t="s">
        <v>1020</v>
      </c>
      <c r="E741" s="11">
        <v>2.0</v>
      </c>
      <c r="F741" s="12">
        <v>404.69</v>
      </c>
      <c r="G741" s="11" t="s">
        <v>27</v>
      </c>
      <c r="H741" s="11"/>
      <c r="I741" s="26"/>
      <c r="J741" s="12"/>
      <c r="K741" s="10"/>
      <c r="L741" s="11"/>
      <c r="M741" s="11"/>
      <c r="N741" s="10"/>
      <c r="O741" s="10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0">
        <v>44524.0</v>
      </c>
      <c r="B742" s="15">
        <v>1560.0</v>
      </c>
      <c r="C742" s="11" t="s">
        <v>164</v>
      </c>
      <c r="D742" s="11" t="s">
        <v>1021</v>
      </c>
      <c r="E742" s="11">
        <v>2.0</v>
      </c>
      <c r="F742" s="12">
        <v>437.07</v>
      </c>
      <c r="G742" s="11" t="s">
        <v>27</v>
      </c>
      <c r="H742" s="11"/>
      <c r="I742" s="26"/>
      <c r="J742" s="12"/>
      <c r="K742" s="10"/>
      <c r="L742" s="11"/>
      <c r="M742" s="11"/>
      <c r="N742" s="10"/>
      <c r="O742" s="10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0">
        <v>44524.0</v>
      </c>
      <c r="B743" s="13">
        <v>1558.0</v>
      </c>
      <c r="C743" s="11" t="s">
        <v>1022</v>
      </c>
      <c r="D743" s="11" t="s">
        <v>1023</v>
      </c>
      <c r="E743" s="11">
        <v>5.0</v>
      </c>
      <c r="F743" s="12">
        <v>2244.38</v>
      </c>
      <c r="G743" s="11" t="s">
        <v>27</v>
      </c>
      <c r="H743" s="11"/>
      <c r="I743" s="26"/>
      <c r="J743" s="12"/>
      <c r="K743" s="10"/>
      <c r="L743" s="11"/>
      <c r="M743" s="11"/>
      <c r="N743" s="10"/>
      <c r="O743" s="10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0">
        <v>44524.0</v>
      </c>
      <c r="B744" s="15">
        <v>1558.0</v>
      </c>
      <c r="C744" s="11" t="s">
        <v>1022</v>
      </c>
      <c r="D744" s="11" t="s">
        <v>1024</v>
      </c>
      <c r="E744" s="11">
        <v>4.0</v>
      </c>
      <c r="F744" s="12">
        <v>8441.18</v>
      </c>
      <c r="G744" s="11" t="s">
        <v>27</v>
      </c>
      <c r="H744" s="11"/>
      <c r="I744" s="26"/>
      <c r="J744" s="12"/>
      <c r="K744" s="10"/>
      <c r="L744" s="11"/>
      <c r="M744" s="11"/>
      <c r="N744" s="10"/>
      <c r="O744" s="10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0">
        <v>44524.0</v>
      </c>
      <c r="B745" s="17">
        <v>1558.0</v>
      </c>
      <c r="C745" s="11" t="s">
        <v>1022</v>
      </c>
      <c r="D745" s="11" t="s">
        <v>1025</v>
      </c>
      <c r="E745" s="11">
        <v>5.0</v>
      </c>
      <c r="F745" s="12" t="s">
        <v>1026</v>
      </c>
      <c r="G745" s="11" t="s">
        <v>27</v>
      </c>
      <c r="H745" s="11"/>
      <c r="I745" s="26"/>
      <c r="J745" s="12"/>
      <c r="K745" s="10"/>
      <c r="L745" s="11"/>
      <c r="M745" s="11"/>
      <c r="N745" s="10"/>
      <c r="O745" s="10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0">
        <v>44525.0</v>
      </c>
      <c r="B746" s="15">
        <v>1568.0</v>
      </c>
      <c r="C746" s="11" t="s">
        <v>44</v>
      </c>
      <c r="D746" s="11" t="s">
        <v>147</v>
      </c>
      <c r="E746" s="11">
        <v>100.0</v>
      </c>
      <c r="F746" s="12">
        <v>5325.67</v>
      </c>
      <c r="G746" s="11" t="s">
        <v>27</v>
      </c>
      <c r="H746" s="11" t="s">
        <v>1027</v>
      </c>
      <c r="I746" s="32" t="s">
        <v>1028</v>
      </c>
      <c r="J746" s="12"/>
      <c r="K746" s="10"/>
      <c r="L746" s="11"/>
      <c r="M746" s="11"/>
      <c r="N746" s="10"/>
      <c r="O746" s="10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0">
        <v>44525.0</v>
      </c>
      <c r="B747" s="15">
        <v>1568.0</v>
      </c>
      <c r="C747" s="11" t="s">
        <v>44</v>
      </c>
      <c r="D747" s="11" t="s">
        <v>1029</v>
      </c>
      <c r="E747" s="11">
        <v>100.0</v>
      </c>
      <c r="F747" s="12">
        <v>6064.09</v>
      </c>
      <c r="G747" s="11" t="s">
        <v>27</v>
      </c>
      <c r="H747" s="11" t="s">
        <v>1027</v>
      </c>
      <c r="I747" s="26"/>
      <c r="J747" s="12"/>
      <c r="K747" s="10"/>
      <c r="L747" s="11"/>
      <c r="M747" s="11"/>
      <c r="N747" s="10"/>
      <c r="O747" s="10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0">
        <v>44525.0</v>
      </c>
      <c r="B748" s="15">
        <v>1568.0</v>
      </c>
      <c r="C748" s="11" t="s">
        <v>44</v>
      </c>
      <c r="D748" s="11" t="s">
        <v>1030</v>
      </c>
      <c r="E748" s="11">
        <v>100.0</v>
      </c>
      <c r="F748" s="12">
        <v>2748.17</v>
      </c>
      <c r="G748" s="11" t="s">
        <v>27</v>
      </c>
      <c r="H748" s="11" t="s">
        <v>1027</v>
      </c>
      <c r="I748" s="26"/>
      <c r="J748" s="12"/>
      <c r="K748" s="10"/>
      <c r="L748" s="11"/>
      <c r="M748" s="11"/>
      <c r="N748" s="10"/>
      <c r="O748" s="10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0">
        <v>44525.0</v>
      </c>
      <c r="B749" s="13">
        <v>1569.0</v>
      </c>
      <c r="C749" s="11" t="s">
        <v>44</v>
      </c>
      <c r="D749" s="11" t="s">
        <v>147</v>
      </c>
      <c r="E749" s="11">
        <v>200.0</v>
      </c>
      <c r="F749" s="12" t="s">
        <v>1031</v>
      </c>
      <c r="G749" s="11" t="s">
        <v>27</v>
      </c>
      <c r="H749" s="11" t="s">
        <v>1027</v>
      </c>
      <c r="I749" s="32" t="s">
        <v>1028</v>
      </c>
      <c r="J749" s="12"/>
      <c r="K749" s="10"/>
      <c r="L749" s="11"/>
      <c r="M749" s="11"/>
      <c r="N749" s="10"/>
      <c r="O749" s="10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0">
        <v>44525.0</v>
      </c>
      <c r="B750" s="15">
        <v>1569.0</v>
      </c>
      <c r="C750" s="11" t="s">
        <v>44</v>
      </c>
      <c r="D750" s="11" t="s">
        <v>1029</v>
      </c>
      <c r="E750" s="11">
        <v>200.0</v>
      </c>
      <c r="F750" s="12" t="s">
        <v>1032</v>
      </c>
      <c r="G750" s="11" t="s">
        <v>27</v>
      </c>
      <c r="H750" s="11" t="s">
        <v>1027</v>
      </c>
      <c r="I750" s="26"/>
      <c r="J750" s="12"/>
      <c r="K750" s="10"/>
      <c r="L750" s="11"/>
      <c r="M750" s="11"/>
      <c r="N750" s="10"/>
      <c r="O750" s="10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0">
        <v>44525.0</v>
      </c>
      <c r="B751" s="17">
        <v>1569.0</v>
      </c>
      <c r="C751" s="11" t="s">
        <v>44</v>
      </c>
      <c r="D751" s="11" t="s">
        <v>1030</v>
      </c>
      <c r="E751" s="11">
        <v>400.0</v>
      </c>
      <c r="F751" s="12" t="s">
        <v>1033</v>
      </c>
      <c r="G751" s="11" t="s">
        <v>27</v>
      </c>
      <c r="H751" s="11" t="s">
        <v>1027</v>
      </c>
      <c r="I751" s="26"/>
      <c r="J751" s="12"/>
      <c r="K751" s="10"/>
      <c r="L751" s="11"/>
      <c r="M751" s="11"/>
      <c r="N751" s="10"/>
      <c r="O751" s="10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0">
        <v>44525.0</v>
      </c>
      <c r="B752" s="15">
        <v>1565.0</v>
      </c>
      <c r="C752" s="11" t="s">
        <v>1014</v>
      </c>
      <c r="D752" s="11" t="s">
        <v>1034</v>
      </c>
      <c r="E752" s="11">
        <v>1.0</v>
      </c>
      <c r="F752" s="12">
        <v>480.02</v>
      </c>
      <c r="G752" s="11" t="s">
        <v>27</v>
      </c>
      <c r="H752" s="11" t="s">
        <v>1035</v>
      </c>
      <c r="I752" s="26"/>
      <c r="J752" s="12"/>
      <c r="K752" s="10"/>
      <c r="L752" s="11"/>
      <c r="M752" s="11"/>
      <c r="N752" s="10"/>
      <c r="O752" s="10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0">
        <v>44526.0</v>
      </c>
      <c r="B753" s="16">
        <v>1581.0</v>
      </c>
      <c r="C753" s="11" t="s">
        <v>1036</v>
      </c>
      <c r="D753" s="11" t="s">
        <v>1037</v>
      </c>
      <c r="E753" s="11">
        <v>1.0</v>
      </c>
      <c r="F753" s="12">
        <v>566.79</v>
      </c>
      <c r="G753" s="11" t="s">
        <v>27</v>
      </c>
      <c r="H753" s="11" t="s">
        <v>653</v>
      </c>
      <c r="I753" s="26"/>
      <c r="J753" s="12"/>
      <c r="K753" s="10"/>
      <c r="L753" s="11"/>
      <c r="M753" s="11"/>
      <c r="N753" s="10"/>
      <c r="O753" s="10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0">
        <v>44526.0</v>
      </c>
      <c r="B754" s="17">
        <v>1566.0</v>
      </c>
      <c r="C754" s="11" t="s">
        <v>523</v>
      </c>
      <c r="D754" s="11" t="s">
        <v>1038</v>
      </c>
      <c r="E754" s="11">
        <v>1.0</v>
      </c>
      <c r="F754" s="12">
        <v>2888.21</v>
      </c>
      <c r="G754" s="11" t="s">
        <v>27</v>
      </c>
      <c r="H754" s="11" t="s">
        <v>1039</v>
      </c>
      <c r="I754" s="26"/>
      <c r="J754" s="12"/>
      <c r="K754" s="10"/>
      <c r="L754" s="11"/>
      <c r="M754" s="11"/>
      <c r="N754" s="10"/>
      <c r="O754" s="10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0">
        <v>44526.0</v>
      </c>
      <c r="B755" s="11"/>
      <c r="C755" s="11" t="s">
        <v>104</v>
      </c>
      <c r="D755" s="27" t="s">
        <v>1040</v>
      </c>
      <c r="E755" s="11">
        <v>1.0</v>
      </c>
      <c r="F755" s="12"/>
      <c r="G755" s="11" t="s">
        <v>18</v>
      </c>
      <c r="H755" s="11" t="s">
        <v>670</v>
      </c>
      <c r="I755" s="26"/>
      <c r="J755" s="12"/>
      <c r="K755" s="10"/>
      <c r="L755" s="11"/>
      <c r="M755" s="11"/>
      <c r="N755" s="10"/>
      <c r="O755" s="10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0">
        <v>44526.0</v>
      </c>
      <c r="B756" s="11"/>
      <c r="C756" s="11" t="s">
        <v>1041</v>
      </c>
      <c r="D756" s="11" t="s">
        <v>1042</v>
      </c>
      <c r="E756" s="11">
        <v>1.0</v>
      </c>
      <c r="F756" s="12"/>
      <c r="G756" s="11" t="s">
        <v>18</v>
      </c>
      <c r="H756" s="11" t="s">
        <v>1043</v>
      </c>
      <c r="I756" s="26"/>
      <c r="J756" s="12"/>
      <c r="K756" s="10"/>
      <c r="L756" s="11"/>
      <c r="M756" s="11"/>
      <c r="N756" s="10"/>
      <c r="O756" s="10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0">
        <v>44526.0</v>
      </c>
      <c r="B757" s="11"/>
      <c r="C757" s="11" t="s">
        <v>707</v>
      </c>
      <c r="D757" s="11" t="s">
        <v>1044</v>
      </c>
      <c r="E757" s="11">
        <v>2.0</v>
      </c>
      <c r="F757" s="12"/>
      <c r="G757" s="11" t="s">
        <v>18</v>
      </c>
      <c r="H757" s="11" t="s">
        <v>1045</v>
      </c>
      <c r="I757" s="26"/>
      <c r="J757" s="12"/>
      <c r="K757" s="10"/>
      <c r="L757" s="11"/>
      <c r="M757" s="11"/>
      <c r="N757" s="10"/>
      <c r="O757" s="10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0">
        <v>44526.0</v>
      </c>
      <c r="B758" s="13">
        <v>1571.0</v>
      </c>
      <c r="C758" s="11" t="s">
        <v>77</v>
      </c>
      <c r="D758" s="11" t="s">
        <v>147</v>
      </c>
      <c r="E758" s="11">
        <v>30.0</v>
      </c>
      <c r="F758" s="12">
        <v>1597.7</v>
      </c>
      <c r="G758" s="11" t="s">
        <v>27</v>
      </c>
      <c r="H758" s="11" t="s">
        <v>955</v>
      </c>
      <c r="I758" s="26"/>
      <c r="J758" s="12"/>
      <c r="K758" s="10"/>
      <c r="L758" s="11"/>
      <c r="M758" s="11"/>
      <c r="N758" s="10"/>
      <c r="O758" s="10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0">
        <v>44526.0</v>
      </c>
      <c r="B759" s="15">
        <v>1571.0</v>
      </c>
      <c r="C759" s="11" t="s">
        <v>77</v>
      </c>
      <c r="D759" s="11" t="s">
        <v>1029</v>
      </c>
      <c r="E759" s="11">
        <v>30.0</v>
      </c>
      <c r="F759" s="12">
        <v>1819.23</v>
      </c>
      <c r="G759" s="11" t="s">
        <v>27</v>
      </c>
      <c r="H759" s="11" t="s">
        <v>955</v>
      </c>
      <c r="I759" s="26"/>
      <c r="J759" s="12"/>
      <c r="K759" s="10"/>
      <c r="L759" s="11"/>
      <c r="M759" s="11"/>
      <c r="N759" s="10"/>
      <c r="O759" s="10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0">
        <v>44529.0</v>
      </c>
      <c r="B760" s="13">
        <v>1575.0</v>
      </c>
      <c r="C760" s="11" t="s">
        <v>75</v>
      </c>
      <c r="D760" s="11" t="s">
        <v>935</v>
      </c>
      <c r="E760" s="11">
        <v>1.0</v>
      </c>
      <c r="F760" s="12">
        <v>768.98</v>
      </c>
      <c r="G760" s="11" t="s">
        <v>27</v>
      </c>
      <c r="H760" s="11"/>
      <c r="I760" s="26"/>
      <c r="J760" s="12"/>
      <c r="K760" s="10"/>
      <c r="L760" s="11"/>
      <c r="M760" s="11"/>
      <c r="N760" s="10"/>
      <c r="O760" s="10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0">
        <v>44529.0</v>
      </c>
      <c r="B761" s="15">
        <v>1575.0</v>
      </c>
      <c r="C761" s="11" t="s">
        <v>75</v>
      </c>
      <c r="D761" s="11" t="s">
        <v>1046</v>
      </c>
      <c r="E761" s="11">
        <v>1.0</v>
      </c>
      <c r="F761" s="12">
        <v>44.86</v>
      </c>
      <c r="G761" s="11" t="s">
        <v>27</v>
      </c>
      <c r="H761" s="11"/>
      <c r="I761" s="26"/>
      <c r="J761" s="12"/>
      <c r="K761" s="10"/>
      <c r="L761" s="11"/>
      <c r="M761" s="11"/>
      <c r="N761" s="10"/>
      <c r="O761" s="10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0">
        <v>44529.0</v>
      </c>
      <c r="B762" s="15">
        <v>1575.0</v>
      </c>
      <c r="C762" s="11" t="s">
        <v>75</v>
      </c>
      <c r="D762" s="11" t="s">
        <v>1047</v>
      </c>
      <c r="E762" s="11">
        <v>1.0</v>
      </c>
      <c r="F762" s="12">
        <v>212.56</v>
      </c>
      <c r="G762" s="11" t="s">
        <v>27</v>
      </c>
      <c r="H762" s="11"/>
      <c r="I762" s="26"/>
      <c r="J762" s="12"/>
      <c r="K762" s="10"/>
      <c r="L762" s="11"/>
      <c r="M762" s="11"/>
      <c r="N762" s="10"/>
      <c r="O762" s="10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0">
        <v>44529.0</v>
      </c>
      <c r="B763" s="15">
        <v>1575.0</v>
      </c>
      <c r="C763" s="11" t="s">
        <v>75</v>
      </c>
      <c r="D763" s="11" t="s">
        <v>1048</v>
      </c>
      <c r="E763" s="11">
        <v>1.0</v>
      </c>
      <c r="F763" s="12">
        <v>1008.49</v>
      </c>
      <c r="G763" s="11" t="s">
        <v>27</v>
      </c>
      <c r="H763" s="11"/>
      <c r="I763" s="26"/>
      <c r="J763" s="12"/>
      <c r="K763" s="10"/>
      <c r="L763" s="11"/>
      <c r="M763" s="11"/>
      <c r="N763" s="10"/>
      <c r="O763" s="10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0">
        <v>44529.0</v>
      </c>
      <c r="B764" s="15">
        <v>1575.0</v>
      </c>
      <c r="C764" s="11" t="s">
        <v>75</v>
      </c>
      <c r="D764" s="11" t="s">
        <v>1049</v>
      </c>
      <c r="E764" s="11">
        <v>1.0</v>
      </c>
      <c r="F764" s="12">
        <v>1008.49</v>
      </c>
      <c r="G764" s="11" t="s">
        <v>27</v>
      </c>
      <c r="H764" s="11"/>
      <c r="I764" s="26"/>
      <c r="J764" s="12"/>
      <c r="K764" s="10"/>
      <c r="L764" s="11"/>
      <c r="M764" s="11"/>
      <c r="N764" s="10"/>
      <c r="O764" s="10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0">
        <v>44529.0</v>
      </c>
      <c r="B765" s="17">
        <v>1575.0</v>
      </c>
      <c r="C765" s="11" t="s">
        <v>75</v>
      </c>
      <c r="D765" s="11" t="s">
        <v>1050</v>
      </c>
      <c r="E765" s="11">
        <v>1.0</v>
      </c>
      <c r="F765" s="12">
        <v>212.56</v>
      </c>
      <c r="G765" s="11" t="s">
        <v>27</v>
      </c>
      <c r="H765" s="11"/>
      <c r="I765" s="26"/>
      <c r="J765" s="12"/>
      <c r="K765" s="10"/>
      <c r="L765" s="11"/>
      <c r="M765" s="11"/>
      <c r="N765" s="10"/>
      <c r="O765" s="10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0">
        <v>44530.0</v>
      </c>
      <c r="B766" s="15">
        <v>1583.0</v>
      </c>
      <c r="C766" s="11" t="s">
        <v>154</v>
      </c>
      <c r="D766" s="11" t="s">
        <v>24</v>
      </c>
      <c r="E766" s="11">
        <v>200.0</v>
      </c>
      <c r="F766" s="12">
        <v>6455.0</v>
      </c>
      <c r="G766" s="14" t="s">
        <v>21</v>
      </c>
      <c r="H766" s="11"/>
      <c r="I766" s="26"/>
      <c r="J766" s="12">
        <v>6455.0</v>
      </c>
      <c r="K766" s="10">
        <v>44537.0</v>
      </c>
      <c r="L766" s="11">
        <v>1639.0</v>
      </c>
      <c r="M766" s="11"/>
      <c r="N766" s="10"/>
      <c r="O766" s="10">
        <v>44635.0</v>
      </c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0">
        <v>44530.0</v>
      </c>
      <c r="B767" s="15">
        <v>1583.0</v>
      </c>
      <c r="C767" s="11" t="s">
        <v>154</v>
      </c>
      <c r="D767" s="11" t="s">
        <v>1051</v>
      </c>
      <c r="E767" s="11">
        <v>60.0</v>
      </c>
      <c r="F767" s="12">
        <v>738.0</v>
      </c>
      <c r="G767" s="14" t="s">
        <v>21</v>
      </c>
      <c r="H767" s="11"/>
      <c r="I767" s="26"/>
      <c r="J767" s="12">
        <v>738.0</v>
      </c>
      <c r="K767" s="10">
        <v>44537.0</v>
      </c>
      <c r="L767" s="11">
        <v>1639.0</v>
      </c>
      <c r="M767" s="11"/>
      <c r="N767" s="10"/>
      <c r="O767" s="10">
        <v>44635.0</v>
      </c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0">
        <v>44530.0</v>
      </c>
      <c r="B768" s="15">
        <v>1583.0</v>
      </c>
      <c r="C768" s="11" t="s">
        <v>154</v>
      </c>
      <c r="D768" s="11" t="s">
        <v>138</v>
      </c>
      <c r="E768" s="11">
        <v>134.0</v>
      </c>
      <c r="F768" s="12">
        <v>2619.7</v>
      </c>
      <c r="G768" s="14" t="s">
        <v>21</v>
      </c>
      <c r="H768" s="11"/>
      <c r="I768" s="26"/>
      <c r="J768" s="12">
        <v>2619.7</v>
      </c>
      <c r="K768" s="10">
        <v>44537.0</v>
      </c>
      <c r="L768" s="11">
        <v>1639.0</v>
      </c>
      <c r="M768" s="11"/>
      <c r="N768" s="10"/>
      <c r="O768" s="10">
        <v>44635.0</v>
      </c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0">
        <v>44530.0</v>
      </c>
      <c r="B769" s="13">
        <v>1578.0</v>
      </c>
      <c r="C769" s="11" t="s">
        <v>77</v>
      </c>
      <c r="D769" s="11" t="s">
        <v>1052</v>
      </c>
      <c r="E769" s="11">
        <v>1.0</v>
      </c>
      <c r="F769" s="12">
        <v>516.3</v>
      </c>
      <c r="G769" s="11" t="s">
        <v>27</v>
      </c>
      <c r="H769" s="11"/>
      <c r="I769" s="26"/>
      <c r="J769" s="12"/>
      <c r="K769" s="10"/>
      <c r="L769" s="11"/>
      <c r="M769" s="11"/>
      <c r="N769" s="10"/>
      <c r="O769" s="10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0">
        <v>44530.0</v>
      </c>
      <c r="B770" s="17">
        <v>1579.0</v>
      </c>
      <c r="C770" s="11" t="s">
        <v>44</v>
      </c>
      <c r="D770" s="11" t="s">
        <v>1053</v>
      </c>
      <c r="E770" s="11">
        <v>25.0</v>
      </c>
      <c r="F770" s="12">
        <v>1736.29</v>
      </c>
      <c r="G770" s="14" t="s">
        <v>21</v>
      </c>
      <c r="H770" s="11"/>
      <c r="I770" s="26"/>
      <c r="J770" s="12">
        <v>1894.32</v>
      </c>
      <c r="K770" s="10">
        <v>44550.0</v>
      </c>
      <c r="L770" s="11">
        <v>1649.0</v>
      </c>
      <c r="M770" s="11">
        <v>4.501472481E9</v>
      </c>
      <c r="N770" s="10">
        <v>44550.0</v>
      </c>
      <c r="O770" s="10">
        <v>44581.0</v>
      </c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0">
        <v>44530.0</v>
      </c>
      <c r="B771" s="17">
        <v>1582.0</v>
      </c>
      <c r="C771" s="11" t="s">
        <v>1054</v>
      </c>
      <c r="D771" s="11" t="s">
        <v>1055</v>
      </c>
      <c r="E771" s="11">
        <v>5.0</v>
      </c>
      <c r="F771" s="12">
        <v>4548.95</v>
      </c>
      <c r="G771" s="11" t="s">
        <v>27</v>
      </c>
      <c r="H771" s="11"/>
      <c r="I771" s="26"/>
      <c r="J771" s="12"/>
      <c r="K771" s="10"/>
      <c r="L771" s="11"/>
      <c r="M771" s="11"/>
      <c r="N771" s="10"/>
      <c r="O771" s="10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8"/>
      <c r="B772" s="19"/>
      <c r="C772" s="19"/>
      <c r="D772" s="19"/>
      <c r="E772" s="19"/>
      <c r="F772" s="20"/>
      <c r="G772" s="19"/>
      <c r="H772" s="19"/>
      <c r="I772" s="36"/>
      <c r="J772" s="20"/>
      <c r="K772" s="18"/>
      <c r="L772" s="19"/>
      <c r="M772" s="19"/>
      <c r="N772" s="18"/>
      <c r="O772" s="18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0">
        <v>44531.0</v>
      </c>
      <c r="B773" s="13">
        <v>1587.0</v>
      </c>
      <c r="C773" s="11" t="s">
        <v>77</v>
      </c>
      <c r="D773" s="11" t="s">
        <v>1056</v>
      </c>
      <c r="E773" s="11">
        <v>1.0</v>
      </c>
      <c r="F773" s="12">
        <v>846.69</v>
      </c>
      <c r="G773" s="11" t="s">
        <v>167</v>
      </c>
      <c r="H773" s="11" t="s">
        <v>1057</v>
      </c>
      <c r="I773" s="26"/>
      <c r="J773" s="12"/>
      <c r="K773" s="10"/>
      <c r="L773" s="11"/>
      <c r="M773" s="11"/>
      <c r="N773" s="10"/>
      <c r="O773" s="10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0">
        <v>44531.0</v>
      </c>
      <c r="B774" s="15">
        <v>1587.0</v>
      </c>
      <c r="C774" s="11" t="s">
        <v>77</v>
      </c>
      <c r="D774" s="11" t="s">
        <v>1058</v>
      </c>
      <c r="E774" s="11">
        <v>1.0</v>
      </c>
      <c r="F774" s="12">
        <v>1453.43</v>
      </c>
      <c r="G774" s="11" t="s">
        <v>167</v>
      </c>
      <c r="H774" s="11" t="s">
        <v>1057</v>
      </c>
      <c r="I774" s="26"/>
      <c r="J774" s="12"/>
      <c r="K774" s="10"/>
      <c r="L774" s="11"/>
      <c r="M774" s="11"/>
      <c r="N774" s="10"/>
      <c r="O774" s="10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0">
        <v>44545.0</v>
      </c>
      <c r="B775" s="16" t="s">
        <v>1059</v>
      </c>
      <c r="C775" s="11" t="s">
        <v>77</v>
      </c>
      <c r="D775" s="11" t="s">
        <v>1056</v>
      </c>
      <c r="E775" s="11">
        <v>1.0</v>
      </c>
      <c r="F775" s="12">
        <v>778.87</v>
      </c>
      <c r="G775" s="14" t="s">
        <v>180</v>
      </c>
      <c r="H775" s="11" t="s">
        <v>1057</v>
      </c>
      <c r="I775" s="26"/>
      <c r="J775" s="12">
        <v>778.87</v>
      </c>
      <c r="K775" s="10">
        <v>44545.0</v>
      </c>
      <c r="L775" s="11">
        <v>1647.0</v>
      </c>
      <c r="M775" s="11"/>
      <c r="N775" s="10"/>
      <c r="O775" s="10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0">
        <v>44531.0</v>
      </c>
      <c r="B776" s="15">
        <v>1585.0</v>
      </c>
      <c r="C776" s="11" t="s">
        <v>1060</v>
      </c>
      <c r="D776" s="11" t="s">
        <v>1061</v>
      </c>
      <c r="E776" s="11">
        <v>2.0</v>
      </c>
      <c r="F776" s="12" t="s">
        <v>1062</v>
      </c>
      <c r="G776" s="11" t="s">
        <v>27</v>
      </c>
      <c r="H776" s="11"/>
      <c r="I776" s="26"/>
      <c r="J776" s="12"/>
      <c r="K776" s="10"/>
      <c r="L776" s="11"/>
      <c r="M776" s="11"/>
      <c r="N776" s="10"/>
      <c r="O776" s="10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0">
        <v>44531.0</v>
      </c>
      <c r="B777" s="16">
        <v>1584.0</v>
      </c>
      <c r="C777" s="11" t="s">
        <v>1060</v>
      </c>
      <c r="D777" s="11" t="s">
        <v>1063</v>
      </c>
      <c r="E777" s="11">
        <v>2.0</v>
      </c>
      <c r="F777" s="12">
        <v>710.55</v>
      </c>
      <c r="G777" s="11" t="s">
        <v>27</v>
      </c>
      <c r="H777" s="11"/>
      <c r="I777" s="26"/>
      <c r="J777" s="12"/>
      <c r="K777" s="10"/>
      <c r="L777" s="11"/>
      <c r="M777" s="11"/>
      <c r="N777" s="10"/>
      <c r="O777" s="10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0">
        <v>44531.0</v>
      </c>
      <c r="B778" s="15">
        <v>1584.0</v>
      </c>
      <c r="C778" s="11" t="s">
        <v>1060</v>
      </c>
      <c r="D778" s="11" t="s">
        <v>54</v>
      </c>
      <c r="E778" s="11">
        <v>2.0</v>
      </c>
      <c r="F778" s="12">
        <v>2066.81</v>
      </c>
      <c r="G778" s="11" t="s">
        <v>27</v>
      </c>
      <c r="H778" s="11"/>
      <c r="I778" s="26"/>
      <c r="J778" s="12"/>
      <c r="K778" s="10"/>
      <c r="L778" s="11"/>
      <c r="M778" s="11"/>
      <c r="N778" s="10"/>
      <c r="O778" s="10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0">
        <v>44531.0</v>
      </c>
      <c r="B779" s="15">
        <v>1584.0</v>
      </c>
      <c r="C779" s="11" t="s">
        <v>1060</v>
      </c>
      <c r="D779" s="11" t="s">
        <v>1064</v>
      </c>
      <c r="E779" s="11">
        <v>2.0</v>
      </c>
      <c r="F779" s="12">
        <v>961.86</v>
      </c>
      <c r="G779" s="11" t="s">
        <v>27</v>
      </c>
      <c r="H779" s="11"/>
      <c r="I779" s="26"/>
      <c r="J779" s="12"/>
      <c r="K779" s="10"/>
      <c r="L779" s="11"/>
      <c r="M779" s="11"/>
      <c r="N779" s="10"/>
      <c r="O779" s="10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0">
        <v>44531.0</v>
      </c>
      <c r="B780" s="15">
        <v>1584.0</v>
      </c>
      <c r="C780" s="11" t="s">
        <v>1060</v>
      </c>
      <c r="D780" s="11" t="s">
        <v>1065</v>
      </c>
      <c r="E780" s="11">
        <v>2.0</v>
      </c>
      <c r="F780" s="12">
        <v>1939.6</v>
      </c>
      <c r="G780" s="11" t="s">
        <v>27</v>
      </c>
      <c r="H780" s="11"/>
      <c r="I780" s="26"/>
      <c r="J780" s="12"/>
      <c r="K780" s="10"/>
      <c r="L780" s="11"/>
      <c r="M780" s="11"/>
      <c r="N780" s="10"/>
      <c r="O780" s="10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0">
        <v>44531.0</v>
      </c>
      <c r="B781" s="15">
        <v>1584.0</v>
      </c>
      <c r="C781" s="11" t="s">
        <v>1060</v>
      </c>
      <c r="D781" s="11" t="s">
        <v>1066</v>
      </c>
      <c r="E781" s="11">
        <v>2.0</v>
      </c>
      <c r="F781" s="12">
        <v>1634.0</v>
      </c>
      <c r="G781" s="11" t="s">
        <v>27</v>
      </c>
      <c r="H781" s="11"/>
      <c r="I781" s="26"/>
      <c r="J781" s="12"/>
      <c r="K781" s="10"/>
      <c r="L781" s="11"/>
      <c r="M781" s="11"/>
      <c r="N781" s="10"/>
      <c r="O781" s="10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0">
        <v>44531.0</v>
      </c>
      <c r="B782" s="15">
        <v>1584.0</v>
      </c>
      <c r="C782" s="11" t="s">
        <v>1060</v>
      </c>
      <c r="D782" s="11" t="s">
        <v>1067</v>
      </c>
      <c r="E782" s="11">
        <v>2.0</v>
      </c>
      <c r="F782" s="12">
        <v>2066.81</v>
      </c>
      <c r="G782" s="11" t="s">
        <v>27</v>
      </c>
      <c r="H782" s="11"/>
      <c r="I782" s="26"/>
      <c r="J782" s="12"/>
      <c r="K782" s="10"/>
      <c r="L782" s="11"/>
      <c r="M782" s="11"/>
      <c r="N782" s="10"/>
      <c r="O782" s="10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0">
        <v>44531.0</v>
      </c>
      <c r="B783" s="15">
        <v>1584.0</v>
      </c>
      <c r="C783" s="11" t="s">
        <v>1060</v>
      </c>
      <c r="D783" s="11" t="s">
        <v>1068</v>
      </c>
      <c r="E783" s="11">
        <v>2.0</v>
      </c>
      <c r="F783" s="12">
        <v>3013.27</v>
      </c>
      <c r="G783" s="11" t="s">
        <v>27</v>
      </c>
      <c r="H783" s="11"/>
      <c r="I783" s="26"/>
      <c r="J783" s="12"/>
      <c r="K783" s="10"/>
      <c r="L783" s="11"/>
      <c r="M783" s="11"/>
      <c r="N783" s="10"/>
      <c r="O783" s="10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0">
        <v>44531.0</v>
      </c>
      <c r="B784" s="15">
        <v>1584.0</v>
      </c>
      <c r="C784" s="11" t="s">
        <v>1060</v>
      </c>
      <c r="D784" s="11" t="s">
        <v>1069</v>
      </c>
      <c r="E784" s="11">
        <v>2.0</v>
      </c>
      <c r="F784" s="12">
        <v>10712.25</v>
      </c>
      <c r="G784" s="11" t="s">
        <v>27</v>
      </c>
      <c r="H784" s="11"/>
      <c r="I784" s="26"/>
      <c r="J784" s="12"/>
      <c r="K784" s="10"/>
      <c r="L784" s="11"/>
      <c r="M784" s="11"/>
      <c r="N784" s="10"/>
      <c r="O784" s="10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0">
        <v>44531.0</v>
      </c>
      <c r="B785" s="15">
        <v>1584.0</v>
      </c>
      <c r="C785" s="11" t="s">
        <v>1060</v>
      </c>
      <c r="D785" s="11" t="s">
        <v>1070</v>
      </c>
      <c r="E785" s="11">
        <v>2.0</v>
      </c>
      <c r="F785" s="12">
        <v>12066.06</v>
      </c>
      <c r="G785" s="11" t="s">
        <v>27</v>
      </c>
      <c r="H785" s="11"/>
      <c r="I785" s="26"/>
      <c r="J785" s="12"/>
      <c r="K785" s="10"/>
      <c r="L785" s="11"/>
      <c r="M785" s="11"/>
      <c r="N785" s="10"/>
      <c r="O785" s="10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0">
        <v>44531.0</v>
      </c>
      <c r="B786" s="15">
        <v>1584.0</v>
      </c>
      <c r="C786" s="11" t="s">
        <v>1060</v>
      </c>
      <c r="D786" s="11" t="s">
        <v>1071</v>
      </c>
      <c r="E786" s="11">
        <v>2.0</v>
      </c>
      <c r="F786" s="12">
        <v>455.86</v>
      </c>
      <c r="G786" s="11" t="s">
        <v>27</v>
      </c>
      <c r="H786" s="11"/>
      <c r="I786" s="26"/>
      <c r="J786" s="12"/>
      <c r="K786" s="10"/>
      <c r="L786" s="11"/>
      <c r="M786" s="11"/>
      <c r="N786" s="10"/>
      <c r="O786" s="10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0">
        <v>44532.0</v>
      </c>
      <c r="B787" s="13">
        <v>1592.0</v>
      </c>
      <c r="C787" s="11" t="s">
        <v>154</v>
      </c>
      <c r="D787" s="11" t="s">
        <v>1072</v>
      </c>
      <c r="E787" s="11">
        <v>40.0</v>
      </c>
      <c r="F787" s="12">
        <v>666.11</v>
      </c>
      <c r="G787" s="11" t="s">
        <v>167</v>
      </c>
      <c r="H787" s="11"/>
      <c r="I787" s="26"/>
      <c r="J787" s="12"/>
      <c r="K787" s="10"/>
      <c r="L787" s="11"/>
      <c r="M787" s="11"/>
      <c r="N787" s="10"/>
      <c r="O787" s="10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0">
        <v>44532.0</v>
      </c>
      <c r="B788" s="17">
        <v>1592.0</v>
      </c>
      <c r="C788" s="11" t="s">
        <v>154</v>
      </c>
      <c r="D788" s="11" t="s">
        <v>22</v>
      </c>
      <c r="E788" s="11">
        <v>40.0</v>
      </c>
      <c r="F788" s="12">
        <v>126.35</v>
      </c>
      <c r="G788" s="11" t="s">
        <v>167</v>
      </c>
      <c r="H788" s="11"/>
      <c r="I788" s="26"/>
      <c r="J788" s="12"/>
      <c r="K788" s="10"/>
      <c r="L788" s="11"/>
      <c r="M788" s="11"/>
      <c r="N788" s="10"/>
      <c r="O788" s="10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0">
        <v>44532.0</v>
      </c>
      <c r="B789" s="15">
        <v>1590.0</v>
      </c>
      <c r="C789" s="11" t="s">
        <v>154</v>
      </c>
      <c r="D789" s="11" t="s">
        <v>1073</v>
      </c>
      <c r="E789" s="11">
        <v>148.0</v>
      </c>
      <c r="F789" s="12">
        <v>4848.41</v>
      </c>
      <c r="G789" s="11" t="s">
        <v>167</v>
      </c>
      <c r="H789" s="11"/>
      <c r="I789" s="26"/>
      <c r="J789" s="12"/>
      <c r="K789" s="10"/>
      <c r="L789" s="11"/>
      <c r="M789" s="11"/>
      <c r="N789" s="10"/>
      <c r="O789" s="10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0">
        <v>44532.0</v>
      </c>
      <c r="B790" s="16">
        <v>1606.0</v>
      </c>
      <c r="C790" s="11" t="s">
        <v>44</v>
      </c>
      <c r="D790" s="11" t="s">
        <v>542</v>
      </c>
      <c r="E790" s="11">
        <v>1.0</v>
      </c>
      <c r="F790" s="12">
        <v>843.26</v>
      </c>
      <c r="G790" s="14" t="s">
        <v>21</v>
      </c>
      <c r="H790" s="11" t="s">
        <v>737</v>
      </c>
      <c r="I790" s="26"/>
      <c r="J790" s="12">
        <v>843.26</v>
      </c>
      <c r="K790" s="10">
        <v>44566.0</v>
      </c>
      <c r="L790" s="11">
        <v>1654.0</v>
      </c>
      <c r="M790" s="11">
        <v>4.501469131E9</v>
      </c>
      <c r="N790" s="10">
        <v>44571.0</v>
      </c>
      <c r="O790" s="10">
        <v>44602.0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0">
        <v>44533.0</v>
      </c>
      <c r="B791" s="11"/>
      <c r="C791" s="11" t="s">
        <v>188</v>
      </c>
      <c r="D791" s="11" t="s">
        <v>1074</v>
      </c>
      <c r="E791" s="11">
        <v>2.0</v>
      </c>
      <c r="F791" s="12"/>
      <c r="G791" s="11" t="s">
        <v>241</v>
      </c>
      <c r="H791" s="11" t="s">
        <v>803</v>
      </c>
      <c r="I791" s="26"/>
      <c r="J791" s="12"/>
      <c r="K791" s="10"/>
      <c r="L791" s="11"/>
      <c r="M791" s="11"/>
      <c r="N791" s="10"/>
      <c r="O791" s="10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0">
        <v>44533.0</v>
      </c>
      <c r="B792" s="16">
        <v>1601.0</v>
      </c>
      <c r="C792" s="11" t="s">
        <v>154</v>
      </c>
      <c r="D792" s="11" t="s">
        <v>1075</v>
      </c>
      <c r="E792" s="11">
        <v>100.0</v>
      </c>
      <c r="F792" s="12">
        <v>724.12</v>
      </c>
      <c r="G792" s="11" t="s">
        <v>27</v>
      </c>
      <c r="H792" s="11"/>
      <c r="I792" s="26"/>
      <c r="J792" s="12"/>
      <c r="K792" s="10"/>
      <c r="L792" s="11"/>
      <c r="M792" s="11"/>
      <c r="N792" s="10"/>
      <c r="O792" s="10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0">
        <v>44536.0</v>
      </c>
      <c r="B793" s="11"/>
      <c r="C793" s="11" t="s">
        <v>1076</v>
      </c>
      <c r="D793" s="11" t="s">
        <v>1077</v>
      </c>
      <c r="E793" s="11">
        <v>1.0</v>
      </c>
      <c r="F793" s="12"/>
      <c r="G793" s="11" t="s">
        <v>241</v>
      </c>
      <c r="H793" s="11" t="s">
        <v>1078</v>
      </c>
      <c r="I793" s="26"/>
      <c r="J793" s="12"/>
      <c r="K793" s="10"/>
      <c r="L793" s="11"/>
      <c r="M793" s="11"/>
      <c r="N793" s="10"/>
      <c r="O793" s="10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0">
        <v>44536.0</v>
      </c>
      <c r="B794" s="13">
        <v>1613.0</v>
      </c>
      <c r="C794" s="11" t="s">
        <v>188</v>
      </c>
      <c r="D794" s="11" t="s">
        <v>1079</v>
      </c>
      <c r="E794" s="11">
        <v>6.0</v>
      </c>
      <c r="F794" s="12">
        <v>47115.38</v>
      </c>
      <c r="G794" s="11" t="s">
        <v>167</v>
      </c>
      <c r="H794" s="11" t="s">
        <v>1080</v>
      </c>
      <c r="I794" s="26"/>
      <c r="J794" s="12"/>
      <c r="K794" s="10"/>
      <c r="L794" s="11"/>
      <c r="M794" s="11"/>
      <c r="N794" s="10"/>
      <c r="O794" s="10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0">
        <v>44536.0</v>
      </c>
      <c r="B795" s="15">
        <v>1613.0</v>
      </c>
      <c r="C795" s="11" t="s">
        <v>188</v>
      </c>
      <c r="D795" s="11" t="s">
        <v>1081</v>
      </c>
      <c r="E795" s="11">
        <v>1.0</v>
      </c>
      <c r="F795" s="12">
        <v>16674.09</v>
      </c>
      <c r="G795" s="11" t="s">
        <v>27</v>
      </c>
      <c r="H795" s="11" t="s">
        <v>1080</v>
      </c>
      <c r="I795" s="26"/>
      <c r="J795" s="12"/>
      <c r="K795" s="10"/>
      <c r="L795" s="11"/>
      <c r="M795" s="11"/>
      <c r="N795" s="10"/>
      <c r="O795" s="10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0">
        <v>44536.0</v>
      </c>
      <c r="B796" s="16">
        <v>1611.0</v>
      </c>
      <c r="C796" s="11" t="s">
        <v>44</v>
      </c>
      <c r="D796" s="11" t="s">
        <v>837</v>
      </c>
      <c r="E796" s="11">
        <v>4.0</v>
      </c>
      <c r="F796" s="12">
        <v>5059.76</v>
      </c>
      <c r="G796" s="14" t="s">
        <v>180</v>
      </c>
      <c r="H796" s="11"/>
      <c r="I796" s="26"/>
      <c r="J796" s="12">
        <v>5059.76</v>
      </c>
      <c r="K796" s="10">
        <v>44546.0</v>
      </c>
      <c r="L796" s="11">
        <v>1611.0</v>
      </c>
      <c r="M796" s="11"/>
      <c r="N796" s="10"/>
      <c r="O796" s="10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0">
        <v>44537.0</v>
      </c>
      <c r="B797" s="17">
        <v>1615.0</v>
      </c>
      <c r="C797" s="11" t="s">
        <v>1082</v>
      </c>
      <c r="D797" s="11" t="s">
        <v>1083</v>
      </c>
      <c r="E797" s="11">
        <v>4.0</v>
      </c>
      <c r="F797" s="12">
        <v>2880.32</v>
      </c>
      <c r="G797" s="11" t="s">
        <v>167</v>
      </c>
      <c r="H797" s="11" t="s">
        <v>1084</v>
      </c>
      <c r="I797" s="32" t="s">
        <v>1085</v>
      </c>
      <c r="J797" s="12"/>
      <c r="K797" s="10"/>
      <c r="L797" s="11"/>
      <c r="M797" s="11"/>
      <c r="N797" s="10"/>
      <c r="O797" s="10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0">
        <v>44537.0</v>
      </c>
      <c r="B798" s="11"/>
      <c r="C798" s="11" t="s">
        <v>188</v>
      </c>
      <c r="D798" s="11" t="s">
        <v>1086</v>
      </c>
      <c r="E798" s="11">
        <v>1.0</v>
      </c>
      <c r="F798" s="12"/>
      <c r="G798" s="11" t="s">
        <v>241</v>
      </c>
      <c r="H798" s="11" t="s">
        <v>844</v>
      </c>
      <c r="I798" s="26"/>
      <c r="J798" s="12"/>
      <c r="K798" s="10"/>
      <c r="L798" s="11"/>
      <c r="M798" s="11"/>
      <c r="N798" s="10"/>
      <c r="O798" s="10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0">
        <v>44537.0</v>
      </c>
      <c r="B799" s="16">
        <v>1612.0</v>
      </c>
      <c r="C799" s="11" t="s">
        <v>1087</v>
      </c>
      <c r="D799" s="11" t="s">
        <v>1088</v>
      </c>
      <c r="E799" s="11">
        <v>1.0</v>
      </c>
      <c r="F799" s="12">
        <v>4020.26</v>
      </c>
      <c r="G799" s="14" t="s">
        <v>180</v>
      </c>
      <c r="H799" s="11"/>
      <c r="I799" s="26"/>
      <c r="J799" s="12">
        <v>4020.26</v>
      </c>
      <c r="K799" s="10">
        <v>44658.0</v>
      </c>
      <c r="L799" s="11">
        <v>1762.0</v>
      </c>
      <c r="M799" s="11">
        <v>70236.0</v>
      </c>
      <c r="N799" s="10">
        <v>44645.0</v>
      </c>
      <c r="O799" s="10">
        <v>44676.0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0">
        <v>44537.0</v>
      </c>
      <c r="B800" s="11"/>
      <c r="C800" s="11" t="s">
        <v>1089</v>
      </c>
      <c r="D800" s="11" t="s">
        <v>1090</v>
      </c>
      <c r="E800" s="11">
        <v>1.0</v>
      </c>
      <c r="F800" s="12"/>
      <c r="G800" s="11" t="s">
        <v>241</v>
      </c>
      <c r="H800" s="11" t="s">
        <v>1091</v>
      </c>
      <c r="I800" s="26"/>
      <c r="J800" s="12"/>
      <c r="K800" s="10"/>
      <c r="L800" s="11"/>
      <c r="M800" s="11"/>
      <c r="N800" s="10"/>
      <c r="O800" s="10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0">
        <v>44537.0</v>
      </c>
      <c r="B801" s="11"/>
      <c r="C801" s="11" t="s">
        <v>1089</v>
      </c>
      <c r="D801" s="34" t="s">
        <v>1092</v>
      </c>
      <c r="E801" s="11">
        <v>4.0</v>
      </c>
      <c r="F801" s="12"/>
      <c r="G801" s="11" t="s">
        <v>241</v>
      </c>
      <c r="H801" s="11"/>
      <c r="I801" s="26"/>
      <c r="J801" s="12"/>
      <c r="K801" s="10"/>
      <c r="L801" s="11"/>
      <c r="M801" s="11"/>
      <c r="N801" s="10"/>
      <c r="O801" s="10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0">
        <v>44537.0</v>
      </c>
      <c r="B802" s="11"/>
      <c r="C802" s="11" t="s">
        <v>1089</v>
      </c>
      <c r="D802" s="11" t="s">
        <v>1093</v>
      </c>
      <c r="E802" s="11">
        <v>4.0</v>
      </c>
      <c r="F802" s="12"/>
      <c r="G802" s="11" t="s">
        <v>241</v>
      </c>
      <c r="H802" s="11"/>
      <c r="I802" s="26"/>
      <c r="J802" s="12"/>
      <c r="K802" s="10"/>
      <c r="L802" s="11"/>
      <c r="M802" s="11"/>
      <c r="N802" s="10"/>
      <c r="O802" s="10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0">
        <v>44539.0</v>
      </c>
      <c r="B803" s="13">
        <v>1620.0</v>
      </c>
      <c r="C803" s="11" t="s">
        <v>44</v>
      </c>
      <c r="D803" s="11" t="s">
        <v>1094</v>
      </c>
      <c r="E803" s="11">
        <v>1.0</v>
      </c>
      <c r="F803" s="12">
        <v>100174.22</v>
      </c>
      <c r="G803" s="11" t="s">
        <v>167</v>
      </c>
      <c r="H803" s="11"/>
      <c r="I803" s="26"/>
      <c r="J803" s="12"/>
      <c r="K803" s="10"/>
      <c r="L803" s="11"/>
      <c r="M803" s="11"/>
      <c r="N803" s="10"/>
      <c r="O803" s="10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0">
        <v>44538.0</v>
      </c>
      <c r="B804" s="16">
        <v>1616.0</v>
      </c>
      <c r="C804" s="11" t="s">
        <v>188</v>
      </c>
      <c r="D804" s="11" t="s">
        <v>1095</v>
      </c>
      <c r="E804" s="11">
        <v>1.0</v>
      </c>
      <c r="F804" s="12">
        <v>6019.19</v>
      </c>
      <c r="G804" s="14" t="s">
        <v>180</v>
      </c>
      <c r="H804" s="11"/>
      <c r="I804" s="26"/>
      <c r="J804" s="12">
        <v>6019.19</v>
      </c>
      <c r="K804" s="10">
        <v>44606.0</v>
      </c>
      <c r="L804" s="11">
        <v>1689.0</v>
      </c>
      <c r="M804" s="11">
        <v>4.40051853E9</v>
      </c>
      <c r="N804" s="10">
        <v>44570.0</v>
      </c>
      <c r="O804" s="10" t="s">
        <v>1096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0">
        <v>44540.0</v>
      </c>
      <c r="B805" s="15">
        <v>1624.0</v>
      </c>
      <c r="C805" s="11" t="s">
        <v>77</v>
      </c>
      <c r="D805" s="11" t="s">
        <v>1097</v>
      </c>
      <c r="E805" s="11">
        <v>4.0</v>
      </c>
      <c r="F805" s="12">
        <v>5113.9</v>
      </c>
      <c r="G805" s="11" t="s">
        <v>27</v>
      </c>
      <c r="H805" s="11"/>
      <c r="I805" s="26"/>
      <c r="J805" s="12"/>
      <c r="K805" s="10"/>
      <c r="L805" s="11"/>
      <c r="M805" s="11"/>
      <c r="N805" s="10"/>
      <c r="O805" s="10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0">
        <v>44540.0</v>
      </c>
      <c r="B806" s="16">
        <v>1622.0</v>
      </c>
      <c r="C806" s="11" t="s">
        <v>154</v>
      </c>
      <c r="D806" s="11" t="s">
        <v>1098</v>
      </c>
      <c r="E806" s="11">
        <v>100.0</v>
      </c>
      <c r="F806" s="12">
        <v>2922.82</v>
      </c>
      <c r="G806" s="11" t="s">
        <v>27</v>
      </c>
      <c r="H806" s="11"/>
      <c r="I806" s="26"/>
      <c r="J806" s="12"/>
      <c r="K806" s="10"/>
      <c r="L806" s="11"/>
      <c r="M806" s="11"/>
      <c r="N806" s="10"/>
      <c r="O806" s="10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0">
        <v>44540.0</v>
      </c>
      <c r="B807" s="15">
        <v>1625.0</v>
      </c>
      <c r="C807" s="11" t="s">
        <v>44</v>
      </c>
      <c r="D807" s="11" t="s">
        <v>22</v>
      </c>
      <c r="E807" s="11">
        <v>45.0</v>
      </c>
      <c r="F807" s="12">
        <v>112.97</v>
      </c>
      <c r="G807" s="14" t="s">
        <v>21</v>
      </c>
      <c r="H807" s="11" t="s">
        <v>1099</v>
      </c>
      <c r="I807" s="26"/>
      <c r="J807" s="12">
        <v>112.97</v>
      </c>
      <c r="K807" s="10">
        <v>44566.0</v>
      </c>
      <c r="L807" s="11">
        <v>1656.0</v>
      </c>
      <c r="M807" s="11">
        <v>4.501479768E9</v>
      </c>
      <c r="N807" s="10">
        <v>44574.0</v>
      </c>
      <c r="O807" s="10">
        <v>44602.0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0">
        <v>44543.0</v>
      </c>
      <c r="B808" s="16">
        <v>1628.0</v>
      </c>
      <c r="C808" s="11" t="s">
        <v>188</v>
      </c>
      <c r="D808" s="11" t="s">
        <v>1081</v>
      </c>
      <c r="E808" s="11">
        <v>1.0</v>
      </c>
      <c r="F808" s="12" t="s">
        <v>1100</v>
      </c>
      <c r="G808" s="11" t="s">
        <v>167</v>
      </c>
      <c r="H808" s="11"/>
      <c r="I808" s="11"/>
      <c r="J808" s="12"/>
      <c r="K808" s="10"/>
      <c r="L808" s="11"/>
      <c r="M808" s="11"/>
      <c r="N808" s="10"/>
      <c r="O808" s="10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0">
        <v>44544.0</v>
      </c>
      <c r="B809" s="15">
        <v>1638.0</v>
      </c>
      <c r="C809" s="11" t="s">
        <v>1101</v>
      </c>
      <c r="D809" s="11" t="s">
        <v>1102</v>
      </c>
      <c r="E809" s="11">
        <v>1.0</v>
      </c>
      <c r="F809" s="12"/>
      <c r="G809" s="11" t="s">
        <v>167</v>
      </c>
      <c r="H809" s="11" t="s">
        <v>727</v>
      </c>
      <c r="I809" s="32" t="s">
        <v>1103</v>
      </c>
      <c r="J809" s="12"/>
      <c r="K809" s="10"/>
      <c r="L809" s="11"/>
      <c r="M809" s="11"/>
      <c r="N809" s="10"/>
      <c r="O809" s="10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0">
        <v>44544.0</v>
      </c>
      <c r="B810" s="15">
        <v>1638.0</v>
      </c>
      <c r="C810" s="11" t="s">
        <v>1101</v>
      </c>
      <c r="D810" s="37" t="s">
        <v>1104</v>
      </c>
      <c r="E810" s="11">
        <v>1.0</v>
      </c>
      <c r="F810" s="12"/>
      <c r="G810" s="11" t="s">
        <v>167</v>
      </c>
      <c r="H810" s="11" t="s">
        <v>727</v>
      </c>
      <c r="I810" s="32" t="s">
        <v>1105</v>
      </c>
      <c r="J810" s="12"/>
      <c r="K810" s="10"/>
      <c r="L810" s="11"/>
      <c r="M810" s="11"/>
      <c r="N810" s="10"/>
      <c r="O810" s="10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0">
        <v>44544.0</v>
      </c>
      <c r="B811" s="13" t="s">
        <v>1106</v>
      </c>
      <c r="C811" s="11" t="s">
        <v>39</v>
      </c>
      <c r="D811" s="11" t="s">
        <v>1107</v>
      </c>
      <c r="E811" s="11">
        <v>3.0</v>
      </c>
      <c r="F811" s="12">
        <f>835.28*E811</f>
        <v>2505.84</v>
      </c>
      <c r="G811" s="14" t="s">
        <v>21</v>
      </c>
      <c r="H811" s="11" t="s">
        <v>1108</v>
      </c>
      <c r="I811" s="26"/>
      <c r="J811" s="12">
        <v>2505.84</v>
      </c>
      <c r="K811" s="10">
        <v>44566.0</v>
      </c>
      <c r="L811" s="11">
        <v>1655.0</v>
      </c>
      <c r="M811" s="11">
        <v>4.5014772E9</v>
      </c>
      <c r="N811" s="10">
        <v>44568.0</v>
      </c>
      <c r="O811" s="10">
        <v>44602.0</v>
      </c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0">
        <v>44544.0</v>
      </c>
      <c r="B812" s="15">
        <v>1631.0</v>
      </c>
      <c r="C812" s="11" t="s">
        <v>39</v>
      </c>
      <c r="D812" s="11" t="s">
        <v>758</v>
      </c>
      <c r="E812" s="11">
        <v>2.0</v>
      </c>
      <c r="F812" s="12">
        <f>828.51*2</f>
        <v>1657.02</v>
      </c>
      <c r="G812" s="11" t="s">
        <v>167</v>
      </c>
      <c r="H812" s="11" t="s">
        <v>1108</v>
      </c>
      <c r="I812" s="26"/>
      <c r="J812" s="12"/>
      <c r="K812" s="10"/>
      <c r="L812" s="11"/>
      <c r="M812" s="11"/>
      <c r="N812" s="10"/>
      <c r="O812" s="10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0">
        <v>44544.0</v>
      </c>
      <c r="B813" s="15">
        <v>1631.0</v>
      </c>
      <c r="C813" s="11" t="s">
        <v>39</v>
      </c>
      <c r="D813" s="11" t="s">
        <v>1109</v>
      </c>
      <c r="E813" s="11">
        <v>1.0</v>
      </c>
      <c r="F813" s="12">
        <v>814.23</v>
      </c>
      <c r="G813" s="11" t="s">
        <v>167</v>
      </c>
      <c r="H813" s="11" t="s">
        <v>1108</v>
      </c>
      <c r="I813" s="26"/>
      <c r="J813" s="12"/>
      <c r="K813" s="10"/>
      <c r="L813" s="11"/>
      <c r="M813" s="11"/>
      <c r="N813" s="10"/>
      <c r="O813" s="10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0">
        <v>44544.0</v>
      </c>
      <c r="B814" s="15">
        <v>1631.0</v>
      </c>
      <c r="C814" s="11" t="s">
        <v>39</v>
      </c>
      <c r="D814" s="11" t="s">
        <v>1110</v>
      </c>
      <c r="E814" s="11">
        <v>2.0</v>
      </c>
      <c r="F814" s="12">
        <f>1301.86*2</f>
        <v>2603.72</v>
      </c>
      <c r="G814" s="11" t="s">
        <v>167</v>
      </c>
      <c r="H814" s="11" t="s">
        <v>1108</v>
      </c>
      <c r="I814" s="26"/>
      <c r="J814" s="12"/>
      <c r="K814" s="10"/>
      <c r="L814" s="11"/>
      <c r="M814" s="11"/>
      <c r="N814" s="10"/>
      <c r="O814" s="10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0">
        <v>44544.0</v>
      </c>
      <c r="B815" s="17">
        <v>1631.0</v>
      </c>
      <c r="C815" s="11" t="s">
        <v>39</v>
      </c>
      <c r="D815" s="11" t="s">
        <v>1111</v>
      </c>
      <c r="E815" s="11">
        <v>2.0</v>
      </c>
      <c r="F815" s="12">
        <f>1286.78*2</f>
        <v>2573.56</v>
      </c>
      <c r="G815" s="11" t="s">
        <v>167</v>
      </c>
      <c r="H815" s="11" t="s">
        <v>1108</v>
      </c>
      <c r="I815" s="26"/>
      <c r="J815" s="12"/>
      <c r="K815" s="10"/>
      <c r="L815" s="11"/>
      <c r="M815" s="11"/>
      <c r="N815" s="10"/>
      <c r="O815" s="10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0">
        <v>44544.0</v>
      </c>
      <c r="B816" s="13">
        <v>1644.0</v>
      </c>
      <c r="C816" s="11" t="s">
        <v>39</v>
      </c>
      <c r="D816" s="11" t="s">
        <v>1111</v>
      </c>
      <c r="E816" s="11">
        <v>1.0</v>
      </c>
      <c r="F816" s="12">
        <v>1286.78</v>
      </c>
      <c r="G816" s="14" t="s">
        <v>180</v>
      </c>
      <c r="H816" s="11"/>
      <c r="I816" s="26"/>
      <c r="J816" s="12">
        <v>1286.78</v>
      </c>
      <c r="K816" s="10">
        <v>44566.0</v>
      </c>
      <c r="L816" s="11">
        <v>1657.0</v>
      </c>
      <c r="M816" s="11">
        <v>4.501478334E9</v>
      </c>
      <c r="N816" s="10">
        <v>44565.0</v>
      </c>
      <c r="O816" s="10">
        <v>44602.0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0">
        <v>44544.0</v>
      </c>
      <c r="B817" s="17">
        <v>1644.0</v>
      </c>
      <c r="C817" s="11" t="s">
        <v>39</v>
      </c>
      <c r="D817" s="11" t="s">
        <v>1109</v>
      </c>
      <c r="E817" s="11">
        <v>1.0</v>
      </c>
      <c r="F817" s="12">
        <v>814.23</v>
      </c>
      <c r="G817" s="14" t="s">
        <v>180</v>
      </c>
      <c r="H817" s="11"/>
      <c r="I817" s="26"/>
      <c r="J817" s="12">
        <v>814.23</v>
      </c>
      <c r="K817" s="10">
        <v>44566.0</v>
      </c>
      <c r="L817" s="11">
        <v>1657.0</v>
      </c>
      <c r="M817" s="11">
        <v>4.501478334E9</v>
      </c>
      <c r="N817" s="10">
        <v>44565.0</v>
      </c>
      <c r="O817" s="10">
        <v>44602.0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0">
        <v>44546.0</v>
      </c>
      <c r="B818" s="13">
        <v>1635.0</v>
      </c>
      <c r="C818" s="11" t="s">
        <v>690</v>
      </c>
      <c r="D818" s="11" t="s">
        <v>1112</v>
      </c>
      <c r="E818" s="11">
        <v>15.0</v>
      </c>
      <c r="F818" s="12" t="s">
        <v>1113</v>
      </c>
      <c r="G818" s="11" t="s">
        <v>167</v>
      </c>
      <c r="H818" s="11" t="s">
        <v>1114</v>
      </c>
      <c r="I818" s="32" t="s">
        <v>1115</v>
      </c>
      <c r="J818" s="12"/>
      <c r="K818" s="10"/>
      <c r="L818" s="11"/>
      <c r="M818" s="11"/>
      <c r="N818" s="10"/>
      <c r="O818" s="10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0">
        <v>44546.0</v>
      </c>
      <c r="B819" s="15">
        <v>1635.0</v>
      </c>
      <c r="C819" s="11" t="s">
        <v>690</v>
      </c>
      <c r="D819" s="27" t="s">
        <v>1116</v>
      </c>
      <c r="E819" s="11">
        <v>15.0</v>
      </c>
      <c r="F819" s="12">
        <v>4009.66</v>
      </c>
      <c r="G819" s="11" t="s">
        <v>167</v>
      </c>
      <c r="H819" s="11" t="s">
        <v>1114</v>
      </c>
      <c r="I819" s="26"/>
      <c r="J819" s="12"/>
      <c r="K819" s="10"/>
      <c r="L819" s="11"/>
      <c r="M819" s="11"/>
      <c r="N819" s="10"/>
      <c r="O819" s="10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0">
        <v>44546.0</v>
      </c>
      <c r="B820" s="15">
        <v>1635.0</v>
      </c>
      <c r="C820" s="11" t="s">
        <v>690</v>
      </c>
      <c r="D820" s="27" t="s">
        <v>1117</v>
      </c>
      <c r="E820" s="11">
        <v>15.0</v>
      </c>
      <c r="F820" s="12">
        <v>1450.12</v>
      </c>
      <c r="G820" s="11" t="s">
        <v>167</v>
      </c>
      <c r="H820" s="11" t="s">
        <v>1114</v>
      </c>
      <c r="I820" s="26"/>
      <c r="J820" s="12"/>
      <c r="K820" s="10"/>
      <c r="L820" s="11"/>
      <c r="M820" s="11"/>
      <c r="N820" s="10"/>
      <c r="O820" s="10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0">
        <v>44546.0</v>
      </c>
      <c r="B821" s="17">
        <v>1635.0</v>
      </c>
      <c r="C821" s="11" t="s">
        <v>690</v>
      </c>
      <c r="D821" s="27" t="s">
        <v>1118</v>
      </c>
      <c r="E821" s="11">
        <v>15.0</v>
      </c>
      <c r="F821" s="12">
        <v>6407.48</v>
      </c>
      <c r="G821" s="11" t="s">
        <v>167</v>
      </c>
      <c r="H821" s="11" t="s">
        <v>1114</v>
      </c>
      <c r="I821" s="26"/>
      <c r="J821" s="12"/>
      <c r="K821" s="10"/>
      <c r="L821" s="11"/>
      <c r="M821" s="11"/>
      <c r="N821" s="10"/>
      <c r="O821" s="10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0">
        <v>44551.0</v>
      </c>
      <c r="B822" s="15">
        <v>1647.0</v>
      </c>
      <c r="C822" s="11" t="s">
        <v>1119</v>
      </c>
      <c r="D822" s="11" t="s">
        <v>1120</v>
      </c>
      <c r="E822" s="11">
        <v>50.0</v>
      </c>
      <c r="F822" s="12">
        <v>3547.55</v>
      </c>
      <c r="G822" s="11" t="s">
        <v>167</v>
      </c>
      <c r="H822" s="11" t="s">
        <v>1121</v>
      </c>
      <c r="I822" s="32" t="s">
        <v>1122</v>
      </c>
      <c r="J822" s="12"/>
      <c r="K822" s="10"/>
      <c r="L822" s="11"/>
      <c r="M822" s="11"/>
      <c r="N822" s="10"/>
      <c r="O822" s="10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0">
        <v>44551.0</v>
      </c>
      <c r="B823" s="17" t="s">
        <v>1123</v>
      </c>
      <c r="C823" s="11" t="s">
        <v>1119</v>
      </c>
      <c r="D823" s="11" t="s">
        <v>1124</v>
      </c>
      <c r="E823" s="11">
        <v>50.0</v>
      </c>
      <c r="F823" s="12">
        <v>1726.78</v>
      </c>
      <c r="G823" s="14" t="s">
        <v>180</v>
      </c>
      <c r="H823" s="11"/>
      <c r="I823" s="32"/>
      <c r="J823" s="12">
        <v>1726.78</v>
      </c>
      <c r="K823" s="10">
        <v>44603.0</v>
      </c>
      <c r="L823" s="11">
        <v>1687.0</v>
      </c>
      <c r="M823" s="11">
        <v>10289.0</v>
      </c>
      <c r="N823" s="10">
        <v>44602.0</v>
      </c>
      <c r="O823" s="10">
        <v>44631.0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0">
        <v>44551.0</v>
      </c>
      <c r="B824" s="16">
        <v>1641.0</v>
      </c>
      <c r="C824" s="11" t="s">
        <v>707</v>
      </c>
      <c r="D824" s="37" t="s">
        <v>1125</v>
      </c>
      <c r="E824" s="11">
        <v>6.0</v>
      </c>
      <c r="F824" s="12"/>
      <c r="G824" s="11" t="s">
        <v>167</v>
      </c>
      <c r="H824" s="11" t="s">
        <v>1045</v>
      </c>
      <c r="I824" s="32" t="s">
        <v>1126</v>
      </c>
      <c r="J824" s="12"/>
      <c r="K824" s="10"/>
      <c r="L824" s="11"/>
      <c r="M824" s="11"/>
      <c r="N824" s="10"/>
      <c r="O824" s="10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0">
        <v>44552.0</v>
      </c>
      <c r="B825" s="13">
        <v>1640.0</v>
      </c>
      <c r="C825" s="11" t="s">
        <v>164</v>
      </c>
      <c r="D825" s="11" t="s">
        <v>1127</v>
      </c>
      <c r="E825" s="11">
        <v>100.0</v>
      </c>
      <c r="F825" s="12">
        <v>1300.0</v>
      </c>
      <c r="G825" s="14" t="s">
        <v>180</v>
      </c>
      <c r="H825" s="11" t="s">
        <v>684</v>
      </c>
      <c r="I825" s="26"/>
      <c r="J825" s="12">
        <v>1300.0</v>
      </c>
      <c r="K825" s="10">
        <v>44572.0</v>
      </c>
      <c r="L825" s="11">
        <v>1663.0</v>
      </c>
      <c r="M825" s="11">
        <v>4.500382022E9</v>
      </c>
      <c r="N825" s="10"/>
      <c r="O825" s="10">
        <v>44603.0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0">
        <v>44552.0</v>
      </c>
      <c r="B826" s="17">
        <v>1640.0</v>
      </c>
      <c r="C826" s="11" t="s">
        <v>164</v>
      </c>
      <c r="D826" s="11" t="s">
        <v>1128</v>
      </c>
      <c r="E826" s="11">
        <v>30.0</v>
      </c>
      <c r="F826" s="12">
        <v>585.0</v>
      </c>
      <c r="G826" s="14" t="s">
        <v>180</v>
      </c>
      <c r="H826" s="11"/>
      <c r="I826" s="26"/>
      <c r="J826" s="12">
        <v>585.0</v>
      </c>
      <c r="K826" s="10">
        <v>44572.0</v>
      </c>
      <c r="L826" s="11">
        <v>1663.0</v>
      </c>
      <c r="M826" s="11">
        <v>4.500382022E9</v>
      </c>
      <c r="N826" s="10"/>
      <c r="O826" s="10">
        <v>44603.0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0">
        <v>44558.0</v>
      </c>
      <c r="B827" s="13">
        <v>1646.0</v>
      </c>
      <c r="C827" s="11" t="s">
        <v>77</v>
      </c>
      <c r="D827" s="11" t="s">
        <v>1129</v>
      </c>
      <c r="E827" s="11">
        <v>3.0</v>
      </c>
      <c r="F827" s="12">
        <v>136434.69</v>
      </c>
      <c r="G827" s="11" t="s">
        <v>167</v>
      </c>
      <c r="H827" s="11" t="s">
        <v>714</v>
      </c>
      <c r="I827" s="26"/>
      <c r="J827" s="12"/>
      <c r="K827" s="10"/>
      <c r="L827" s="11"/>
      <c r="M827" s="11"/>
      <c r="N827" s="10"/>
      <c r="O827" s="10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0">
        <v>44923.0</v>
      </c>
      <c r="B828" s="17">
        <v>1646.0</v>
      </c>
      <c r="C828" s="11" t="s">
        <v>77</v>
      </c>
      <c r="D828" s="11" t="s">
        <v>1129</v>
      </c>
      <c r="E828" s="11">
        <v>3.0</v>
      </c>
      <c r="F828" s="12">
        <v>121609.44</v>
      </c>
      <c r="G828" s="11" t="s">
        <v>167</v>
      </c>
      <c r="H828" s="11"/>
      <c r="I828" s="26"/>
      <c r="J828" s="12"/>
      <c r="K828" s="10"/>
      <c r="L828" s="11"/>
      <c r="M828" s="11"/>
      <c r="N828" s="10"/>
      <c r="O828" s="10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0"/>
      <c r="B829" s="11"/>
      <c r="C829" s="11"/>
      <c r="D829" s="27"/>
      <c r="E829" s="11"/>
      <c r="F829" s="12"/>
      <c r="G829" s="11"/>
      <c r="H829" s="11"/>
      <c r="I829" s="26"/>
      <c r="J829" s="12"/>
      <c r="K829" s="10"/>
      <c r="L829" s="11"/>
      <c r="M829" s="11"/>
      <c r="N829" s="10"/>
      <c r="O829" s="10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40"/>
      <c r="B830" s="9"/>
      <c r="C830" s="9"/>
      <c r="D830" s="9"/>
      <c r="E830" s="9"/>
      <c r="F830" s="41"/>
      <c r="G830" s="9"/>
      <c r="H830" s="9"/>
      <c r="I830" s="42"/>
      <c r="J830" s="41"/>
      <c r="K830" s="40"/>
      <c r="L830" s="9"/>
      <c r="M830" s="9"/>
      <c r="N830" s="40"/>
      <c r="O830" s="40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40"/>
      <c r="B831" s="9"/>
      <c r="C831" s="9"/>
      <c r="D831" s="9"/>
      <c r="E831" s="9"/>
      <c r="F831" s="41"/>
      <c r="G831" s="9"/>
      <c r="H831" s="9"/>
      <c r="I831" s="42"/>
      <c r="J831" s="41"/>
      <c r="K831" s="40"/>
      <c r="L831" s="9"/>
      <c r="M831" s="9"/>
      <c r="N831" s="40"/>
      <c r="O831" s="40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40"/>
      <c r="B832" s="9"/>
      <c r="C832" s="9"/>
      <c r="D832" s="9"/>
      <c r="E832" s="9"/>
      <c r="F832" s="41"/>
      <c r="G832" s="9"/>
      <c r="H832" s="9"/>
      <c r="I832" s="42"/>
      <c r="J832" s="41"/>
      <c r="K832" s="40"/>
      <c r="L832" s="9"/>
      <c r="M832" s="9"/>
      <c r="N832" s="40"/>
      <c r="O832" s="40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40"/>
      <c r="B833" s="9"/>
      <c r="C833" s="9"/>
      <c r="D833" s="9"/>
      <c r="E833" s="9"/>
      <c r="F833" s="41"/>
      <c r="G833" s="9"/>
      <c r="H833" s="9"/>
      <c r="I833" s="42"/>
      <c r="J833" s="41"/>
      <c r="K833" s="40"/>
      <c r="L833" s="9"/>
      <c r="M833" s="9"/>
      <c r="N833" s="40"/>
      <c r="O833" s="40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40"/>
      <c r="B834" s="9"/>
      <c r="C834" s="9"/>
      <c r="D834" s="9"/>
      <c r="E834" s="9"/>
      <c r="F834" s="41"/>
      <c r="G834" s="9"/>
      <c r="H834" s="9"/>
      <c r="I834" s="42"/>
      <c r="J834" s="41"/>
      <c r="K834" s="40"/>
      <c r="L834" s="9"/>
      <c r="M834" s="9"/>
      <c r="N834" s="40"/>
      <c r="O834" s="40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40"/>
      <c r="B835" s="9"/>
      <c r="C835" s="9"/>
      <c r="D835" s="9"/>
      <c r="E835" s="9"/>
      <c r="F835" s="41"/>
      <c r="G835" s="9"/>
      <c r="H835" s="9"/>
      <c r="I835" s="42"/>
      <c r="J835" s="41"/>
      <c r="K835" s="40"/>
      <c r="L835" s="9"/>
      <c r="M835" s="9"/>
      <c r="N835" s="40"/>
      <c r="O835" s="40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40"/>
      <c r="B836" s="9"/>
      <c r="C836" s="9"/>
      <c r="D836" s="9"/>
      <c r="E836" s="9"/>
      <c r="F836" s="41"/>
      <c r="G836" s="9"/>
      <c r="H836" s="9"/>
      <c r="I836" s="42"/>
      <c r="J836" s="41"/>
      <c r="K836" s="40"/>
      <c r="L836" s="9"/>
      <c r="M836" s="9"/>
      <c r="N836" s="40"/>
      <c r="O836" s="40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40"/>
      <c r="B837" s="9"/>
      <c r="C837" s="9"/>
      <c r="D837" s="9"/>
      <c r="E837" s="9"/>
      <c r="F837" s="41"/>
      <c r="G837" s="9"/>
      <c r="H837" s="9"/>
      <c r="I837" s="42"/>
      <c r="J837" s="41"/>
      <c r="K837" s="40"/>
      <c r="L837" s="9"/>
      <c r="M837" s="9"/>
      <c r="N837" s="40"/>
      <c r="O837" s="40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40"/>
      <c r="B838" s="9"/>
      <c r="C838" s="9"/>
      <c r="D838" s="9"/>
      <c r="E838" s="9"/>
      <c r="F838" s="41"/>
      <c r="G838" s="9"/>
      <c r="H838" s="9"/>
      <c r="I838" s="42"/>
      <c r="J838" s="41"/>
      <c r="K838" s="40"/>
      <c r="L838" s="9"/>
      <c r="M838" s="9"/>
      <c r="N838" s="40"/>
      <c r="O838" s="40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40"/>
      <c r="B839" s="9"/>
      <c r="C839" s="9"/>
      <c r="D839" s="9"/>
      <c r="E839" s="9"/>
      <c r="F839" s="41"/>
      <c r="G839" s="9"/>
      <c r="H839" s="9"/>
      <c r="I839" s="42"/>
      <c r="J839" s="41"/>
      <c r="K839" s="40"/>
      <c r="L839" s="9"/>
      <c r="M839" s="9"/>
      <c r="N839" s="40"/>
      <c r="O839" s="40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40"/>
      <c r="B840" s="9"/>
      <c r="C840" s="9"/>
      <c r="D840" s="9"/>
      <c r="E840" s="9"/>
      <c r="F840" s="41"/>
      <c r="G840" s="9"/>
      <c r="H840" s="9"/>
      <c r="I840" s="42"/>
      <c r="J840" s="41"/>
      <c r="K840" s="40"/>
      <c r="L840" s="9"/>
      <c r="M840" s="9"/>
      <c r="N840" s="40"/>
      <c r="O840" s="40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40"/>
      <c r="B841" s="9"/>
      <c r="C841" s="9"/>
      <c r="D841" s="9"/>
      <c r="E841" s="9"/>
      <c r="F841" s="41"/>
      <c r="G841" s="9"/>
      <c r="H841" s="9"/>
      <c r="I841" s="42"/>
      <c r="J841" s="41"/>
      <c r="K841" s="40"/>
      <c r="L841" s="9"/>
      <c r="M841" s="9"/>
      <c r="N841" s="40"/>
      <c r="O841" s="40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40"/>
      <c r="B842" s="9"/>
      <c r="C842" s="9"/>
      <c r="D842" s="9"/>
      <c r="E842" s="9"/>
      <c r="F842" s="41"/>
      <c r="G842" s="9"/>
      <c r="H842" s="9"/>
      <c r="I842" s="42"/>
      <c r="J842" s="41"/>
      <c r="K842" s="40"/>
      <c r="L842" s="9"/>
      <c r="M842" s="9"/>
      <c r="N842" s="40"/>
      <c r="O842" s="40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40"/>
      <c r="B843" s="9"/>
      <c r="C843" s="9"/>
      <c r="D843" s="9"/>
      <c r="E843" s="9"/>
      <c r="F843" s="41"/>
      <c r="G843" s="9"/>
      <c r="H843" s="9"/>
      <c r="I843" s="42"/>
      <c r="J843" s="41"/>
      <c r="K843" s="40"/>
      <c r="L843" s="9"/>
      <c r="M843" s="9"/>
      <c r="N843" s="40"/>
      <c r="O843" s="40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40"/>
      <c r="B844" s="9"/>
      <c r="C844" s="9"/>
      <c r="D844" s="9"/>
      <c r="E844" s="9"/>
      <c r="F844" s="41"/>
      <c r="G844" s="9"/>
      <c r="H844" s="9"/>
      <c r="I844" s="42"/>
      <c r="J844" s="41"/>
      <c r="K844" s="40"/>
      <c r="L844" s="9"/>
      <c r="M844" s="9"/>
      <c r="N844" s="40"/>
      <c r="O844" s="40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40"/>
      <c r="B845" s="9"/>
      <c r="C845" s="9"/>
      <c r="D845" s="9"/>
      <c r="E845" s="9"/>
      <c r="F845" s="41"/>
      <c r="G845" s="9"/>
      <c r="H845" s="9"/>
      <c r="I845" s="42"/>
      <c r="J845" s="41"/>
      <c r="K845" s="40"/>
      <c r="L845" s="9"/>
      <c r="M845" s="9"/>
      <c r="N845" s="40"/>
      <c r="O845" s="40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40"/>
      <c r="B846" s="9"/>
      <c r="C846" s="9"/>
      <c r="D846" s="9"/>
      <c r="E846" s="9"/>
      <c r="F846" s="41"/>
      <c r="G846" s="9"/>
      <c r="H846" s="9"/>
      <c r="I846" s="42"/>
      <c r="J846" s="41"/>
      <c r="K846" s="40"/>
      <c r="L846" s="9"/>
      <c r="M846" s="9"/>
      <c r="N846" s="40"/>
      <c r="O846" s="40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40"/>
      <c r="B847" s="9"/>
      <c r="C847" s="9"/>
      <c r="D847" s="9"/>
      <c r="E847" s="9"/>
      <c r="F847" s="41"/>
      <c r="G847" s="9"/>
      <c r="H847" s="9"/>
      <c r="I847" s="42"/>
      <c r="J847" s="41"/>
      <c r="K847" s="40"/>
      <c r="L847" s="9"/>
      <c r="M847" s="9"/>
      <c r="N847" s="40"/>
      <c r="O847" s="40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40"/>
      <c r="B848" s="9"/>
      <c r="C848" s="9"/>
      <c r="D848" s="9"/>
      <c r="E848" s="9"/>
      <c r="F848" s="41"/>
      <c r="G848" s="9"/>
      <c r="H848" s="9"/>
      <c r="I848" s="42"/>
      <c r="J848" s="41"/>
      <c r="K848" s="40"/>
      <c r="L848" s="9"/>
      <c r="M848" s="9"/>
      <c r="N848" s="40"/>
      <c r="O848" s="40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40"/>
      <c r="B849" s="9"/>
      <c r="C849" s="9"/>
      <c r="D849" s="9"/>
      <c r="E849" s="9"/>
      <c r="F849" s="41"/>
      <c r="G849" s="9"/>
      <c r="H849" s="9"/>
      <c r="I849" s="42"/>
      <c r="J849" s="41"/>
      <c r="K849" s="40"/>
      <c r="L849" s="9"/>
      <c r="M849" s="9"/>
      <c r="N849" s="40"/>
      <c r="O849" s="40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40"/>
      <c r="B850" s="9"/>
      <c r="C850" s="9"/>
      <c r="D850" s="9"/>
      <c r="E850" s="9"/>
      <c r="F850" s="41"/>
      <c r="G850" s="9"/>
      <c r="H850" s="9"/>
      <c r="I850" s="42"/>
      <c r="J850" s="41"/>
      <c r="K850" s="40"/>
      <c r="L850" s="9"/>
      <c r="M850" s="9"/>
      <c r="N850" s="40"/>
      <c r="O850" s="40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40"/>
      <c r="B851" s="9"/>
      <c r="C851" s="9"/>
      <c r="D851" s="9"/>
      <c r="E851" s="9"/>
      <c r="F851" s="41"/>
      <c r="G851" s="9"/>
      <c r="H851" s="9"/>
      <c r="I851" s="42"/>
      <c r="J851" s="41"/>
      <c r="K851" s="40"/>
      <c r="L851" s="9"/>
      <c r="M851" s="9"/>
      <c r="N851" s="40"/>
      <c r="O851" s="40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40"/>
      <c r="B852" s="9"/>
      <c r="C852" s="9"/>
      <c r="D852" s="9"/>
      <c r="E852" s="9"/>
      <c r="F852" s="41"/>
      <c r="G852" s="9"/>
      <c r="H852" s="9"/>
      <c r="I852" s="42"/>
      <c r="J852" s="41"/>
      <c r="K852" s="40"/>
      <c r="L852" s="9"/>
      <c r="M852" s="9"/>
      <c r="N852" s="40"/>
      <c r="O852" s="40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40"/>
      <c r="B853" s="9"/>
      <c r="C853" s="9"/>
      <c r="D853" s="9"/>
      <c r="E853" s="9"/>
      <c r="F853" s="41"/>
      <c r="G853" s="9"/>
      <c r="H853" s="9"/>
      <c r="I853" s="42"/>
      <c r="J853" s="41"/>
      <c r="K853" s="40"/>
      <c r="L853" s="9"/>
      <c r="M853" s="9"/>
      <c r="N853" s="40"/>
      <c r="O853" s="40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40"/>
      <c r="B854" s="9"/>
      <c r="C854" s="9"/>
      <c r="D854" s="9"/>
      <c r="E854" s="9"/>
      <c r="F854" s="41"/>
      <c r="G854" s="9"/>
      <c r="H854" s="9"/>
      <c r="I854" s="42"/>
      <c r="J854" s="41"/>
      <c r="K854" s="40"/>
      <c r="L854" s="9"/>
      <c r="M854" s="9"/>
      <c r="N854" s="40"/>
      <c r="O854" s="40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40"/>
      <c r="B855" s="9"/>
      <c r="C855" s="9"/>
      <c r="D855" s="9"/>
      <c r="E855" s="9"/>
      <c r="F855" s="41"/>
      <c r="G855" s="9"/>
      <c r="H855" s="9"/>
      <c r="I855" s="42"/>
      <c r="J855" s="41"/>
      <c r="K855" s="40"/>
      <c r="L855" s="9"/>
      <c r="M855" s="9"/>
      <c r="N855" s="40"/>
      <c r="O855" s="40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40"/>
      <c r="B856" s="9"/>
      <c r="C856" s="9"/>
      <c r="D856" s="9"/>
      <c r="E856" s="9"/>
      <c r="F856" s="41"/>
      <c r="G856" s="9"/>
      <c r="H856" s="9"/>
      <c r="I856" s="42"/>
      <c r="J856" s="41"/>
      <c r="K856" s="40"/>
      <c r="L856" s="9"/>
      <c r="M856" s="9"/>
      <c r="N856" s="40"/>
      <c r="O856" s="40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40"/>
      <c r="B857" s="9"/>
      <c r="C857" s="9"/>
      <c r="D857" s="9"/>
      <c r="E857" s="9"/>
      <c r="F857" s="41"/>
      <c r="G857" s="9"/>
      <c r="H857" s="9"/>
      <c r="I857" s="42"/>
      <c r="J857" s="41"/>
      <c r="K857" s="40"/>
      <c r="L857" s="9"/>
      <c r="M857" s="9"/>
      <c r="N857" s="40"/>
      <c r="O857" s="40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40"/>
      <c r="B858" s="9"/>
      <c r="C858" s="9"/>
      <c r="D858" s="9"/>
      <c r="E858" s="9"/>
      <c r="F858" s="41"/>
      <c r="G858" s="9"/>
      <c r="H858" s="9"/>
      <c r="I858" s="42"/>
      <c r="J858" s="41"/>
      <c r="K858" s="40"/>
      <c r="L858" s="9"/>
      <c r="M858" s="9"/>
      <c r="N858" s="40"/>
      <c r="O858" s="40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40"/>
      <c r="B859" s="9"/>
      <c r="C859" s="9"/>
      <c r="D859" s="9"/>
      <c r="E859" s="9"/>
      <c r="F859" s="41"/>
      <c r="G859" s="9"/>
      <c r="H859" s="9"/>
      <c r="I859" s="42"/>
      <c r="J859" s="41"/>
      <c r="K859" s="40"/>
      <c r="L859" s="9"/>
      <c r="M859" s="9"/>
      <c r="N859" s="40"/>
      <c r="O859" s="40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40"/>
      <c r="B860" s="9"/>
      <c r="C860" s="9"/>
      <c r="D860" s="9"/>
      <c r="E860" s="9"/>
      <c r="F860" s="41"/>
      <c r="G860" s="9"/>
      <c r="H860" s="9"/>
      <c r="I860" s="42"/>
      <c r="J860" s="41"/>
      <c r="K860" s="40"/>
      <c r="L860" s="9"/>
      <c r="M860" s="9"/>
      <c r="N860" s="40"/>
      <c r="O860" s="40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40"/>
      <c r="B861" s="9"/>
      <c r="C861" s="9"/>
      <c r="D861" s="9"/>
      <c r="E861" s="9"/>
      <c r="F861" s="41"/>
      <c r="G861" s="9"/>
      <c r="H861" s="9"/>
      <c r="I861" s="42"/>
      <c r="J861" s="41"/>
      <c r="K861" s="40"/>
      <c r="L861" s="9"/>
      <c r="M861" s="9"/>
      <c r="N861" s="40"/>
      <c r="O861" s="40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40"/>
      <c r="B862" s="9"/>
      <c r="C862" s="9"/>
      <c r="D862" s="9"/>
      <c r="E862" s="9"/>
      <c r="F862" s="41"/>
      <c r="G862" s="9"/>
      <c r="H862" s="9"/>
      <c r="I862" s="42"/>
      <c r="J862" s="41"/>
      <c r="K862" s="40"/>
      <c r="L862" s="9"/>
      <c r="M862" s="9"/>
      <c r="N862" s="40"/>
      <c r="O862" s="40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40"/>
      <c r="B863" s="9"/>
      <c r="C863" s="9"/>
      <c r="D863" s="9"/>
      <c r="E863" s="9"/>
      <c r="F863" s="41"/>
      <c r="G863" s="9"/>
      <c r="H863" s="9"/>
      <c r="I863" s="42"/>
      <c r="J863" s="41"/>
      <c r="K863" s="40"/>
      <c r="L863" s="9"/>
      <c r="M863" s="9"/>
      <c r="N863" s="40"/>
      <c r="O863" s="40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40"/>
      <c r="B864" s="9"/>
      <c r="C864" s="9"/>
      <c r="D864" s="9"/>
      <c r="E864" s="9"/>
      <c r="F864" s="41"/>
      <c r="G864" s="9"/>
      <c r="H864" s="9"/>
      <c r="I864" s="42"/>
      <c r="J864" s="41"/>
      <c r="K864" s="40"/>
      <c r="L864" s="9"/>
      <c r="M864" s="9"/>
      <c r="N864" s="40"/>
      <c r="O864" s="40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40"/>
      <c r="B865" s="9"/>
      <c r="C865" s="9"/>
      <c r="D865" s="9"/>
      <c r="E865" s="9"/>
      <c r="F865" s="41"/>
      <c r="G865" s="9"/>
      <c r="H865" s="9"/>
      <c r="I865" s="42"/>
      <c r="J865" s="41"/>
      <c r="K865" s="40"/>
      <c r="L865" s="9"/>
      <c r="M865" s="9"/>
      <c r="N865" s="40"/>
      <c r="O865" s="40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40"/>
      <c r="B866" s="9"/>
      <c r="C866" s="9"/>
      <c r="D866" s="9"/>
      <c r="E866" s="9"/>
      <c r="F866" s="41"/>
      <c r="G866" s="9"/>
      <c r="H866" s="9"/>
      <c r="I866" s="42"/>
      <c r="J866" s="41"/>
      <c r="K866" s="40"/>
      <c r="L866" s="9"/>
      <c r="M866" s="9"/>
      <c r="N866" s="40"/>
      <c r="O866" s="40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40"/>
      <c r="B867" s="9"/>
      <c r="C867" s="9"/>
      <c r="D867" s="9"/>
      <c r="E867" s="9"/>
      <c r="F867" s="41"/>
      <c r="G867" s="9"/>
      <c r="H867" s="9"/>
      <c r="I867" s="42"/>
      <c r="J867" s="41"/>
      <c r="K867" s="40"/>
      <c r="L867" s="9"/>
      <c r="M867" s="9"/>
      <c r="N867" s="40"/>
      <c r="O867" s="40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40"/>
      <c r="B868" s="9"/>
      <c r="C868" s="9"/>
      <c r="D868" s="9"/>
      <c r="E868" s="9"/>
      <c r="F868" s="41"/>
      <c r="G868" s="9"/>
      <c r="H868" s="9"/>
      <c r="I868" s="42"/>
      <c r="J868" s="41"/>
      <c r="K868" s="40"/>
      <c r="L868" s="9"/>
      <c r="M868" s="9"/>
      <c r="N868" s="40"/>
      <c r="O868" s="40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40"/>
      <c r="B869" s="9"/>
      <c r="C869" s="9"/>
      <c r="D869" s="9"/>
      <c r="E869" s="9"/>
      <c r="F869" s="41"/>
      <c r="G869" s="9"/>
      <c r="H869" s="9"/>
      <c r="I869" s="42"/>
      <c r="J869" s="41"/>
      <c r="K869" s="40"/>
      <c r="L869" s="9"/>
      <c r="M869" s="9"/>
      <c r="N869" s="40"/>
      <c r="O869" s="40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40"/>
      <c r="B870" s="9"/>
      <c r="C870" s="9"/>
      <c r="D870" s="9"/>
      <c r="E870" s="9"/>
      <c r="F870" s="41"/>
      <c r="G870" s="9"/>
      <c r="H870" s="9"/>
      <c r="I870" s="42"/>
      <c r="J870" s="41"/>
      <c r="K870" s="40"/>
      <c r="L870" s="9"/>
      <c r="M870" s="9"/>
      <c r="N870" s="40"/>
      <c r="O870" s="40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40"/>
      <c r="B871" s="9"/>
      <c r="C871" s="9"/>
      <c r="D871" s="9"/>
      <c r="E871" s="9"/>
      <c r="F871" s="41"/>
      <c r="G871" s="9"/>
      <c r="H871" s="9"/>
      <c r="I871" s="42"/>
      <c r="J871" s="41"/>
      <c r="K871" s="40"/>
      <c r="L871" s="9"/>
      <c r="M871" s="9"/>
      <c r="N871" s="40"/>
      <c r="O871" s="40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40"/>
      <c r="B872" s="9"/>
      <c r="C872" s="9"/>
      <c r="D872" s="9"/>
      <c r="E872" s="9"/>
      <c r="F872" s="41"/>
      <c r="G872" s="9"/>
      <c r="H872" s="9"/>
      <c r="I872" s="42"/>
      <c r="J872" s="41"/>
      <c r="K872" s="40"/>
      <c r="L872" s="9"/>
      <c r="M872" s="9"/>
      <c r="N872" s="40"/>
      <c r="O872" s="40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40"/>
      <c r="B873" s="9"/>
      <c r="C873" s="9"/>
      <c r="D873" s="9"/>
      <c r="E873" s="9"/>
      <c r="F873" s="41"/>
      <c r="G873" s="9"/>
      <c r="H873" s="9"/>
      <c r="I873" s="42"/>
      <c r="J873" s="41"/>
      <c r="K873" s="40"/>
      <c r="L873" s="9"/>
      <c r="M873" s="9"/>
      <c r="N873" s="40"/>
      <c r="O873" s="40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40"/>
      <c r="B874" s="9"/>
      <c r="C874" s="9"/>
      <c r="D874" s="9"/>
      <c r="E874" s="9"/>
      <c r="F874" s="41"/>
      <c r="G874" s="9"/>
      <c r="H874" s="9"/>
      <c r="I874" s="42"/>
      <c r="J874" s="41"/>
      <c r="K874" s="40"/>
      <c r="L874" s="9"/>
      <c r="M874" s="9"/>
      <c r="N874" s="40"/>
      <c r="O874" s="40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40"/>
      <c r="B875" s="9"/>
      <c r="C875" s="9"/>
      <c r="D875" s="9"/>
      <c r="E875" s="9"/>
      <c r="F875" s="41"/>
      <c r="G875" s="9"/>
      <c r="H875" s="9"/>
      <c r="I875" s="42"/>
      <c r="J875" s="41"/>
      <c r="K875" s="40"/>
      <c r="L875" s="9"/>
      <c r="M875" s="9"/>
      <c r="N875" s="40"/>
      <c r="O875" s="40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40"/>
      <c r="B876" s="9"/>
      <c r="C876" s="9"/>
      <c r="D876" s="9"/>
      <c r="E876" s="9"/>
      <c r="F876" s="41"/>
      <c r="G876" s="9"/>
      <c r="H876" s="9"/>
      <c r="I876" s="42"/>
      <c r="J876" s="41"/>
      <c r="K876" s="40"/>
      <c r="L876" s="9"/>
      <c r="M876" s="9"/>
      <c r="N876" s="40"/>
      <c r="O876" s="40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40"/>
      <c r="B877" s="9"/>
      <c r="C877" s="9"/>
      <c r="D877" s="9"/>
      <c r="E877" s="9"/>
      <c r="F877" s="41"/>
      <c r="G877" s="9"/>
      <c r="H877" s="9"/>
      <c r="I877" s="42"/>
      <c r="J877" s="41"/>
      <c r="K877" s="40"/>
      <c r="L877" s="9"/>
      <c r="M877" s="9"/>
      <c r="N877" s="40"/>
      <c r="O877" s="40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40"/>
      <c r="B878" s="9"/>
      <c r="C878" s="9"/>
      <c r="D878" s="9"/>
      <c r="E878" s="9"/>
      <c r="F878" s="41"/>
      <c r="G878" s="9"/>
      <c r="H878" s="9"/>
      <c r="I878" s="42"/>
      <c r="J878" s="41"/>
      <c r="K878" s="40"/>
      <c r="L878" s="9"/>
      <c r="M878" s="9"/>
      <c r="N878" s="40"/>
      <c r="O878" s="40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40"/>
      <c r="B879" s="9"/>
      <c r="C879" s="9"/>
      <c r="D879" s="9"/>
      <c r="E879" s="9"/>
      <c r="F879" s="41"/>
      <c r="G879" s="9"/>
      <c r="H879" s="9"/>
      <c r="I879" s="42"/>
      <c r="J879" s="41"/>
      <c r="K879" s="40"/>
      <c r="L879" s="9"/>
      <c r="M879" s="9"/>
      <c r="N879" s="40"/>
      <c r="O879" s="40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40"/>
      <c r="B880" s="9"/>
      <c r="C880" s="9"/>
      <c r="D880" s="9"/>
      <c r="E880" s="9"/>
      <c r="F880" s="41"/>
      <c r="G880" s="9"/>
      <c r="H880" s="9"/>
      <c r="I880" s="42"/>
      <c r="J880" s="41"/>
      <c r="K880" s="40"/>
      <c r="L880" s="9"/>
      <c r="M880" s="9"/>
      <c r="N880" s="40"/>
      <c r="O880" s="40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40"/>
      <c r="B881" s="9"/>
      <c r="C881" s="9"/>
      <c r="D881" s="9"/>
      <c r="E881" s="9"/>
      <c r="F881" s="41"/>
      <c r="G881" s="9"/>
      <c r="H881" s="9"/>
      <c r="I881" s="42"/>
      <c r="J881" s="41"/>
      <c r="K881" s="40"/>
      <c r="L881" s="9"/>
      <c r="M881" s="9"/>
      <c r="N881" s="40"/>
      <c r="O881" s="40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40"/>
      <c r="B882" s="9"/>
      <c r="C882" s="9"/>
      <c r="D882" s="9"/>
      <c r="E882" s="9"/>
      <c r="F882" s="41"/>
      <c r="G882" s="9"/>
      <c r="H882" s="9"/>
      <c r="I882" s="42"/>
      <c r="J882" s="41"/>
      <c r="K882" s="40"/>
      <c r="L882" s="9"/>
      <c r="M882" s="9"/>
      <c r="N882" s="40"/>
      <c r="O882" s="40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40"/>
      <c r="B883" s="9"/>
      <c r="C883" s="9"/>
      <c r="D883" s="9"/>
      <c r="E883" s="9"/>
      <c r="F883" s="41"/>
      <c r="G883" s="9"/>
      <c r="H883" s="9"/>
      <c r="I883" s="42"/>
      <c r="J883" s="41"/>
      <c r="K883" s="40"/>
      <c r="L883" s="9"/>
      <c r="M883" s="9"/>
      <c r="N883" s="40"/>
      <c r="O883" s="40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40"/>
      <c r="B884" s="9"/>
      <c r="C884" s="9"/>
      <c r="D884" s="9"/>
      <c r="E884" s="9"/>
      <c r="F884" s="41"/>
      <c r="G884" s="9"/>
      <c r="H884" s="9"/>
      <c r="I884" s="42"/>
      <c r="J884" s="41"/>
      <c r="K884" s="40"/>
      <c r="L884" s="9"/>
      <c r="M884" s="9"/>
      <c r="N884" s="40"/>
      <c r="O884" s="40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40"/>
      <c r="B885" s="9"/>
      <c r="C885" s="9"/>
      <c r="D885" s="9"/>
      <c r="E885" s="9"/>
      <c r="F885" s="41"/>
      <c r="G885" s="9"/>
      <c r="H885" s="9"/>
      <c r="I885" s="42"/>
      <c r="J885" s="41"/>
      <c r="K885" s="40"/>
      <c r="L885" s="9"/>
      <c r="M885" s="9"/>
      <c r="N885" s="40"/>
      <c r="O885" s="40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40"/>
      <c r="B886" s="9"/>
      <c r="C886" s="9"/>
      <c r="D886" s="9"/>
      <c r="E886" s="9"/>
      <c r="F886" s="41"/>
      <c r="G886" s="9"/>
      <c r="H886" s="9"/>
      <c r="I886" s="42"/>
      <c r="J886" s="41"/>
      <c r="K886" s="40"/>
      <c r="L886" s="9"/>
      <c r="M886" s="9"/>
      <c r="N886" s="40"/>
      <c r="O886" s="40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40"/>
      <c r="B887" s="9"/>
      <c r="C887" s="9"/>
      <c r="D887" s="9"/>
      <c r="E887" s="9"/>
      <c r="F887" s="41"/>
      <c r="G887" s="9"/>
      <c r="H887" s="9"/>
      <c r="I887" s="42"/>
      <c r="J887" s="41"/>
      <c r="K887" s="40"/>
      <c r="L887" s="9"/>
      <c r="M887" s="9"/>
      <c r="N887" s="40"/>
      <c r="O887" s="40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40"/>
      <c r="B888" s="9"/>
      <c r="C888" s="9"/>
      <c r="D888" s="9"/>
      <c r="E888" s="9"/>
      <c r="F888" s="41"/>
      <c r="G888" s="9"/>
      <c r="H888" s="9"/>
      <c r="I888" s="42"/>
      <c r="J888" s="41"/>
      <c r="K888" s="40"/>
      <c r="L888" s="9"/>
      <c r="M888" s="9"/>
      <c r="N888" s="40"/>
      <c r="O888" s="40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40"/>
      <c r="B889" s="9"/>
      <c r="C889" s="9"/>
      <c r="D889" s="9"/>
      <c r="E889" s="9"/>
      <c r="F889" s="41"/>
      <c r="G889" s="9"/>
      <c r="H889" s="9"/>
      <c r="I889" s="42"/>
      <c r="J889" s="41"/>
      <c r="K889" s="40"/>
      <c r="L889" s="9"/>
      <c r="M889" s="9"/>
      <c r="N889" s="40"/>
      <c r="O889" s="40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40"/>
      <c r="B890" s="9"/>
      <c r="C890" s="9"/>
      <c r="D890" s="9"/>
      <c r="E890" s="9"/>
      <c r="F890" s="41"/>
      <c r="G890" s="9"/>
      <c r="H890" s="9"/>
      <c r="I890" s="42"/>
      <c r="J890" s="41"/>
      <c r="K890" s="40"/>
      <c r="L890" s="9"/>
      <c r="M890" s="9"/>
      <c r="N890" s="40"/>
      <c r="O890" s="40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40"/>
      <c r="B891" s="9"/>
      <c r="C891" s="9"/>
      <c r="D891" s="9"/>
      <c r="E891" s="9"/>
      <c r="F891" s="41"/>
      <c r="G891" s="9"/>
      <c r="H891" s="9"/>
      <c r="I891" s="42"/>
      <c r="J891" s="41"/>
      <c r="K891" s="40"/>
      <c r="L891" s="9"/>
      <c r="M891" s="9"/>
      <c r="N891" s="40"/>
      <c r="O891" s="40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40"/>
      <c r="B892" s="9"/>
      <c r="C892" s="9"/>
      <c r="D892" s="9"/>
      <c r="E892" s="9"/>
      <c r="F892" s="41"/>
      <c r="G892" s="9"/>
      <c r="H892" s="9"/>
      <c r="I892" s="42"/>
      <c r="J892" s="41"/>
      <c r="K892" s="40"/>
      <c r="L892" s="9"/>
      <c r="M892" s="9"/>
      <c r="N892" s="40"/>
      <c r="O892" s="40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40"/>
      <c r="B893" s="9"/>
      <c r="C893" s="9"/>
      <c r="D893" s="9"/>
      <c r="E893" s="9"/>
      <c r="F893" s="41"/>
      <c r="G893" s="9"/>
      <c r="H893" s="9"/>
      <c r="I893" s="42"/>
      <c r="J893" s="41"/>
      <c r="K893" s="40"/>
      <c r="L893" s="9"/>
      <c r="M893" s="9"/>
      <c r="N893" s="40"/>
      <c r="O893" s="40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40"/>
      <c r="B894" s="9"/>
      <c r="C894" s="9"/>
      <c r="D894" s="9"/>
      <c r="E894" s="9"/>
      <c r="F894" s="41"/>
      <c r="G894" s="9"/>
      <c r="H894" s="9"/>
      <c r="I894" s="42"/>
      <c r="J894" s="41"/>
      <c r="K894" s="40"/>
      <c r="L894" s="9"/>
      <c r="M894" s="9"/>
      <c r="N894" s="40"/>
      <c r="O894" s="40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40"/>
      <c r="B895" s="9"/>
      <c r="C895" s="9"/>
      <c r="D895" s="9"/>
      <c r="E895" s="9"/>
      <c r="F895" s="41"/>
      <c r="G895" s="9"/>
      <c r="H895" s="9"/>
      <c r="I895" s="42"/>
      <c r="J895" s="41"/>
      <c r="K895" s="40"/>
      <c r="L895" s="9"/>
      <c r="M895" s="9"/>
      <c r="N895" s="40"/>
      <c r="O895" s="40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40"/>
      <c r="B896" s="9"/>
      <c r="C896" s="9"/>
      <c r="D896" s="9"/>
      <c r="E896" s="9"/>
      <c r="F896" s="41"/>
      <c r="G896" s="9"/>
      <c r="H896" s="9"/>
      <c r="I896" s="42"/>
      <c r="J896" s="41"/>
      <c r="K896" s="40"/>
      <c r="L896" s="9"/>
      <c r="M896" s="9"/>
      <c r="N896" s="40"/>
      <c r="O896" s="40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40"/>
      <c r="B897" s="9"/>
      <c r="C897" s="9"/>
      <c r="D897" s="9"/>
      <c r="E897" s="9"/>
      <c r="F897" s="41"/>
      <c r="G897" s="9"/>
      <c r="H897" s="9"/>
      <c r="I897" s="42"/>
      <c r="J897" s="41"/>
      <c r="K897" s="40"/>
      <c r="L897" s="9"/>
      <c r="M897" s="9"/>
      <c r="N897" s="40"/>
      <c r="O897" s="40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40"/>
      <c r="B898" s="9"/>
      <c r="C898" s="9"/>
      <c r="D898" s="9"/>
      <c r="E898" s="9"/>
      <c r="F898" s="41"/>
      <c r="G898" s="9"/>
      <c r="H898" s="9"/>
      <c r="I898" s="42"/>
      <c r="J898" s="41"/>
      <c r="K898" s="40"/>
      <c r="L898" s="9"/>
      <c r="M898" s="9"/>
      <c r="N898" s="40"/>
      <c r="O898" s="40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40"/>
      <c r="B899" s="9"/>
      <c r="C899" s="9"/>
      <c r="D899" s="9"/>
      <c r="E899" s="9"/>
      <c r="F899" s="41"/>
      <c r="G899" s="9"/>
      <c r="H899" s="9"/>
      <c r="I899" s="42"/>
      <c r="J899" s="41"/>
      <c r="K899" s="40"/>
      <c r="L899" s="9"/>
      <c r="M899" s="9"/>
      <c r="N899" s="40"/>
      <c r="O899" s="40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40"/>
      <c r="B900" s="9"/>
      <c r="C900" s="9"/>
      <c r="D900" s="9"/>
      <c r="E900" s="9"/>
      <c r="F900" s="41"/>
      <c r="G900" s="9"/>
      <c r="H900" s="9"/>
      <c r="I900" s="42"/>
      <c r="J900" s="41"/>
      <c r="K900" s="40"/>
      <c r="L900" s="9"/>
      <c r="M900" s="9"/>
      <c r="N900" s="40"/>
      <c r="O900" s="40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40"/>
      <c r="B901" s="9"/>
      <c r="C901" s="9"/>
      <c r="D901" s="9"/>
      <c r="E901" s="9"/>
      <c r="F901" s="41"/>
      <c r="G901" s="9"/>
      <c r="H901" s="9"/>
      <c r="I901" s="42"/>
      <c r="J901" s="41"/>
      <c r="K901" s="40"/>
      <c r="L901" s="9"/>
      <c r="M901" s="9"/>
      <c r="N901" s="40"/>
      <c r="O901" s="40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40"/>
      <c r="B902" s="9"/>
      <c r="C902" s="9"/>
      <c r="D902" s="9"/>
      <c r="E902" s="9"/>
      <c r="F902" s="41"/>
      <c r="G902" s="9"/>
      <c r="H902" s="9"/>
      <c r="I902" s="42"/>
      <c r="J902" s="41"/>
      <c r="K902" s="40"/>
      <c r="L902" s="9"/>
      <c r="M902" s="9"/>
      <c r="N902" s="40"/>
      <c r="O902" s="40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40"/>
      <c r="B903" s="9"/>
      <c r="C903" s="9"/>
      <c r="D903" s="9"/>
      <c r="E903" s="9"/>
      <c r="F903" s="41"/>
      <c r="G903" s="9"/>
      <c r="H903" s="9"/>
      <c r="I903" s="42"/>
      <c r="J903" s="41"/>
      <c r="K903" s="40"/>
      <c r="L903" s="9"/>
      <c r="M903" s="9"/>
      <c r="N903" s="40"/>
      <c r="O903" s="40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40"/>
      <c r="B904" s="9"/>
      <c r="C904" s="9"/>
      <c r="D904" s="9"/>
      <c r="E904" s="9"/>
      <c r="F904" s="41"/>
      <c r="G904" s="9"/>
      <c r="H904" s="9"/>
      <c r="I904" s="42"/>
      <c r="J904" s="41"/>
      <c r="K904" s="40"/>
      <c r="L904" s="9"/>
      <c r="M904" s="9"/>
      <c r="N904" s="40"/>
      <c r="O904" s="40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40"/>
      <c r="B905" s="9"/>
      <c r="C905" s="9"/>
      <c r="D905" s="9"/>
      <c r="E905" s="9"/>
      <c r="F905" s="41"/>
      <c r="G905" s="9"/>
      <c r="H905" s="9"/>
      <c r="I905" s="42"/>
      <c r="J905" s="41"/>
      <c r="K905" s="40"/>
      <c r="L905" s="9"/>
      <c r="M905" s="9"/>
      <c r="N905" s="40"/>
      <c r="O905" s="40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40"/>
      <c r="B906" s="9"/>
      <c r="C906" s="9"/>
      <c r="D906" s="9"/>
      <c r="E906" s="9"/>
      <c r="F906" s="41"/>
      <c r="G906" s="9"/>
      <c r="H906" s="9"/>
      <c r="I906" s="42"/>
      <c r="J906" s="41"/>
      <c r="K906" s="40"/>
      <c r="L906" s="9"/>
      <c r="M906" s="9"/>
      <c r="N906" s="40"/>
      <c r="O906" s="40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40"/>
      <c r="B907" s="9"/>
      <c r="C907" s="9"/>
      <c r="D907" s="9"/>
      <c r="E907" s="9"/>
      <c r="F907" s="41"/>
      <c r="G907" s="9"/>
      <c r="H907" s="9"/>
      <c r="I907" s="42"/>
      <c r="J907" s="41"/>
      <c r="K907" s="40"/>
      <c r="L907" s="9"/>
      <c r="M907" s="9"/>
      <c r="N907" s="40"/>
      <c r="O907" s="40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40"/>
      <c r="B908" s="9"/>
      <c r="C908" s="9"/>
      <c r="D908" s="9"/>
      <c r="E908" s="9"/>
      <c r="F908" s="41"/>
      <c r="G908" s="9"/>
      <c r="H908" s="9"/>
      <c r="I908" s="42"/>
      <c r="J908" s="41"/>
      <c r="K908" s="40"/>
      <c r="L908" s="9"/>
      <c r="M908" s="9"/>
      <c r="N908" s="40"/>
      <c r="O908" s="40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40"/>
      <c r="B909" s="9"/>
      <c r="C909" s="9"/>
      <c r="D909" s="9"/>
      <c r="E909" s="9"/>
      <c r="F909" s="41"/>
      <c r="G909" s="9"/>
      <c r="H909" s="9"/>
      <c r="I909" s="42"/>
      <c r="J909" s="41"/>
      <c r="K909" s="40"/>
      <c r="L909" s="9"/>
      <c r="M909" s="9"/>
      <c r="N909" s="40"/>
      <c r="O909" s="40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40"/>
      <c r="B910" s="9"/>
      <c r="C910" s="9"/>
      <c r="D910" s="9"/>
      <c r="E910" s="9"/>
      <c r="F910" s="41"/>
      <c r="G910" s="9"/>
      <c r="H910" s="9"/>
      <c r="I910" s="42"/>
      <c r="J910" s="41"/>
      <c r="K910" s="40"/>
      <c r="L910" s="9"/>
      <c r="M910" s="9"/>
      <c r="N910" s="40"/>
      <c r="O910" s="40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40"/>
      <c r="B911" s="9"/>
      <c r="C911" s="9"/>
      <c r="D911" s="9"/>
      <c r="E911" s="9"/>
      <c r="F911" s="41"/>
      <c r="G911" s="9"/>
      <c r="H911" s="9"/>
      <c r="I911" s="42"/>
      <c r="J911" s="41"/>
      <c r="K911" s="40"/>
      <c r="L911" s="9"/>
      <c r="M911" s="9"/>
      <c r="N911" s="40"/>
      <c r="O911" s="40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40"/>
      <c r="B912" s="9"/>
      <c r="C912" s="9"/>
      <c r="D912" s="9"/>
      <c r="E912" s="9"/>
      <c r="F912" s="41"/>
      <c r="G912" s="9"/>
      <c r="H912" s="9"/>
      <c r="I912" s="42"/>
      <c r="J912" s="41"/>
      <c r="K912" s="40"/>
      <c r="L912" s="9"/>
      <c r="M912" s="9"/>
      <c r="N912" s="40"/>
      <c r="O912" s="40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40"/>
      <c r="B913" s="9"/>
      <c r="C913" s="9"/>
      <c r="D913" s="9"/>
      <c r="E913" s="9"/>
      <c r="F913" s="41"/>
      <c r="G913" s="9"/>
      <c r="H913" s="9"/>
      <c r="I913" s="42"/>
      <c r="J913" s="41"/>
      <c r="K913" s="40"/>
      <c r="L913" s="9"/>
      <c r="M913" s="9"/>
      <c r="N913" s="40"/>
      <c r="O913" s="40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40"/>
      <c r="B914" s="9"/>
      <c r="C914" s="9"/>
      <c r="D914" s="9"/>
      <c r="E914" s="9"/>
      <c r="F914" s="41"/>
      <c r="G914" s="9"/>
      <c r="H914" s="9"/>
      <c r="I914" s="42"/>
      <c r="J914" s="41"/>
      <c r="K914" s="40"/>
      <c r="L914" s="9"/>
      <c r="M914" s="9"/>
      <c r="N914" s="40"/>
      <c r="O914" s="40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40"/>
      <c r="B915" s="9"/>
      <c r="C915" s="9"/>
      <c r="D915" s="9"/>
      <c r="E915" s="9"/>
      <c r="F915" s="41"/>
      <c r="G915" s="9"/>
      <c r="H915" s="9"/>
      <c r="I915" s="42"/>
      <c r="J915" s="41"/>
      <c r="K915" s="40"/>
      <c r="L915" s="9"/>
      <c r="M915" s="9"/>
      <c r="N915" s="40"/>
      <c r="O915" s="40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40"/>
      <c r="B916" s="9"/>
      <c r="C916" s="9"/>
      <c r="D916" s="9"/>
      <c r="E916" s="9"/>
      <c r="F916" s="41"/>
      <c r="G916" s="9"/>
      <c r="H916" s="9"/>
      <c r="I916" s="42"/>
      <c r="J916" s="41"/>
      <c r="K916" s="40"/>
      <c r="L916" s="9"/>
      <c r="M916" s="9"/>
      <c r="N916" s="40"/>
      <c r="O916" s="40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40"/>
      <c r="B917" s="9"/>
      <c r="C917" s="9"/>
      <c r="D917" s="9"/>
      <c r="E917" s="9"/>
      <c r="F917" s="41"/>
      <c r="G917" s="9"/>
      <c r="H917" s="9"/>
      <c r="I917" s="42"/>
      <c r="J917" s="41"/>
      <c r="K917" s="40"/>
      <c r="L917" s="9"/>
      <c r="M917" s="9"/>
      <c r="N917" s="40"/>
      <c r="O917" s="40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40"/>
      <c r="B918" s="9"/>
      <c r="C918" s="9"/>
      <c r="D918" s="9"/>
      <c r="E918" s="9"/>
      <c r="F918" s="41"/>
      <c r="G918" s="9"/>
      <c r="H918" s="9"/>
      <c r="I918" s="42"/>
      <c r="J918" s="41"/>
      <c r="K918" s="40"/>
      <c r="L918" s="9"/>
      <c r="M918" s="9"/>
      <c r="N918" s="40"/>
      <c r="O918" s="40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40"/>
      <c r="B919" s="9"/>
      <c r="C919" s="9"/>
      <c r="D919" s="9"/>
      <c r="E919" s="9"/>
      <c r="F919" s="41"/>
      <c r="G919" s="9"/>
      <c r="H919" s="9"/>
      <c r="I919" s="42"/>
      <c r="J919" s="41"/>
      <c r="K919" s="40"/>
      <c r="L919" s="9"/>
      <c r="M919" s="9"/>
      <c r="N919" s="40"/>
      <c r="O919" s="40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40"/>
      <c r="B920" s="9"/>
      <c r="C920" s="9"/>
      <c r="D920" s="9"/>
      <c r="E920" s="9"/>
      <c r="F920" s="41"/>
      <c r="G920" s="9"/>
      <c r="H920" s="9"/>
      <c r="I920" s="42"/>
      <c r="J920" s="41"/>
      <c r="K920" s="40"/>
      <c r="L920" s="9"/>
      <c r="M920" s="9"/>
      <c r="N920" s="40"/>
      <c r="O920" s="40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40"/>
      <c r="B921" s="9"/>
      <c r="C921" s="9"/>
      <c r="D921" s="9"/>
      <c r="E921" s="9"/>
      <c r="F921" s="41"/>
      <c r="G921" s="9"/>
      <c r="H921" s="9"/>
      <c r="I921" s="42"/>
      <c r="J921" s="41"/>
      <c r="K921" s="40"/>
      <c r="L921" s="9"/>
      <c r="M921" s="9"/>
      <c r="N921" s="40"/>
      <c r="O921" s="40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40"/>
      <c r="B922" s="9"/>
      <c r="C922" s="9"/>
      <c r="D922" s="9"/>
      <c r="E922" s="9"/>
      <c r="F922" s="41"/>
      <c r="G922" s="9"/>
      <c r="H922" s="9"/>
      <c r="I922" s="42"/>
      <c r="J922" s="41"/>
      <c r="K922" s="40"/>
      <c r="L922" s="9"/>
      <c r="M922" s="9"/>
      <c r="N922" s="40"/>
      <c r="O922" s="40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40"/>
      <c r="B923" s="9"/>
      <c r="C923" s="9"/>
      <c r="D923" s="9"/>
      <c r="E923" s="9"/>
      <c r="F923" s="41"/>
      <c r="G923" s="9"/>
      <c r="H923" s="9"/>
      <c r="I923" s="42"/>
      <c r="J923" s="41"/>
      <c r="K923" s="40"/>
      <c r="L923" s="9"/>
      <c r="M923" s="9"/>
      <c r="N923" s="40"/>
      <c r="O923" s="40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40"/>
      <c r="B924" s="9"/>
      <c r="C924" s="9"/>
      <c r="D924" s="9"/>
      <c r="E924" s="9"/>
      <c r="F924" s="41"/>
      <c r="G924" s="9"/>
      <c r="H924" s="9"/>
      <c r="I924" s="42"/>
      <c r="J924" s="41"/>
      <c r="K924" s="40"/>
      <c r="L924" s="9"/>
      <c r="M924" s="9"/>
      <c r="N924" s="40"/>
      <c r="O924" s="40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40"/>
      <c r="B925" s="9"/>
      <c r="C925" s="9"/>
      <c r="D925" s="9"/>
      <c r="E925" s="9"/>
      <c r="F925" s="41"/>
      <c r="G925" s="9"/>
      <c r="H925" s="9"/>
      <c r="I925" s="42"/>
      <c r="J925" s="41"/>
      <c r="K925" s="40"/>
      <c r="L925" s="9"/>
      <c r="M925" s="9"/>
      <c r="N925" s="40"/>
      <c r="O925" s="40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40"/>
      <c r="B926" s="9"/>
      <c r="C926" s="9"/>
      <c r="D926" s="9"/>
      <c r="E926" s="9"/>
      <c r="F926" s="41"/>
      <c r="G926" s="9"/>
      <c r="H926" s="9"/>
      <c r="I926" s="42"/>
      <c r="J926" s="41"/>
      <c r="K926" s="40"/>
      <c r="L926" s="9"/>
      <c r="M926" s="9"/>
      <c r="N926" s="40"/>
      <c r="O926" s="40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40"/>
      <c r="B927" s="9"/>
      <c r="C927" s="9"/>
      <c r="D927" s="9"/>
      <c r="E927" s="9"/>
      <c r="F927" s="41"/>
      <c r="G927" s="9"/>
      <c r="H927" s="9"/>
      <c r="I927" s="42"/>
      <c r="J927" s="41"/>
      <c r="K927" s="40"/>
      <c r="L927" s="9"/>
      <c r="M927" s="9"/>
      <c r="N927" s="40"/>
      <c r="O927" s="40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40"/>
      <c r="B928" s="9"/>
      <c r="C928" s="9"/>
      <c r="D928" s="9"/>
      <c r="E928" s="9"/>
      <c r="F928" s="41"/>
      <c r="G928" s="9"/>
      <c r="H928" s="9"/>
      <c r="I928" s="42"/>
      <c r="J928" s="41"/>
      <c r="K928" s="40"/>
      <c r="L928" s="9"/>
      <c r="M928" s="9"/>
      <c r="N928" s="40"/>
      <c r="O928" s="40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40"/>
      <c r="B929" s="9"/>
      <c r="C929" s="9"/>
      <c r="D929" s="9"/>
      <c r="E929" s="9"/>
      <c r="F929" s="41"/>
      <c r="G929" s="9"/>
      <c r="H929" s="9"/>
      <c r="I929" s="42"/>
      <c r="J929" s="41"/>
      <c r="K929" s="40"/>
      <c r="L929" s="9"/>
      <c r="M929" s="9"/>
      <c r="N929" s="40"/>
      <c r="O929" s="40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40"/>
      <c r="B930" s="9"/>
      <c r="C930" s="9"/>
      <c r="D930" s="9"/>
      <c r="E930" s="9"/>
      <c r="F930" s="41"/>
      <c r="G930" s="9"/>
      <c r="H930" s="9"/>
      <c r="I930" s="42"/>
      <c r="J930" s="41"/>
      <c r="K930" s="40"/>
      <c r="L930" s="9"/>
      <c r="M930" s="9"/>
      <c r="N930" s="40"/>
      <c r="O930" s="40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40"/>
      <c r="B931" s="9"/>
      <c r="C931" s="9"/>
      <c r="D931" s="9"/>
      <c r="E931" s="9"/>
      <c r="F931" s="41"/>
      <c r="G931" s="9"/>
      <c r="H931" s="9"/>
      <c r="I931" s="42"/>
      <c r="J931" s="41"/>
      <c r="K931" s="40"/>
      <c r="L931" s="9"/>
      <c r="M931" s="9"/>
      <c r="N931" s="40"/>
      <c r="O931" s="40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40"/>
      <c r="B932" s="9"/>
      <c r="C932" s="9"/>
      <c r="D932" s="9"/>
      <c r="E932" s="9"/>
      <c r="F932" s="41"/>
      <c r="G932" s="9"/>
      <c r="H932" s="9"/>
      <c r="I932" s="42"/>
      <c r="J932" s="41"/>
      <c r="K932" s="40"/>
      <c r="L932" s="9"/>
      <c r="M932" s="9"/>
      <c r="N932" s="40"/>
      <c r="O932" s="40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40"/>
      <c r="B933" s="9"/>
      <c r="C933" s="9"/>
      <c r="D933" s="9"/>
      <c r="E933" s="9"/>
      <c r="F933" s="41"/>
      <c r="G933" s="9"/>
      <c r="H933" s="9"/>
      <c r="I933" s="42"/>
      <c r="J933" s="41"/>
      <c r="K933" s="40"/>
      <c r="L933" s="9"/>
      <c r="M933" s="9"/>
      <c r="N933" s="40"/>
      <c r="O933" s="40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40"/>
      <c r="B934" s="9"/>
      <c r="C934" s="9"/>
      <c r="D934" s="9"/>
      <c r="E934" s="9"/>
      <c r="F934" s="41"/>
      <c r="G934" s="9"/>
      <c r="H934" s="9"/>
      <c r="I934" s="42"/>
      <c r="J934" s="41"/>
      <c r="K934" s="40"/>
      <c r="L934" s="9"/>
      <c r="M934" s="9"/>
      <c r="N934" s="40"/>
      <c r="O934" s="40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40"/>
      <c r="B935" s="9"/>
      <c r="C935" s="9"/>
      <c r="D935" s="9"/>
      <c r="E935" s="9"/>
      <c r="F935" s="41"/>
      <c r="G935" s="9"/>
      <c r="H935" s="9"/>
      <c r="I935" s="42"/>
      <c r="J935" s="41"/>
      <c r="K935" s="40"/>
      <c r="L935" s="9"/>
      <c r="M935" s="9"/>
      <c r="N935" s="40"/>
      <c r="O935" s="40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40"/>
      <c r="B936" s="9"/>
      <c r="C936" s="9"/>
      <c r="D936" s="9"/>
      <c r="E936" s="9"/>
      <c r="F936" s="41"/>
      <c r="G936" s="9"/>
      <c r="H936" s="9"/>
      <c r="I936" s="42"/>
      <c r="J936" s="41"/>
      <c r="K936" s="40"/>
      <c r="L936" s="9"/>
      <c r="M936" s="9"/>
      <c r="N936" s="40"/>
      <c r="O936" s="40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40"/>
      <c r="B937" s="9"/>
      <c r="C937" s="9"/>
      <c r="D937" s="9"/>
      <c r="E937" s="9"/>
      <c r="F937" s="41"/>
      <c r="G937" s="9"/>
      <c r="H937" s="9"/>
      <c r="I937" s="42"/>
      <c r="J937" s="41"/>
      <c r="K937" s="40"/>
      <c r="L937" s="9"/>
      <c r="M937" s="9"/>
      <c r="N937" s="40"/>
      <c r="O937" s="40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40"/>
      <c r="B938" s="9"/>
      <c r="C938" s="9"/>
      <c r="D938" s="9"/>
      <c r="E938" s="9"/>
      <c r="F938" s="41"/>
      <c r="G938" s="9"/>
      <c r="H938" s="9"/>
      <c r="I938" s="42"/>
      <c r="J938" s="41"/>
      <c r="K938" s="40"/>
      <c r="L938" s="9"/>
      <c r="M938" s="9"/>
      <c r="N938" s="40"/>
      <c r="O938" s="40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40"/>
      <c r="B939" s="9"/>
      <c r="C939" s="9"/>
      <c r="D939" s="9"/>
      <c r="E939" s="9"/>
      <c r="F939" s="41"/>
      <c r="G939" s="9"/>
      <c r="H939" s="9"/>
      <c r="I939" s="42"/>
      <c r="J939" s="41"/>
      <c r="K939" s="40"/>
      <c r="L939" s="9"/>
      <c r="M939" s="9"/>
      <c r="N939" s="40"/>
      <c r="O939" s="40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40"/>
      <c r="B940" s="9"/>
      <c r="C940" s="9"/>
      <c r="D940" s="9"/>
      <c r="E940" s="9"/>
      <c r="F940" s="41"/>
      <c r="G940" s="9"/>
      <c r="H940" s="9"/>
      <c r="I940" s="42"/>
      <c r="J940" s="41"/>
      <c r="K940" s="40"/>
      <c r="L940" s="9"/>
      <c r="M940" s="9"/>
      <c r="N940" s="40"/>
      <c r="O940" s="40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40"/>
      <c r="B941" s="9"/>
      <c r="C941" s="9"/>
      <c r="D941" s="9"/>
      <c r="E941" s="9"/>
      <c r="F941" s="41"/>
      <c r="G941" s="9"/>
      <c r="H941" s="9"/>
      <c r="I941" s="42"/>
      <c r="J941" s="41"/>
      <c r="K941" s="40"/>
      <c r="L941" s="9"/>
      <c r="M941" s="9"/>
      <c r="N941" s="40"/>
      <c r="O941" s="40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40"/>
      <c r="B942" s="9"/>
      <c r="C942" s="9"/>
      <c r="D942" s="9"/>
      <c r="E942" s="9"/>
      <c r="F942" s="41"/>
      <c r="G942" s="9"/>
      <c r="H942" s="9"/>
      <c r="I942" s="42"/>
      <c r="J942" s="41"/>
      <c r="K942" s="40"/>
      <c r="L942" s="9"/>
      <c r="M942" s="9"/>
      <c r="N942" s="40"/>
      <c r="O942" s="40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40"/>
      <c r="B943" s="9"/>
      <c r="C943" s="9"/>
      <c r="D943" s="9"/>
      <c r="E943" s="9"/>
      <c r="F943" s="41"/>
      <c r="G943" s="9"/>
      <c r="H943" s="9"/>
      <c r="I943" s="42"/>
      <c r="J943" s="41"/>
      <c r="K943" s="40"/>
      <c r="L943" s="9"/>
      <c r="M943" s="9"/>
      <c r="N943" s="40"/>
      <c r="O943" s="40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40"/>
      <c r="B944" s="9"/>
      <c r="C944" s="9"/>
      <c r="D944" s="9"/>
      <c r="E944" s="9"/>
      <c r="F944" s="41"/>
      <c r="G944" s="9"/>
      <c r="H944" s="9"/>
      <c r="I944" s="42"/>
      <c r="J944" s="41"/>
      <c r="K944" s="40"/>
      <c r="L944" s="9"/>
      <c r="M944" s="9"/>
      <c r="N944" s="40"/>
      <c r="O944" s="40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40"/>
      <c r="B945" s="9"/>
      <c r="C945" s="9"/>
      <c r="D945" s="9"/>
      <c r="E945" s="9"/>
      <c r="F945" s="41"/>
      <c r="G945" s="9"/>
      <c r="H945" s="9"/>
      <c r="I945" s="42"/>
      <c r="J945" s="41"/>
      <c r="K945" s="40"/>
      <c r="L945" s="9"/>
      <c r="M945" s="9"/>
      <c r="N945" s="40"/>
      <c r="O945" s="40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40"/>
      <c r="B946" s="9"/>
      <c r="C946" s="9"/>
      <c r="D946" s="9"/>
      <c r="E946" s="9"/>
      <c r="F946" s="41"/>
      <c r="G946" s="9"/>
      <c r="H946" s="9"/>
      <c r="I946" s="42"/>
      <c r="J946" s="41"/>
      <c r="K946" s="40"/>
      <c r="L946" s="9"/>
      <c r="M946" s="9"/>
      <c r="N946" s="40"/>
      <c r="O946" s="40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40"/>
      <c r="B947" s="9"/>
      <c r="C947" s="9"/>
      <c r="D947" s="9"/>
      <c r="E947" s="9"/>
      <c r="F947" s="41"/>
      <c r="G947" s="9"/>
      <c r="H947" s="9"/>
      <c r="I947" s="42"/>
      <c r="J947" s="41"/>
      <c r="K947" s="40"/>
      <c r="L947" s="9"/>
      <c r="M947" s="9"/>
      <c r="N947" s="40"/>
      <c r="O947" s="40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40"/>
      <c r="B948" s="9"/>
      <c r="C948" s="9"/>
      <c r="D948" s="9"/>
      <c r="E948" s="9"/>
      <c r="F948" s="41"/>
      <c r="G948" s="9"/>
      <c r="H948" s="9"/>
      <c r="I948" s="42"/>
      <c r="J948" s="41"/>
      <c r="K948" s="40"/>
      <c r="L948" s="9"/>
      <c r="M948" s="9"/>
      <c r="N948" s="40"/>
      <c r="O948" s="40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40"/>
      <c r="B949" s="9"/>
      <c r="C949" s="9"/>
      <c r="D949" s="9"/>
      <c r="E949" s="9"/>
      <c r="F949" s="41"/>
      <c r="G949" s="9"/>
      <c r="H949" s="9"/>
      <c r="I949" s="42"/>
      <c r="J949" s="41"/>
      <c r="K949" s="40"/>
      <c r="L949" s="9"/>
      <c r="M949" s="9"/>
      <c r="N949" s="40"/>
      <c r="O949" s="40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40"/>
      <c r="B950" s="9"/>
      <c r="C950" s="9"/>
      <c r="D950" s="9"/>
      <c r="E950" s="9"/>
      <c r="F950" s="41"/>
      <c r="G950" s="9"/>
      <c r="H950" s="9"/>
      <c r="I950" s="42"/>
      <c r="J950" s="41"/>
      <c r="K950" s="40"/>
      <c r="L950" s="9"/>
      <c r="M950" s="9"/>
      <c r="N950" s="40"/>
      <c r="O950" s="40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40"/>
      <c r="B951" s="9"/>
      <c r="C951" s="9"/>
      <c r="D951" s="9"/>
      <c r="E951" s="9"/>
      <c r="F951" s="41"/>
      <c r="G951" s="9"/>
      <c r="H951" s="9"/>
      <c r="I951" s="42"/>
      <c r="J951" s="41"/>
      <c r="K951" s="40"/>
      <c r="L951" s="9"/>
      <c r="M951" s="9"/>
      <c r="N951" s="40"/>
      <c r="O951" s="40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40"/>
      <c r="B952" s="9"/>
      <c r="C952" s="9"/>
      <c r="D952" s="9"/>
      <c r="E952" s="9"/>
      <c r="F952" s="41"/>
      <c r="G952" s="9"/>
      <c r="H952" s="9"/>
      <c r="I952" s="42"/>
      <c r="J952" s="41"/>
      <c r="K952" s="40"/>
      <c r="L952" s="9"/>
      <c r="M952" s="9"/>
      <c r="N952" s="40"/>
      <c r="O952" s="40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40"/>
      <c r="B953" s="9"/>
      <c r="C953" s="9"/>
      <c r="D953" s="9"/>
      <c r="E953" s="9"/>
      <c r="F953" s="41"/>
      <c r="G953" s="9"/>
      <c r="H953" s="9"/>
      <c r="I953" s="42"/>
      <c r="J953" s="41"/>
      <c r="K953" s="40"/>
      <c r="L953" s="9"/>
      <c r="M953" s="9"/>
      <c r="N953" s="40"/>
      <c r="O953" s="40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40"/>
      <c r="B954" s="9"/>
      <c r="C954" s="9"/>
      <c r="D954" s="9"/>
      <c r="E954" s="9"/>
      <c r="F954" s="41"/>
      <c r="G954" s="9"/>
      <c r="H954" s="9"/>
      <c r="I954" s="42"/>
      <c r="J954" s="41"/>
      <c r="K954" s="40"/>
      <c r="L954" s="9"/>
      <c r="M954" s="9"/>
      <c r="N954" s="40"/>
      <c r="O954" s="40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40"/>
      <c r="B955" s="9"/>
      <c r="C955" s="9"/>
      <c r="D955" s="9"/>
      <c r="E955" s="9"/>
      <c r="F955" s="41"/>
      <c r="G955" s="9"/>
      <c r="H955" s="9"/>
      <c r="I955" s="42"/>
      <c r="J955" s="41"/>
      <c r="K955" s="40"/>
      <c r="L955" s="9"/>
      <c r="M955" s="9"/>
      <c r="N955" s="40"/>
      <c r="O955" s="40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40"/>
      <c r="B956" s="9"/>
      <c r="C956" s="9"/>
      <c r="D956" s="9"/>
      <c r="E956" s="9"/>
      <c r="F956" s="41"/>
      <c r="G956" s="9"/>
      <c r="H956" s="9"/>
      <c r="I956" s="42"/>
      <c r="J956" s="41"/>
      <c r="K956" s="40"/>
      <c r="L956" s="9"/>
      <c r="M956" s="9"/>
      <c r="N956" s="40"/>
      <c r="O956" s="40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40"/>
      <c r="B957" s="9"/>
      <c r="C957" s="9"/>
      <c r="D957" s="9"/>
      <c r="E957" s="9"/>
      <c r="F957" s="41"/>
      <c r="G957" s="9"/>
      <c r="H957" s="9"/>
      <c r="I957" s="42"/>
      <c r="J957" s="41"/>
      <c r="K957" s="40"/>
      <c r="L957" s="9"/>
      <c r="M957" s="9"/>
      <c r="N957" s="40"/>
      <c r="O957" s="40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40"/>
      <c r="B958" s="9"/>
      <c r="C958" s="9"/>
      <c r="D958" s="9"/>
      <c r="E958" s="9"/>
      <c r="F958" s="41"/>
      <c r="G958" s="9"/>
      <c r="H958" s="9"/>
      <c r="I958" s="42"/>
      <c r="J958" s="41"/>
      <c r="K958" s="40"/>
      <c r="L958" s="9"/>
      <c r="M958" s="9"/>
      <c r="N958" s="40"/>
      <c r="O958" s="40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40"/>
      <c r="B959" s="9"/>
      <c r="C959" s="9"/>
      <c r="D959" s="9"/>
      <c r="E959" s="9"/>
      <c r="F959" s="41"/>
      <c r="G959" s="9"/>
      <c r="H959" s="9"/>
      <c r="I959" s="42"/>
      <c r="J959" s="41"/>
      <c r="K959" s="40"/>
      <c r="L959" s="9"/>
      <c r="M959" s="9"/>
      <c r="N959" s="40"/>
      <c r="O959" s="40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40"/>
      <c r="B960" s="9"/>
      <c r="C960" s="9"/>
      <c r="D960" s="9"/>
      <c r="E960" s="9"/>
      <c r="F960" s="41"/>
      <c r="G960" s="9"/>
      <c r="H960" s="9"/>
      <c r="I960" s="42"/>
      <c r="J960" s="41"/>
      <c r="K960" s="40"/>
      <c r="L960" s="9"/>
      <c r="M960" s="9"/>
      <c r="N960" s="40"/>
      <c r="O960" s="40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40"/>
      <c r="B961" s="9"/>
      <c r="C961" s="9"/>
      <c r="D961" s="9"/>
      <c r="E961" s="9"/>
      <c r="F961" s="41"/>
      <c r="G961" s="9"/>
      <c r="H961" s="9"/>
      <c r="I961" s="42"/>
      <c r="J961" s="41"/>
      <c r="K961" s="40"/>
      <c r="L961" s="9"/>
      <c r="M961" s="9"/>
      <c r="N961" s="40"/>
      <c r="O961" s="40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40"/>
      <c r="B962" s="9"/>
      <c r="C962" s="9"/>
      <c r="D962" s="9"/>
      <c r="E962" s="9"/>
      <c r="F962" s="41"/>
      <c r="G962" s="9"/>
      <c r="H962" s="9"/>
      <c r="I962" s="42"/>
      <c r="J962" s="41"/>
      <c r="K962" s="40"/>
      <c r="L962" s="9"/>
      <c r="M962" s="9"/>
      <c r="N962" s="40"/>
      <c r="O962" s="40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40"/>
      <c r="B963" s="9"/>
      <c r="C963" s="9"/>
      <c r="D963" s="9"/>
      <c r="E963" s="9"/>
      <c r="F963" s="41"/>
      <c r="G963" s="9"/>
      <c r="H963" s="9"/>
      <c r="I963" s="42"/>
      <c r="J963" s="41"/>
      <c r="K963" s="40"/>
      <c r="L963" s="9"/>
      <c r="M963" s="9"/>
      <c r="N963" s="40"/>
      <c r="O963" s="40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40"/>
      <c r="B964" s="9"/>
      <c r="C964" s="9"/>
      <c r="D964" s="9"/>
      <c r="E964" s="9"/>
      <c r="F964" s="41"/>
      <c r="G964" s="9"/>
      <c r="H964" s="9"/>
      <c r="I964" s="42"/>
      <c r="J964" s="41"/>
      <c r="K964" s="40"/>
      <c r="L964" s="9"/>
      <c r="M964" s="9"/>
      <c r="N964" s="40"/>
      <c r="O964" s="40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40"/>
      <c r="B965" s="9"/>
      <c r="C965" s="9"/>
      <c r="D965" s="9"/>
      <c r="E965" s="9"/>
      <c r="F965" s="41"/>
      <c r="G965" s="9"/>
      <c r="H965" s="9"/>
      <c r="I965" s="42"/>
      <c r="J965" s="41"/>
      <c r="K965" s="40"/>
      <c r="L965" s="9"/>
      <c r="M965" s="9"/>
      <c r="N965" s="40"/>
      <c r="O965" s="40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40"/>
      <c r="B966" s="9"/>
      <c r="C966" s="9"/>
      <c r="D966" s="9"/>
      <c r="E966" s="9"/>
      <c r="F966" s="41"/>
      <c r="G966" s="9"/>
      <c r="H966" s="9"/>
      <c r="I966" s="42"/>
      <c r="J966" s="41"/>
      <c r="K966" s="40"/>
      <c r="L966" s="9"/>
      <c r="M966" s="9"/>
      <c r="N966" s="40"/>
      <c r="O966" s="40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40"/>
      <c r="B967" s="9"/>
      <c r="C967" s="9"/>
      <c r="D967" s="9"/>
      <c r="E967" s="9"/>
      <c r="F967" s="41"/>
      <c r="G967" s="9"/>
      <c r="H967" s="9"/>
      <c r="I967" s="42"/>
      <c r="J967" s="41"/>
      <c r="K967" s="40"/>
      <c r="L967" s="9"/>
      <c r="M967" s="9"/>
      <c r="N967" s="40"/>
      <c r="O967" s="40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40"/>
      <c r="B968" s="9"/>
      <c r="C968" s="9"/>
      <c r="D968" s="9"/>
      <c r="E968" s="9"/>
      <c r="F968" s="41"/>
      <c r="G968" s="9"/>
      <c r="H968" s="9"/>
      <c r="I968" s="42"/>
      <c r="J968" s="41"/>
      <c r="K968" s="40"/>
      <c r="L968" s="9"/>
      <c r="M968" s="9"/>
      <c r="N968" s="40"/>
      <c r="O968" s="40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40"/>
      <c r="B969" s="9"/>
      <c r="C969" s="9"/>
      <c r="D969" s="9"/>
      <c r="E969" s="9"/>
      <c r="F969" s="41"/>
      <c r="G969" s="9"/>
      <c r="H969" s="9"/>
      <c r="I969" s="42"/>
      <c r="J969" s="41"/>
      <c r="K969" s="40"/>
      <c r="L969" s="9"/>
      <c r="M969" s="9"/>
      <c r="N969" s="40"/>
      <c r="O969" s="40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40"/>
      <c r="B970" s="9"/>
      <c r="C970" s="9"/>
      <c r="D970" s="9"/>
      <c r="E970" s="9"/>
      <c r="F970" s="41"/>
      <c r="G970" s="9"/>
      <c r="H970" s="9"/>
      <c r="I970" s="42"/>
      <c r="J970" s="41"/>
      <c r="K970" s="40"/>
      <c r="L970" s="9"/>
      <c r="M970" s="9"/>
      <c r="N970" s="40"/>
      <c r="O970" s="40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40"/>
      <c r="B971" s="9"/>
      <c r="C971" s="9"/>
      <c r="D971" s="9"/>
      <c r="E971" s="9"/>
      <c r="F971" s="41"/>
      <c r="G971" s="9"/>
      <c r="H971" s="9"/>
      <c r="I971" s="42"/>
      <c r="J971" s="41"/>
      <c r="K971" s="40"/>
      <c r="L971" s="9"/>
      <c r="M971" s="9"/>
      <c r="N971" s="40"/>
      <c r="O971" s="40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40"/>
      <c r="B972" s="9"/>
      <c r="C972" s="9"/>
      <c r="D972" s="9"/>
      <c r="E972" s="9"/>
      <c r="F972" s="41"/>
      <c r="G972" s="9"/>
      <c r="H972" s="9"/>
      <c r="I972" s="42"/>
      <c r="J972" s="41"/>
      <c r="K972" s="40"/>
      <c r="L972" s="9"/>
      <c r="M972" s="9"/>
      <c r="N972" s="40"/>
      <c r="O972" s="40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40"/>
      <c r="B973" s="9"/>
      <c r="C973" s="9"/>
      <c r="D973" s="9"/>
      <c r="E973" s="9"/>
      <c r="F973" s="41"/>
      <c r="G973" s="9"/>
      <c r="H973" s="9"/>
      <c r="I973" s="42"/>
      <c r="J973" s="41"/>
      <c r="K973" s="40"/>
      <c r="L973" s="9"/>
      <c r="M973" s="9"/>
      <c r="N973" s="40"/>
      <c r="O973" s="40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40"/>
      <c r="B974" s="9"/>
      <c r="C974" s="9"/>
      <c r="D974" s="9"/>
      <c r="E974" s="9"/>
      <c r="F974" s="41"/>
      <c r="G974" s="9"/>
      <c r="H974" s="9"/>
      <c r="I974" s="42"/>
      <c r="J974" s="41"/>
      <c r="K974" s="40"/>
      <c r="L974" s="9"/>
      <c r="M974" s="9"/>
      <c r="N974" s="40"/>
      <c r="O974" s="40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40"/>
      <c r="B975" s="9"/>
      <c r="C975" s="9"/>
      <c r="D975" s="9"/>
      <c r="E975" s="9"/>
      <c r="F975" s="41"/>
      <c r="G975" s="9"/>
      <c r="H975" s="9"/>
      <c r="I975" s="42"/>
      <c r="J975" s="41"/>
      <c r="K975" s="40"/>
      <c r="L975" s="9"/>
      <c r="M975" s="9"/>
      <c r="N975" s="40"/>
      <c r="O975" s="40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40"/>
      <c r="B976" s="9"/>
      <c r="C976" s="9"/>
      <c r="D976" s="9"/>
      <c r="E976" s="9"/>
      <c r="F976" s="41"/>
      <c r="G976" s="9"/>
      <c r="H976" s="9"/>
      <c r="I976" s="42"/>
      <c r="J976" s="41"/>
      <c r="K976" s="40"/>
      <c r="L976" s="9"/>
      <c r="M976" s="9"/>
      <c r="N976" s="40"/>
      <c r="O976" s="40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40"/>
      <c r="B977" s="9"/>
      <c r="C977" s="9"/>
      <c r="D977" s="9"/>
      <c r="E977" s="9"/>
      <c r="F977" s="41"/>
      <c r="G977" s="9"/>
      <c r="H977" s="9"/>
      <c r="I977" s="42"/>
      <c r="J977" s="41"/>
      <c r="K977" s="40"/>
      <c r="L977" s="9"/>
      <c r="M977" s="9"/>
      <c r="N977" s="40"/>
      <c r="O977" s="40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40"/>
      <c r="B978" s="9"/>
      <c r="C978" s="9"/>
      <c r="D978" s="9"/>
      <c r="E978" s="9"/>
      <c r="F978" s="41"/>
      <c r="G978" s="9"/>
      <c r="H978" s="9"/>
      <c r="I978" s="42"/>
      <c r="J978" s="41"/>
      <c r="K978" s="40"/>
      <c r="L978" s="9"/>
      <c r="M978" s="9"/>
      <c r="N978" s="40"/>
      <c r="O978" s="40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40"/>
      <c r="B979" s="9"/>
      <c r="C979" s="9"/>
      <c r="D979" s="9"/>
      <c r="E979" s="9"/>
      <c r="F979" s="41"/>
      <c r="G979" s="9"/>
      <c r="H979" s="9"/>
      <c r="I979" s="42"/>
      <c r="J979" s="41"/>
      <c r="K979" s="40"/>
      <c r="L979" s="9"/>
      <c r="M979" s="9"/>
      <c r="N979" s="40"/>
      <c r="O979" s="40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40"/>
      <c r="B980" s="9"/>
      <c r="C980" s="9"/>
      <c r="D980" s="9"/>
      <c r="E980" s="9"/>
      <c r="F980" s="41"/>
      <c r="G980" s="9"/>
      <c r="H980" s="9"/>
      <c r="I980" s="42"/>
      <c r="J980" s="41"/>
      <c r="K980" s="40"/>
      <c r="L980" s="9"/>
      <c r="M980" s="9"/>
      <c r="N980" s="40"/>
      <c r="O980" s="40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40"/>
      <c r="B981" s="9"/>
      <c r="C981" s="9"/>
      <c r="D981" s="9"/>
      <c r="E981" s="9"/>
      <c r="F981" s="41"/>
      <c r="G981" s="9"/>
      <c r="H981" s="9"/>
      <c r="I981" s="42"/>
      <c r="J981" s="41"/>
      <c r="K981" s="40"/>
      <c r="L981" s="9"/>
      <c r="M981" s="9"/>
      <c r="N981" s="40"/>
      <c r="O981" s="40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40"/>
      <c r="B982" s="9"/>
      <c r="C982" s="9"/>
      <c r="D982" s="9"/>
      <c r="E982" s="9"/>
      <c r="F982" s="41"/>
      <c r="G982" s="9"/>
      <c r="H982" s="9"/>
      <c r="I982" s="42"/>
      <c r="J982" s="41"/>
      <c r="K982" s="40"/>
      <c r="L982" s="9"/>
      <c r="M982" s="9"/>
      <c r="N982" s="40"/>
      <c r="O982" s="40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40"/>
      <c r="B983" s="9"/>
      <c r="C983" s="9"/>
      <c r="D983" s="9"/>
      <c r="E983" s="9"/>
      <c r="F983" s="41"/>
      <c r="G983" s="9"/>
      <c r="H983" s="9"/>
      <c r="I983" s="42"/>
      <c r="J983" s="41"/>
      <c r="K983" s="40"/>
      <c r="L983" s="9"/>
      <c r="M983" s="9"/>
      <c r="N983" s="40"/>
      <c r="O983" s="40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40"/>
      <c r="B984" s="9"/>
      <c r="C984" s="9"/>
      <c r="D984" s="9"/>
      <c r="E984" s="9"/>
      <c r="F984" s="41"/>
      <c r="G984" s="9"/>
      <c r="H984" s="9"/>
      <c r="I984" s="42"/>
      <c r="J984" s="41"/>
      <c r="K984" s="40"/>
      <c r="L984" s="9"/>
      <c r="M984" s="9"/>
      <c r="N984" s="40"/>
      <c r="O984" s="40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40"/>
      <c r="B985" s="9"/>
      <c r="C985" s="9"/>
      <c r="D985" s="9"/>
      <c r="E985" s="9"/>
      <c r="F985" s="41"/>
      <c r="G985" s="9"/>
      <c r="H985" s="9"/>
      <c r="I985" s="42"/>
      <c r="J985" s="41"/>
      <c r="K985" s="40"/>
      <c r="L985" s="9"/>
      <c r="M985" s="9"/>
      <c r="N985" s="40"/>
      <c r="O985" s="40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40"/>
      <c r="B986" s="9"/>
      <c r="C986" s="9"/>
      <c r="D986" s="9"/>
      <c r="E986" s="9"/>
      <c r="F986" s="41"/>
      <c r="G986" s="9"/>
      <c r="H986" s="9"/>
      <c r="I986" s="42"/>
      <c r="J986" s="41"/>
      <c r="K986" s="40"/>
      <c r="L986" s="9"/>
      <c r="M986" s="9"/>
      <c r="N986" s="40"/>
      <c r="O986" s="40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40"/>
      <c r="B987" s="9"/>
      <c r="C987" s="9"/>
      <c r="D987" s="9"/>
      <c r="E987" s="9"/>
      <c r="F987" s="41"/>
      <c r="G987" s="9"/>
      <c r="H987" s="9"/>
      <c r="I987" s="42"/>
      <c r="J987" s="41"/>
      <c r="K987" s="40"/>
      <c r="L987" s="9"/>
      <c r="M987" s="9"/>
      <c r="N987" s="40"/>
      <c r="O987" s="40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40"/>
      <c r="B988" s="9"/>
      <c r="C988" s="9"/>
      <c r="D988" s="9"/>
      <c r="E988" s="9"/>
      <c r="F988" s="41"/>
      <c r="G988" s="9"/>
      <c r="H988" s="9"/>
      <c r="I988" s="42"/>
      <c r="J988" s="41"/>
      <c r="K988" s="40"/>
      <c r="L988" s="9"/>
      <c r="M988" s="9"/>
      <c r="N988" s="40"/>
      <c r="O988" s="40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40"/>
      <c r="B989" s="9"/>
      <c r="C989" s="9"/>
      <c r="D989" s="9"/>
      <c r="E989" s="9"/>
      <c r="F989" s="41"/>
      <c r="G989" s="9"/>
      <c r="H989" s="9"/>
      <c r="I989" s="42"/>
      <c r="J989" s="41"/>
      <c r="K989" s="40"/>
      <c r="L989" s="9"/>
      <c r="M989" s="9"/>
      <c r="N989" s="40"/>
      <c r="O989" s="40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40"/>
      <c r="B990" s="9"/>
      <c r="C990" s="9"/>
      <c r="D990" s="9"/>
      <c r="E990" s="9"/>
      <c r="F990" s="41"/>
      <c r="G990" s="9"/>
      <c r="H990" s="9"/>
      <c r="I990" s="42"/>
      <c r="J990" s="41"/>
      <c r="K990" s="40"/>
      <c r="L990" s="9"/>
      <c r="M990" s="9"/>
      <c r="N990" s="40"/>
      <c r="O990" s="40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40"/>
      <c r="B991" s="9"/>
      <c r="C991" s="9"/>
      <c r="D991" s="9"/>
      <c r="E991" s="9"/>
      <c r="F991" s="41"/>
      <c r="G991" s="9"/>
      <c r="H991" s="9"/>
      <c r="I991" s="42"/>
      <c r="J991" s="41"/>
      <c r="K991" s="40"/>
      <c r="L991" s="9"/>
      <c r="M991" s="9"/>
      <c r="N991" s="40"/>
      <c r="O991" s="40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40"/>
      <c r="B992" s="9"/>
      <c r="C992" s="9"/>
      <c r="D992" s="9"/>
      <c r="E992" s="9"/>
      <c r="F992" s="41"/>
      <c r="G992" s="9"/>
      <c r="H992" s="9"/>
      <c r="I992" s="42"/>
      <c r="J992" s="41"/>
      <c r="K992" s="40"/>
      <c r="L992" s="9"/>
      <c r="M992" s="9"/>
      <c r="N992" s="40"/>
      <c r="O992" s="40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40"/>
      <c r="B993" s="9"/>
      <c r="C993" s="9"/>
      <c r="D993" s="9"/>
      <c r="E993" s="9"/>
      <c r="F993" s="41"/>
      <c r="G993" s="9"/>
      <c r="H993" s="9"/>
      <c r="I993" s="42"/>
      <c r="J993" s="41"/>
      <c r="K993" s="40"/>
      <c r="L993" s="9"/>
      <c r="M993" s="9"/>
      <c r="N993" s="40"/>
      <c r="O993" s="40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40"/>
      <c r="B994" s="9"/>
      <c r="C994" s="9"/>
      <c r="D994" s="9"/>
      <c r="E994" s="9"/>
      <c r="F994" s="41"/>
      <c r="G994" s="9"/>
      <c r="H994" s="9"/>
      <c r="I994" s="42"/>
      <c r="J994" s="41"/>
      <c r="K994" s="40"/>
      <c r="L994" s="9"/>
      <c r="M994" s="9"/>
      <c r="N994" s="40"/>
      <c r="O994" s="40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40"/>
      <c r="B995" s="9"/>
      <c r="C995" s="9"/>
      <c r="D995" s="9"/>
      <c r="E995" s="9"/>
      <c r="F995" s="41"/>
      <c r="G995" s="9"/>
      <c r="H995" s="9"/>
      <c r="I995" s="42"/>
      <c r="J995" s="41"/>
      <c r="K995" s="40"/>
      <c r="L995" s="9"/>
      <c r="M995" s="9"/>
      <c r="N995" s="40"/>
      <c r="O995" s="40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40"/>
      <c r="B996" s="9"/>
      <c r="C996" s="9"/>
      <c r="D996" s="9"/>
      <c r="E996" s="9"/>
      <c r="F996" s="41"/>
      <c r="G996" s="9"/>
      <c r="H996" s="9"/>
      <c r="I996" s="42"/>
      <c r="J996" s="41"/>
      <c r="K996" s="40"/>
      <c r="L996" s="9"/>
      <c r="M996" s="9"/>
      <c r="N996" s="40"/>
      <c r="O996" s="40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40"/>
      <c r="B997" s="9"/>
      <c r="C997" s="9"/>
      <c r="D997" s="9"/>
      <c r="E997" s="9"/>
      <c r="F997" s="41"/>
      <c r="G997" s="9"/>
      <c r="H997" s="9"/>
      <c r="I997" s="42"/>
      <c r="J997" s="41"/>
      <c r="K997" s="40"/>
      <c r="L997" s="9"/>
      <c r="M997" s="9"/>
      <c r="N997" s="40"/>
      <c r="O997" s="40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40"/>
      <c r="B998" s="9"/>
      <c r="C998" s="9"/>
      <c r="D998" s="9"/>
      <c r="E998" s="9"/>
      <c r="F998" s="41"/>
      <c r="G998" s="9"/>
      <c r="H998" s="9"/>
      <c r="I998" s="42"/>
      <c r="J998" s="41"/>
      <c r="K998" s="40"/>
      <c r="L998" s="9"/>
      <c r="M998" s="9"/>
      <c r="N998" s="40"/>
      <c r="O998" s="40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40"/>
      <c r="B999" s="9"/>
      <c r="C999" s="9"/>
      <c r="D999" s="9"/>
      <c r="E999" s="9"/>
      <c r="F999" s="41"/>
      <c r="G999" s="9"/>
      <c r="H999" s="9"/>
      <c r="I999" s="42"/>
      <c r="J999" s="41"/>
      <c r="K999" s="40"/>
      <c r="L999" s="9"/>
      <c r="M999" s="9"/>
      <c r="N999" s="40"/>
      <c r="O999" s="40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40"/>
      <c r="B1000" s="9"/>
      <c r="C1000" s="9"/>
      <c r="D1000" s="9"/>
      <c r="E1000" s="9"/>
      <c r="F1000" s="41"/>
      <c r="G1000" s="9"/>
      <c r="H1000" s="9"/>
      <c r="I1000" s="42"/>
      <c r="J1000" s="41"/>
      <c r="K1000" s="40"/>
      <c r="L1000" s="9"/>
      <c r="M1000" s="9"/>
      <c r="N1000" s="40"/>
      <c r="O1000" s="40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6.86"/>
    <col customWidth="1" min="3" max="3" width="15.0"/>
    <col customWidth="1" min="4" max="4" width="57.0"/>
    <col customWidth="1" min="5" max="5" width="7.71"/>
    <col customWidth="1" min="6" max="6" width="15.0"/>
    <col customWidth="1" min="7" max="7" width="13.0"/>
    <col customWidth="1" min="8" max="8" width="20.0"/>
    <col customWidth="1" min="9" max="9" width="12.71"/>
    <col customWidth="1" min="10" max="10" width="11.29"/>
    <col customWidth="1" min="11" max="11" width="6.14"/>
    <col customWidth="1" min="12" max="12" width="12.29"/>
    <col customWidth="1" min="13" max="13" width="14.86"/>
    <col customWidth="1" min="14" max="14" width="13.29"/>
    <col customWidth="1" min="15" max="26" width="8.71"/>
  </cols>
  <sheetData>
    <row r="1" ht="31.5" customHeight="1">
      <c r="A1" s="43" t="s">
        <v>0</v>
      </c>
      <c r="B1" s="44" t="s">
        <v>1</v>
      </c>
      <c r="C1" s="44" t="s">
        <v>2</v>
      </c>
      <c r="D1" s="44" t="s">
        <v>3</v>
      </c>
      <c r="E1" s="44" t="s">
        <v>1130</v>
      </c>
      <c r="F1" s="45" t="s">
        <v>5</v>
      </c>
      <c r="G1" s="44" t="s">
        <v>6</v>
      </c>
      <c r="H1" s="44" t="s">
        <v>8</v>
      </c>
      <c r="I1" s="45" t="s">
        <v>9</v>
      </c>
      <c r="J1" s="46" t="s">
        <v>10</v>
      </c>
      <c r="K1" s="44" t="s">
        <v>11</v>
      </c>
      <c r="L1" s="47" t="s">
        <v>12</v>
      </c>
      <c r="M1" s="46" t="s">
        <v>1131</v>
      </c>
      <c r="N1" s="46" t="s">
        <v>14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8">
        <v>44564.0</v>
      </c>
      <c r="B2" s="49">
        <v>1657.0</v>
      </c>
      <c r="C2" s="50" t="s">
        <v>1132</v>
      </c>
      <c r="D2" s="50" t="s">
        <v>1133</v>
      </c>
      <c r="E2" s="50">
        <v>10.0</v>
      </c>
      <c r="F2" s="51">
        <v>14210.55</v>
      </c>
      <c r="G2" s="50" t="s">
        <v>167</v>
      </c>
      <c r="H2" s="52" t="s">
        <v>1134</v>
      </c>
      <c r="I2" s="51"/>
      <c r="J2" s="48"/>
      <c r="K2" s="50"/>
      <c r="L2" s="50"/>
      <c r="M2" s="48"/>
      <c r="N2" s="4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3">
        <v>44564.0</v>
      </c>
      <c r="B3" s="54">
        <v>1657.0</v>
      </c>
      <c r="C3" s="55" t="s">
        <v>1132</v>
      </c>
      <c r="D3" s="55" t="s">
        <v>1135</v>
      </c>
      <c r="E3" s="55">
        <v>10.0</v>
      </c>
      <c r="F3" s="56">
        <v>40559.91</v>
      </c>
      <c r="G3" s="55" t="s">
        <v>167</v>
      </c>
      <c r="H3" s="55"/>
      <c r="I3" s="56"/>
      <c r="J3" s="53"/>
      <c r="K3" s="55"/>
      <c r="L3" s="55"/>
      <c r="M3" s="53"/>
      <c r="N3" s="5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8">
        <v>44564.0</v>
      </c>
      <c r="B4" s="57">
        <v>1654.0</v>
      </c>
      <c r="C4" s="50" t="s">
        <v>44</v>
      </c>
      <c r="D4" s="58" t="s">
        <v>1136</v>
      </c>
      <c r="E4" s="50">
        <v>1.0</v>
      </c>
      <c r="F4" s="51">
        <v>5962.38</v>
      </c>
      <c r="G4" s="50" t="s">
        <v>167</v>
      </c>
      <c r="H4" s="52" t="s">
        <v>1137</v>
      </c>
      <c r="I4" s="51"/>
      <c r="J4" s="48"/>
      <c r="K4" s="50"/>
      <c r="L4" s="50"/>
      <c r="M4" s="48"/>
      <c r="N4" s="4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3">
        <v>44566.0</v>
      </c>
      <c r="B5" s="55"/>
      <c r="C5" s="55" t="s">
        <v>44</v>
      </c>
      <c r="D5" s="55" t="s">
        <v>1138</v>
      </c>
      <c r="E5" s="55">
        <v>4.0</v>
      </c>
      <c r="F5" s="56"/>
      <c r="G5" s="55" t="s">
        <v>167</v>
      </c>
      <c r="H5" s="55"/>
      <c r="I5" s="56"/>
      <c r="J5" s="53"/>
      <c r="K5" s="55"/>
      <c r="L5" s="55"/>
      <c r="M5" s="53"/>
      <c r="N5" s="5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8">
        <v>44567.0</v>
      </c>
      <c r="B6" s="49">
        <v>1658.0</v>
      </c>
      <c r="C6" s="50" t="s">
        <v>25</v>
      </c>
      <c r="D6" s="50" t="s">
        <v>1139</v>
      </c>
      <c r="E6" s="50">
        <v>1.0</v>
      </c>
      <c r="F6" s="51">
        <v>5002.0</v>
      </c>
      <c r="G6" s="50" t="s">
        <v>167</v>
      </c>
      <c r="H6" s="50"/>
      <c r="I6" s="51"/>
      <c r="J6" s="48"/>
      <c r="K6" s="50"/>
      <c r="L6" s="50"/>
      <c r="M6" s="48"/>
      <c r="N6" s="4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3">
        <v>44567.0</v>
      </c>
      <c r="B7" s="59">
        <v>1656.0</v>
      </c>
      <c r="C7" s="55" t="s">
        <v>44</v>
      </c>
      <c r="D7" s="55" t="s">
        <v>1140</v>
      </c>
      <c r="E7" s="55">
        <v>1.0</v>
      </c>
      <c r="F7" s="56">
        <v>814.23</v>
      </c>
      <c r="G7" s="55" t="s">
        <v>21</v>
      </c>
      <c r="H7" s="55"/>
      <c r="I7" s="56">
        <v>814.23</v>
      </c>
      <c r="J7" s="53">
        <v>44571.0</v>
      </c>
      <c r="K7" s="55">
        <v>1661.0</v>
      </c>
      <c r="L7" s="55">
        <v>4.501482789E9</v>
      </c>
      <c r="M7" s="53"/>
      <c r="N7" s="53">
        <v>44602.0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8">
        <v>44567.0</v>
      </c>
      <c r="B8" s="60">
        <v>1656.0</v>
      </c>
      <c r="C8" s="50" t="s">
        <v>44</v>
      </c>
      <c r="D8" s="50" t="s">
        <v>1141</v>
      </c>
      <c r="E8" s="50">
        <v>2.0</v>
      </c>
      <c r="F8" s="51">
        <v>2573.56</v>
      </c>
      <c r="G8" s="50" t="s">
        <v>21</v>
      </c>
      <c r="H8" s="50"/>
      <c r="I8" s="51">
        <v>2573.56</v>
      </c>
      <c r="J8" s="48">
        <v>44571.0</v>
      </c>
      <c r="K8" s="50">
        <v>1661.0</v>
      </c>
      <c r="L8" s="50">
        <v>4.501482789E9</v>
      </c>
      <c r="M8" s="48"/>
      <c r="N8" s="48">
        <v>44602.0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3">
        <v>44571.0</v>
      </c>
      <c r="B9" s="61">
        <v>1661.0</v>
      </c>
      <c r="C9" s="55" t="s">
        <v>188</v>
      </c>
      <c r="D9" s="55" t="s">
        <v>1142</v>
      </c>
      <c r="E9" s="55">
        <v>1.0</v>
      </c>
      <c r="F9" s="56">
        <v>6019.19</v>
      </c>
      <c r="G9" s="55" t="s">
        <v>180</v>
      </c>
      <c r="H9" s="55"/>
      <c r="I9" s="56">
        <v>6019.19</v>
      </c>
      <c r="J9" s="53">
        <v>44757.0</v>
      </c>
      <c r="K9" s="55">
        <v>1869.0</v>
      </c>
      <c r="L9" s="55">
        <v>5.201980038E9</v>
      </c>
      <c r="M9" s="53">
        <v>44585.0</v>
      </c>
      <c r="N9" s="53">
        <v>44803.0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8">
        <v>44572.0</v>
      </c>
      <c r="B10" s="49">
        <v>1673.0</v>
      </c>
      <c r="C10" s="50" t="s">
        <v>1143</v>
      </c>
      <c r="D10" s="50" t="s">
        <v>1144</v>
      </c>
      <c r="E10" s="50">
        <v>3.0</v>
      </c>
      <c r="F10" s="51">
        <v>11105.54</v>
      </c>
      <c r="G10" s="50" t="s">
        <v>167</v>
      </c>
      <c r="H10" s="52" t="s">
        <v>1145</v>
      </c>
      <c r="I10" s="51"/>
      <c r="J10" s="48"/>
      <c r="K10" s="50"/>
      <c r="L10" s="50"/>
      <c r="M10" s="48"/>
      <c r="N10" s="4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3">
        <v>44572.0</v>
      </c>
      <c r="B11" s="61">
        <v>1673.0</v>
      </c>
      <c r="C11" s="55" t="s">
        <v>1143</v>
      </c>
      <c r="D11" s="55" t="s">
        <v>1146</v>
      </c>
      <c r="E11" s="55">
        <v>2.0</v>
      </c>
      <c r="F11" s="56">
        <v>11816.65</v>
      </c>
      <c r="G11" s="55" t="s">
        <v>167</v>
      </c>
      <c r="H11" s="62" t="s">
        <v>1147</v>
      </c>
      <c r="I11" s="56"/>
      <c r="J11" s="53"/>
      <c r="K11" s="55"/>
      <c r="L11" s="55"/>
      <c r="M11" s="53"/>
      <c r="N11" s="5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8">
        <v>44572.0</v>
      </c>
      <c r="B12" s="63">
        <v>1673.0</v>
      </c>
      <c r="C12" s="50" t="s">
        <v>1143</v>
      </c>
      <c r="D12" s="64" t="s">
        <v>1148</v>
      </c>
      <c r="E12" s="50">
        <v>3.0</v>
      </c>
      <c r="F12" s="51"/>
      <c r="G12" s="50" t="s">
        <v>1149</v>
      </c>
      <c r="H12" s="50"/>
      <c r="I12" s="51"/>
      <c r="J12" s="48"/>
      <c r="K12" s="50"/>
      <c r="L12" s="50"/>
      <c r="M12" s="48"/>
      <c r="N12" s="4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3">
        <v>44572.0</v>
      </c>
      <c r="B13" s="54">
        <v>1673.0</v>
      </c>
      <c r="C13" s="55" t="s">
        <v>1143</v>
      </c>
      <c r="D13" s="65" t="s">
        <v>1150</v>
      </c>
      <c r="E13" s="55">
        <v>3.0</v>
      </c>
      <c r="F13" s="56">
        <v>13120.01</v>
      </c>
      <c r="G13" s="55" t="s">
        <v>167</v>
      </c>
      <c r="H13" s="55"/>
      <c r="I13" s="56"/>
      <c r="J13" s="53"/>
      <c r="K13" s="55"/>
      <c r="L13" s="55"/>
      <c r="M13" s="53"/>
      <c r="N13" s="53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8">
        <v>44573.0</v>
      </c>
      <c r="B14" s="50"/>
      <c r="C14" s="50" t="s">
        <v>75</v>
      </c>
      <c r="D14" s="50" t="s">
        <v>1151</v>
      </c>
      <c r="E14" s="50">
        <v>2.0</v>
      </c>
      <c r="F14" s="51"/>
      <c r="G14" s="50" t="s">
        <v>18</v>
      </c>
      <c r="H14" s="50"/>
      <c r="I14" s="51"/>
      <c r="J14" s="48"/>
      <c r="K14" s="50"/>
      <c r="L14" s="50"/>
      <c r="M14" s="48"/>
      <c r="N14" s="4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3">
        <v>44574.0</v>
      </c>
      <c r="B15" s="55"/>
      <c r="C15" s="55" t="s">
        <v>44</v>
      </c>
      <c r="D15" s="66" t="s">
        <v>1152</v>
      </c>
      <c r="E15" s="55">
        <v>2.0</v>
      </c>
      <c r="F15" s="56"/>
      <c r="G15" s="55" t="s">
        <v>18</v>
      </c>
      <c r="H15" s="55"/>
      <c r="I15" s="56"/>
      <c r="J15" s="53"/>
      <c r="K15" s="55"/>
      <c r="L15" s="55"/>
      <c r="M15" s="53"/>
      <c r="N15" s="53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8">
        <v>44574.0</v>
      </c>
      <c r="B16" s="50"/>
      <c r="C16" s="50" t="s">
        <v>44</v>
      </c>
      <c r="D16" s="58" t="s">
        <v>1152</v>
      </c>
      <c r="E16" s="50">
        <v>4.0</v>
      </c>
      <c r="F16" s="51"/>
      <c r="G16" s="50" t="s">
        <v>18</v>
      </c>
      <c r="H16" s="50"/>
      <c r="I16" s="51"/>
      <c r="J16" s="48"/>
      <c r="K16" s="50"/>
      <c r="L16" s="50"/>
      <c r="M16" s="48"/>
      <c r="N16" s="4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3">
        <v>44574.0</v>
      </c>
      <c r="B17" s="67">
        <v>1674.0</v>
      </c>
      <c r="C17" s="55" t="s">
        <v>548</v>
      </c>
      <c r="D17" s="55" t="s">
        <v>1153</v>
      </c>
      <c r="E17" s="55">
        <v>1.0</v>
      </c>
      <c r="F17" s="56">
        <v>1166.51</v>
      </c>
      <c r="G17" s="55" t="s">
        <v>167</v>
      </c>
      <c r="H17" s="55"/>
      <c r="I17" s="56"/>
      <c r="J17" s="53"/>
      <c r="K17" s="55"/>
      <c r="L17" s="55"/>
      <c r="M17" s="53"/>
      <c r="N17" s="53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8">
        <v>44575.0</v>
      </c>
      <c r="B18" s="50"/>
      <c r="C18" s="50" t="s">
        <v>44</v>
      </c>
      <c r="D18" s="50" t="s">
        <v>1154</v>
      </c>
      <c r="E18" s="50">
        <v>1.0</v>
      </c>
      <c r="F18" s="51"/>
      <c r="G18" s="50" t="s">
        <v>18</v>
      </c>
      <c r="H18" s="50"/>
      <c r="I18" s="51"/>
      <c r="J18" s="48"/>
      <c r="K18" s="50"/>
      <c r="L18" s="50"/>
      <c r="M18" s="48"/>
      <c r="N18" s="48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3">
        <v>44575.0</v>
      </c>
      <c r="B19" s="67">
        <v>1694.0</v>
      </c>
      <c r="C19" s="55" t="s">
        <v>19</v>
      </c>
      <c r="D19" s="55" t="s">
        <v>1155</v>
      </c>
      <c r="E19" s="55">
        <v>300.0</v>
      </c>
      <c r="F19" s="56">
        <v>1050.0</v>
      </c>
      <c r="G19" s="55" t="s">
        <v>180</v>
      </c>
      <c r="H19" s="55"/>
      <c r="I19" s="56">
        <v>1050.0</v>
      </c>
      <c r="J19" s="53">
        <v>44587.0</v>
      </c>
      <c r="K19" s="55">
        <v>1679.0</v>
      </c>
      <c r="L19" s="55">
        <v>4.500383826E9</v>
      </c>
      <c r="M19" s="53"/>
      <c r="N19" s="53">
        <v>44618.0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8">
        <v>44578.0</v>
      </c>
      <c r="B20" s="50"/>
      <c r="C20" s="50" t="s">
        <v>790</v>
      </c>
      <c r="D20" s="50" t="s">
        <v>1156</v>
      </c>
      <c r="E20" s="50">
        <v>5.0</v>
      </c>
      <c r="F20" s="51"/>
      <c r="G20" s="50" t="s">
        <v>18</v>
      </c>
      <c r="H20" s="50"/>
      <c r="I20" s="51"/>
      <c r="J20" s="48"/>
      <c r="K20" s="50"/>
      <c r="L20" s="50"/>
      <c r="M20" s="48"/>
      <c r="N20" s="4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v>44578.0</v>
      </c>
      <c r="B21" s="55"/>
      <c r="C21" s="55" t="s">
        <v>790</v>
      </c>
      <c r="D21" s="55" t="s">
        <v>1157</v>
      </c>
      <c r="E21" s="55">
        <v>10.0</v>
      </c>
      <c r="F21" s="56"/>
      <c r="G21" s="55" t="s">
        <v>18</v>
      </c>
      <c r="H21" s="55"/>
      <c r="I21" s="56"/>
      <c r="J21" s="53"/>
      <c r="K21" s="55"/>
      <c r="L21" s="55"/>
      <c r="M21" s="53"/>
      <c r="N21" s="5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8">
        <v>44578.0</v>
      </c>
      <c r="B22" s="50"/>
      <c r="C22" s="50" t="s">
        <v>790</v>
      </c>
      <c r="D22" s="50" t="s">
        <v>1158</v>
      </c>
      <c r="E22" s="50">
        <v>5.0</v>
      </c>
      <c r="F22" s="51"/>
      <c r="G22" s="50" t="s">
        <v>18</v>
      </c>
      <c r="H22" s="50"/>
      <c r="I22" s="51"/>
      <c r="J22" s="48"/>
      <c r="K22" s="50"/>
      <c r="L22" s="50"/>
      <c r="M22" s="48"/>
      <c r="N22" s="48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v>44579.0</v>
      </c>
      <c r="B23" s="55"/>
      <c r="C23" s="55" t="s">
        <v>188</v>
      </c>
      <c r="D23" s="55" t="s">
        <v>1159</v>
      </c>
      <c r="E23" s="55">
        <v>6.0</v>
      </c>
      <c r="F23" s="56"/>
      <c r="G23" s="55" t="s">
        <v>18</v>
      </c>
      <c r="H23" s="55"/>
      <c r="I23" s="56"/>
      <c r="J23" s="53"/>
      <c r="K23" s="55"/>
      <c r="L23" s="55"/>
      <c r="M23" s="53"/>
      <c r="N23" s="5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48">
        <v>44579.0</v>
      </c>
      <c r="B24" s="50"/>
      <c r="C24" s="50" t="s">
        <v>188</v>
      </c>
      <c r="D24" s="50" t="s">
        <v>1160</v>
      </c>
      <c r="E24" s="50">
        <v>4.0</v>
      </c>
      <c r="F24" s="51"/>
      <c r="G24" s="50" t="s">
        <v>18</v>
      </c>
      <c r="H24" s="50"/>
      <c r="I24" s="51"/>
      <c r="J24" s="48"/>
      <c r="K24" s="50"/>
      <c r="L24" s="50"/>
      <c r="M24" s="48"/>
      <c r="N24" s="48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v>44579.0</v>
      </c>
      <c r="B25" s="59">
        <v>1682.0</v>
      </c>
      <c r="C25" s="55" t="s">
        <v>1161</v>
      </c>
      <c r="D25" s="66" t="s">
        <v>1162</v>
      </c>
      <c r="E25" s="55">
        <v>1.0</v>
      </c>
      <c r="F25" s="56">
        <v>2731.45</v>
      </c>
      <c r="G25" s="55" t="s">
        <v>167</v>
      </c>
      <c r="H25" s="62" t="s">
        <v>1163</v>
      </c>
      <c r="I25" s="56"/>
      <c r="J25" s="53"/>
      <c r="K25" s="55"/>
      <c r="L25" s="55"/>
      <c r="M25" s="53"/>
      <c r="N25" s="5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48">
        <v>44581.0</v>
      </c>
      <c r="B26" s="57">
        <v>1684.0</v>
      </c>
      <c r="C26" s="50" t="s">
        <v>77</v>
      </c>
      <c r="D26" s="50" t="s">
        <v>1164</v>
      </c>
      <c r="E26" s="50">
        <v>1.0</v>
      </c>
      <c r="F26" s="51">
        <v>40656.15</v>
      </c>
      <c r="G26" s="50" t="s">
        <v>167</v>
      </c>
      <c r="H26" s="52" t="s">
        <v>1165</v>
      </c>
      <c r="I26" s="51"/>
      <c r="J26" s="48"/>
      <c r="K26" s="50"/>
      <c r="L26" s="50"/>
      <c r="M26" s="48"/>
      <c r="N26" s="48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v>44582.0</v>
      </c>
      <c r="B27" s="54">
        <v>1691.0</v>
      </c>
      <c r="C27" s="55" t="s">
        <v>46</v>
      </c>
      <c r="D27" s="55" t="s">
        <v>1166</v>
      </c>
      <c r="E27" s="55">
        <v>1.0</v>
      </c>
      <c r="F27" s="56">
        <v>16570.14</v>
      </c>
      <c r="G27" s="55" t="s">
        <v>167</v>
      </c>
      <c r="H27" s="68" t="s">
        <v>1167</v>
      </c>
      <c r="I27" s="56"/>
      <c r="J27" s="53"/>
      <c r="K27" s="55"/>
      <c r="L27" s="55"/>
      <c r="M27" s="53"/>
      <c r="N27" s="53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48">
        <v>44582.0</v>
      </c>
      <c r="B28" s="50"/>
      <c r="C28" s="50" t="s">
        <v>25</v>
      </c>
      <c r="D28" s="50" t="s">
        <v>1168</v>
      </c>
      <c r="E28" s="50">
        <v>20.0</v>
      </c>
      <c r="F28" s="51"/>
      <c r="G28" s="50" t="s">
        <v>18</v>
      </c>
      <c r="H28" s="50"/>
      <c r="I28" s="51"/>
      <c r="J28" s="48"/>
      <c r="K28" s="50"/>
      <c r="L28" s="50"/>
      <c r="M28" s="48"/>
      <c r="N28" s="48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v>44582.0</v>
      </c>
      <c r="B29" s="59">
        <v>1688.0</v>
      </c>
      <c r="C29" s="55" t="s">
        <v>19</v>
      </c>
      <c r="D29" s="55" t="s">
        <v>1169</v>
      </c>
      <c r="E29" s="55">
        <v>300.0</v>
      </c>
      <c r="F29" s="56">
        <v>1701.0</v>
      </c>
      <c r="G29" s="55" t="s">
        <v>21</v>
      </c>
      <c r="H29" s="55"/>
      <c r="I29" s="56">
        <v>1701.0</v>
      </c>
      <c r="J29" s="53">
        <v>44656.0</v>
      </c>
      <c r="K29" s="55">
        <v>1755.0</v>
      </c>
      <c r="L29" s="55">
        <v>4.500384697E9</v>
      </c>
      <c r="M29" s="53">
        <v>44652.0</v>
      </c>
      <c r="N29" s="53">
        <v>44686.0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48">
        <v>44585.0</v>
      </c>
      <c r="B30" s="57">
        <v>1690.0</v>
      </c>
      <c r="C30" s="50" t="s">
        <v>1170</v>
      </c>
      <c r="D30" s="64" t="s">
        <v>778</v>
      </c>
      <c r="E30" s="50">
        <v>2.0</v>
      </c>
      <c r="F30" s="51">
        <v>336.68</v>
      </c>
      <c r="G30" s="50" t="s">
        <v>167</v>
      </c>
      <c r="H30" s="52" t="s">
        <v>1171</v>
      </c>
      <c r="I30" s="51"/>
      <c r="J30" s="48"/>
      <c r="K30" s="50"/>
      <c r="L30" s="50"/>
      <c r="M30" s="48"/>
      <c r="N30" s="48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v>44586.0</v>
      </c>
      <c r="B31" s="61">
        <v>1693.0</v>
      </c>
      <c r="C31" s="55" t="s">
        <v>188</v>
      </c>
      <c r="D31" s="55" t="s">
        <v>1172</v>
      </c>
      <c r="E31" s="55">
        <v>3.0</v>
      </c>
      <c r="F31" s="56">
        <v>2823.93</v>
      </c>
      <c r="G31" s="55" t="s">
        <v>167</v>
      </c>
      <c r="H31" s="62" t="s">
        <v>1173</v>
      </c>
      <c r="I31" s="56"/>
      <c r="J31" s="53"/>
      <c r="K31" s="55"/>
      <c r="L31" s="55"/>
      <c r="M31" s="53"/>
      <c r="N31" s="53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48">
        <v>44586.0</v>
      </c>
      <c r="B32" s="63">
        <v>1693.0</v>
      </c>
      <c r="C32" s="50" t="s">
        <v>188</v>
      </c>
      <c r="D32" s="50" t="s">
        <v>1174</v>
      </c>
      <c r="E32" s="50">
        <v>1.0</v>
      </c>
      <c r="F32" s="51">
        <v>1168.76</v>
      </c>
      <c r="G32" s="50" t="s">
        <v>167</v>
      </c>
      <c r="H32" s="50"/>
      <c r="I32" s="51"/>
      <c r="J32" s="48"/>
      <c r="K32" s="50"/>
      <c r="L32" s="50"/>
      <c r="M32" s="48"/>
      <c r="N32" s="48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v>44586.0</v>
      </c>
      <c r="B33" s="61">
        <v>1693.0</v>
      </c>
      <c r="C33" s="55" t="s">
        <v>188</v>
      </c>
      <c r="D33" s="55" t="s">
        <v>1175</v>
      </c>
      <c r="E33" s="55">
        <v>1.0</v>
      </c>
      <c r="F33" s="56">
        <v>86.47</v>
      </c>
      <c r="G33" s="55" t="s">
        <v>167</v>
      </c>
      <c r="H33" s="55"/>
      <c r="I33" s="56"/>
      <c r="J33" s="53"/>
      <c r="K33" s="55"/>
      <c r="L33" s="55"/>
      <c r="M33" s="53"/>
      <c r="N33" s="53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48">
        <v>44586.0</v>
      </c>
      <c r="B34" s="60">
        <v>1693.0</v>
      </c>
      <c r="C34" s="50" t="s">
        <v>188</v>
      </c>
      <c r="D34" s="50" t="s">
        <v>1176</v>
      </c>
      <c r="E34" s="50">
        <v>1.0</v>
      </c>
      <c r="F34" s="51">
        <v>6045.89</v>
      </c>
      <c r="G34" s="50" t="s">
        <v>167</v>
      </c>
      <c r="H34" s="50"/>
      <c r="I34" s="51"/>
      <c r="J34" s="48"/>
      <c r="K34" s="50"/>
      <c r="L34" s="50"/>
      <c r="M34" s="48"/>
      <c r="N34" s="48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v>44586.0</v>
      </c>
      <c r="B35" s="59">
        <v>1696.0</v>
      </c>
      <c r="C35" s="55" t="s">
        <v>44</v>
      </c>
      <c r="D35" s="66" t="s">
        <v>1177</v>
      </c>
      <c r="E35" s="55">
        <v>2.0</v>
      </c>
      <c r="F35" s="56"/>
      <c r="G35" s="55" t="s">
        <v>167</v>
      </c>
      <c r="H35" s="55"/>
      <c r="I35" s="56"/>
      <c r="J35" s="53"/>
      <c r="K35" s="55"/>
      <c r="L35" s="55"/>
      <c r="M35" s="53"/>
      <c r="N35" s="53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48">
        <v>44586.0</v>
      </c>
      <c r="B36" s="57">
        <v>1706.0</v>
      </c>
      <c r="C36" s="50" t="s">
        <v>44</v>
      </c>
      <c r="D36" s="64" t="s">
        <v>778</v>
      </c>
      <c r="E36" s="50">
        <v>2.0</v>
      </c>
      <c r="F36" s="51">
        <v>279.02</v>
      </c>
      <c r="G36" s="50" t="s">
        <v>180</v>
      </c>
      <c r="H36" s="50"/>
      <c r="I36" s="51">
        <v>279.02</v>
      </c>
      <c r="J36" s="48">
        <v>44629.0</v>
      </c>
      <c r="K36" s="50">
        <v>1703.0</v>
      </c>
      <c r="L36" s="50">
        <v>4.501494237E9</v>
      </c>
      <c r="M36" s="48">
        <v>44729.0</v>
      </c>
      <c r="N36" s="48">
        <v>44661.0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v>44586.0</v>
      </c>
      <c r="B37" s="61">
        <v>1695.0</v>
      </c>
      <c r="C37" s="55" t="s">
        <v>77</v>
      </c>
      <c r="D37" s="65" t="s">
        <v>778</v>
      </c>
      <c r="E37" s="55">
        <v>2.0</v>
      </c>
      <c r="F37" s="56">
        <v>279.02</v>
      </c>
      <c r="G37" s="55" t="s">
        <v>167</v>
      </c>
      <c r="H37" s="55"/>
      <c r="I37" s="56"/>
      <c r="J37" s="53"/>
      <c r="K37" s="55"/>
      <c r="L37" s="55"/>
      <c r="M37" s="53"/>
      <c r="N37" s="53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48">
        <v>44588.0</v>
      </c>
      <c r="B38" s="49">
        <v>1700.0</v>
      </c>
      <c r="C38" s="50" t="s">
        <v>1178</v>
      </c>
      <c r="D38" s="50" t="s">
        <v>1179</v>
      </c>
      <c r="E38" s="50">
        <v>2.0</v>
      </c>
      <c r="F38" s="51">
        <v>6910.59</v>
      </c>
      <c r="G38" s="50" t="s">
        <v>167</v>
      </c>
      <c r="H38" s="52" t="s">
        <v>1180</v>
      </c>
      <c r="I38" s="51"/>
      <c r="J38" s="48"/>
      <c r="K38" s="50"/>
      <c r="L38" s="50"/>
      <c r="M38" s="48"/>
      <c r="N38" s="48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v>44588.0</v>
      </c>
      <c r="B39" s="54">
        <v>1700.0</v>
      </c>
      <c r="C39" s="55" t="s">
        <v>1178</v>
      </c>
      <c r="D39" s="55" t="s">
        <v>1181</v>
      </c>
      <c r="E39" s="55">
        <v>20.0</v>
      </c>
      <c r="F39" s="56">
        <v>20124.7</v>
      </c>
      <c r="G39" s="55" t="s">
        <v>167</v>
      </c>
      <c r="H39" s="55"/>
      <c r="I39" s="56"/>
      <c r="J39" s="53"/>
      <c r="K39" s="55"/>
      <c r="L39" s="55"/>
      <c r="M39" s="53"/>
      <c r="N39" s="53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48">
        <v>44588.0</v>
      </c>
      <c r="B40" s="57">
        <v>1709.0</v>
      </c>
      <c r="C40" s="50" t="s">
        <v>1182</v>
      </c>
      <c r="D40" s="50" t="s">
        <v>1183</v>
      </c>
      <c r="E40" s="50">
        <v>2.0</v>
      </c>
      <c r="F40" s="51">
        <v>27859.91</v>
      </c>
      <c r="G40" s="50" t="s">
        <v>180</v>
      </c>
      <c r="H40" s="52" t="s">
        <v>1184</v>
      </c>
      <c r="I40" s="51">
        <v>27859.91</v>
      </c>
      <c r="J40" s="48">
        <v>44748.0</v>
      </c>
      <c r="K40" s="50">
        <v>1857.0</v>
      </c>
      <c r="L40" s="50" t="s">
        <v>1185</v>
      </c>
      <c r="M40" s="48" t="s">
        <v>1186</v>
      </c>
      <c r="N40" s="48">
        <v>44778.0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v>44592.0</v>
      </c>
      <c r="B41" s="54">
        <v>1714.0</v>
      </c>
      <c r="C41" s="55" t="s">
        <v>1187</v>
      </c>
      <c r="D41" s="66" t="s">
        <v>1188</v>
      </c>
      <c r="E41" s="55">
        <v>1.0</v>
      </c>
      <c r="F41" s="69">
        <v>10133.75</v>
      </c>
      <c r="G41" s="55" t="s">
        <v>167</v>
      </c>
      <c r="H41" s="62" t="s">
        <v>1189</v>
      </c>
      <c r="I41" s="56"/>
      <c r="J41" s="53"/>
      <c r="K41" s="55"/>
      <c r="L41" s="55"/>
      <c r="M41" s="53"/>
      <c r="N41" s="53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48">
        <v>44592.0</v>
      </c>
      <c r="B42" s="50"/>
      <c r="C42" s="50" t="s">
        <v>1190</v>
      </c>
      <c r="D42" s="58" t="s">
        <v>1191</v>
      </c>
      <c r="E42" s="50">
        <v>64.0</v>
      </c>
      <c r="F42" s="51"/>
      <c r="G42" s="50" t="s">
        <v>18</v>
      </c>
      <c r="H42" s="52" t="s">
        <v>1192</v>
      </c>
      <c r="I42" s="51"/>
      <c r="J42" s="48"/>
      <c r="K42" s="50"/>
      <c r="L42" s="50"/>
      <c r="M42" s="48"/>
      <c r="N42" s="48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v>44592.0</v>
      </c>
      <c r="B43" s="67">
        <v>1715.0</v>
      </c>
      <c r="C43" s="55" t="s">
        <v>1193</v>
      </c>
      <c r="D43" s="70" t="s">
        <v>1194</v>
      </c>
      <c r="E43" s="55">
        <v>8.0</v>
      </c>
      <c r="F43" s="56">
        <v>3978.39</v>
      </c>
      <c r="G43" s="55" t="s">
        <v>167</v>
      </c>
      <c r="H43" s="62" t="s">
        <v>1195</v>
      </c>
      <c r="I43" s="56"/>
      <c r="J43" s="53"/>
      <c r="K43" s="55"/>
      <c r="L43" s="55"/>
      <c r="M43" s="53"/>
      <c r="N43" s="53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48"/>
      <c r="B44" s="50"/>
      <c r="C44" s="50"/>
      <c r="D44" s="50"/>
      <c r="E44" s="50"/>
      <c r="F44" s="51"/>
      <c r="G44" s="50"/>
      <c r="H44" s="52"/>
      <c r="I44" s="51"/>
      <c r="J44" s="48"/>
      <c r="K44" s="50"/>
      <c r="L44" s="50"/>
      <c r="M44" s="48"/>
      <c r="N44" s="48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v>44593.0</v>
      </c>
      <c r="B45" s="67">
        <v>1705.0</v>
      </c>
      <c r="C45" s="55" t="s">
        <v>159</v>
      </c>
      <c r="D45" s="55" t="s">
        <v>1196</v>
      </c>
      <c r="E45" s="55">
        <v>1.0</v>
      </c>
      <c r="F45" s="56"/>
      <c r="G45" s="55" t="s">
        <v>167</v>
      </c>
      <c r="H45" s="62"/>
      <c r="I45" s="56"/>
      <c r="J45" s="53"/>
      <c r="K45" s="55"/>
      <c r="L45" s="55"/>
      <c r="M45" s="53"/>
      <c r="N45" s="53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48">
        <v>44593.0</v>
      </c>
      <c r="B46" s="49">
        <v>1708.0</v>
      </c>
      <c r="C46" s="50" t="s">
        <v>44</v>
      </c>
      <c r="D46" s="50" t="s">
        <v>354</v>
      </c>
      <c r="E46" s="50">
        <v>2.0</v>
      </c>
      <c r="F46" s="51">
        <v>1552.35</v>
      </c>
      <c r="G46" s="50" t="s">
        <v>180</v>
      </c>
      <c r="H46" s="50"/>
      <c r="I46" s="51">
        <v>1552.35</v>
      </c>
      <c r="J46" s="48">
        <v>44603.0</v>
      </c>
      <c r="K46" s="50">
        <v>1686.0</v>
      </c>
      <c r="L46" s="50">
        <v>4.501499678E9</v>
      </c>
      <c r="M46" s="48">
        <v>44603.0</v>
      </c>
      <c r="N46" s="48">
        <v>44640.0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v>44593.0</v>
      </c>
      <c r="B47" s="61">
        <v>1708.0</v>
      </c>
      <c r="C47" s="55" t="s">
        <v>44</v>
      </c>
      <c r="D47" s="55" t="s">
        <v>837</v>
      </c>
      <c r="E47" s="55">
        <v>1.0</v>
      </c>
      <c r="F47" s="56">
        <v>1219.11</v>
      </c>
      <c r="G47" s="55" t="s">
        <v>180</v>
      </c>
      <c r="H47" s="55"/>
      <c r="I47" s="56">
        <v>1219.11</v>
      </c>
      <c r="J47" s="53">
        <v>44603.0</v>
      </c>
      <c r="K47" s="55">
        <v>1686.0</v>
      </c>
      <c r="L47" s="55">
        <v>4.501499678E9</v>
      </c>
      <c r="M47" s="55"/>
      <c r="N47" s="53">
        <v>44640.0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48">
        <v>44593.0</v>
      </c>
      <c r="B48" s="60">
        <v>1708.0</v>
      </c>
      <c r="C48" s="50" t="s">
        <v>44</v>
      </c>
      <c r="D48" s="50" t="s">
        <v>837</v>
      </c>
      <c r="E48" s="50">
        <v>1.0</v>
      </c>
      <c r="F48" s="51">
        <v>1219.11</v>
      </c>
      <c r="G48" s="50" t="s">
        <v>180</v>
      </c>
      <c r="H48" s="50"/>
      <c r="I48" s="51">
        <v>1219.11</v>
      </c>
      <c r="J48" s="48">
        <v>44658.0</v>
      </c>
      <c r="K48" s="50">
        <v>1756.0</v>
      </c>
      <c r="L48" s="50">
        <v>4.501499678E9</v>
      </c>
      <c r="M48" s="48">
        <v>44676.0</v>
      </c>
      <c r="N48" s="48">
        <v>44691.0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v>44594.0</v>
      </c>
      <c r="B49" s="55"/>
      <c r="C49" s="55" t="s">
        <v>457</v>
      </c>
      <c r="D49" s="55" t="s">
        <v>1197</v>
      </c>
      <c r="E49" s="55">
        <v>21.0</v>
      </c>
      <c r="F49" s="56"/>
      <c r="G49" s="55" t="s">
        <v>241</v>
      </c>
      <c r="H49" s="62" t="s">
        <v>1198</v>
      </c>
      <c r="I49" s="56"/>
      <c r="J49" s="53"/>
      <c r="K49" s="55"/>
      <c r="L49" s="55"/>
      <c r="M49" s="53"/>
      <c r="N49" s="53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48">
        <v>44594.0</v>
      </c>
      <c r="B50" s="50"/>
      <c r="C50" s="50" t="s">
        <v>457</v>
      </c>
      <c r="D50" s="50" t="s">
        <v>1199</v>
      </c>
      <c r="E50" s="50">
        <v>1.0</v>
      </c>
      <c r="F50" s="51"/>
      <c r="G50" s="50" t="s">
        <v>241</v>
      </c>
      <c r="H50" s="50"/>
      <c r="I50" s="51"/>
      <c r="J50" s="48"/>
      <c r="K50" s="50"/>
      <c r="L50" s="50"/>
      <c r="M50" s="48"/>
      <c r="N50" s="48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v>44594.0</v>
      </c>
      <c r="B51" s="55"/>
      <c r="C51" s="55" t="s">
        <v>457</v>
      </c>
      <c r="D51" s="55" t="s">
        <v>1200</v>
      </c>
      <c r="E51" s="55">
        <v>1.0</v>
      </c>
      <c r="F51" s="56"/>
      <c r="G51" s="55" t="s">
        <v>241</v>
      </c>
      <c r="H51" s="55"/>
      <c r="I51" s="56"/>
      <c r="J51" s="53"/>
      <c r="K51" s="55"/>
      <c r="L51" s="55"/>
      <c r="M51" s="53"/>
      <c r="N51" s="53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48">
        <v>44594.0</v>
      </c>
      <c r="B52" s="50"/>
      <c r="C52" s="50" t="s">
        <v>44</v>
      </c>
      <c r="D52" s="50" t="s">
        <v>1201</v>
      </c>
      <c r="E52" s="50">
        <v>20.0</v>
      </c>
      <c r="F52" s="51"/>
      <c r="G52" s="50" t="s">
        <v>241</v>
      </c>
      <c r="H52" s="50"/>
      <c r="I52" s="51"/>
      <c r="J52" s="48"/>
      <c r="K52" s="50"/>
      <c r="L52" s="50"/>
      <c r="M52" s="48"/>
      <c r="N52" s="48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53">
        <v>44594.0</v>
      </c>
      <c r="B53" s="55"/>
      <c r="C53" s="55" t="s">
        <v>44</v>
      </c>
      <c r="D53" s="68" t="s">
        <v>1152</v>
      </c>
      <c r="E53" s="55">
        <v>4.0</v>
      </c>
      <c r="F53" s="56"/>
      <c r="G53" s="55" t="s">
        <v>241</v>
      </c>
      <c r="H53" s="55"/>
      <c r="I53" s="56"/>
      <c r="J53" s="53"/>
      <c r="K53" s="55"/>
      <c r="L53" s="55"/>
      <c r="M53" s="53"/>
      <c r="N53" s="53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48">
        <v>44595.0</v>
      </c>
      <c r="B54" s="50"/>
      <c r="C54" s="50" t="s">
        <v>1202</v>
      </c>
      <c r="D54" s="71" t="s">
        <v>1203</v>
      </c>
      <c r="E54" s="50">
        <v>50.0</v>
      </c>
      <c r="F54" s="51"/>
      <c r="G54" s="50" t="s">
        <v>241</v>
      </c>
      <c r="H54" s="50" t="s">
        <v>1204</v>
      </c>
      <c r="I54" s="51"/>
      <c r="J54" s="48"/>
      <c r="K54" s="50"/>
      <c r="L54" s="50"/>
      <c r="M54" s="48"/>
      <c r="N54" s="48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53">
        <v>44595.0</v>
      </c>
      <c r="B55" s="55"/>
      <c r="C55" s="55" t="s">
        <v>1202</v>
      </c>
      <c r="D55" s="65" t="s">
        <v>1205</v>
      </c>
      <c r="E55" s="55">
        <v>50.0</v>
      </c>
      <c r="F55" s="56"/>
      <c r="G55" s="55" t="s">
        <v>241</v>
      </c>
      <c r="H55" s="55"/>
      <c r="I55" s="56"/>
      <c r="J55" s="53"/>
      <c r="K55" s="55"/>
      <c r="L55" s="55"/>
      <c r="M55" s="53"/>
      <c r="N55" s="53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48">
        <v>44595.0</v>
      </c>
      <c r="B56" s="57">
        <v>1716.0</v>
      </c>
      <c r="C56" s="50" t="s">
        <v>44</v>
      </c>
      <c r="D56" s="50" t="s">
        <v>1206</v>
      </c>
      <c r="E56" s="50">
        <v>1.0</v>
      </c>
      <c r="F56" s="51">
        <v>1545.22</v>
      </c>
      <c r="G56" s="50" t="s">
        <v>180</v>
      </c>
      <c r="H56" s="50"/>
      <c r="I56" s="51">
        <v>1545.22</v>
      </c>
      <c r="J56" s="48">
        <v>44608.0</v>
      </c>
      <c r="K56" s="50">
        <v>1691.0</v>
      </c>
      <c r="L56" s="50">
        <v>4.501500848E9</v>
      </c>
      <c r="M56" s="48"/>
      <c r="N56" s="48">
        <v>44640.0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v>44596.0</v>
      </c>
      <c r="B57" s="55"/>
      <c r="C57" s="55" t="s">
        <v>44</v>
      </c>
      <c r="D57" s="55" t="s">
        <v>1207</v>
      </c>
      <c r="E57" s="55">
        <v>7.0</v>
      </c>
      <c r="F57" s="56"/>
      <c r="G57" s="55" t="s">
        <v>241</v>
      </c>
      <c r="H57" s="55"/>
      <c r="I57" s="56"/>
      <c r="J57" s="53"/>
      <c r="K57" s="55"/>
      <c r="L57" s="55"/>
      <c r="M57" s="53"/>
      <c r="N57" s="53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48">
        <v>44596.0</v>
      </c>
      <c r="B58" s="49">
        <v>1717.0</v>
      </c>
      <c r="C58" s="50" t="s">
        <v>159</v>
      </c>
      <c r="D58" s="50" t="s">
        <v>1208</v>
      </c>
      <c r="E58" s="50"/>
      <c r="F58" s="51"/>
      <c r="G58" s="50" t="s">
        <v>167</v>
      </c>
      <c r="H58" s="50"/>
      <c r="I58" s="51"/>
      <c r="J58" s="48"/>
      <c r="K58" s="50"/>
      <c r="L58" s="50"/>
      <c r="M58" s="48"/>
      <c r="N58" s="48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v>44596.0</v>
      </c>
      <c r="B59" s="54">
        <v>1717.0</v>
      </c>
      <c r="C59" s="55" t="s">
        <v>159</v>
      </c>
      <c r="D59" s="55" t="s">
        <v>1209</v>
      </c>
      <c r="E59" s="55"/>
      <c r="F59" s="56"/>
      <c r="G59" s="55" t="s">
        <v>167</v>
      </c>
      <c r="H59" s="55"/>
      <c r="I59" s="56"/>
      <c r="J59" s="53"/>
      <c r="K59" s="55"/>
      <c r="L59" s="55"/>
      <c r="M59" s="53"/>
      <c r="N59" s="5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48">
        <v>44596.0</v>
      </c>
      <c r="B60" s="57">
        <v>1718.0</v>
      </c>
      <c r="C60" s="50" t="s">
        <v>19</v>
      </c>
      <c r="D60" s="50" t="s">
        <v>1210</v>
      </c>
      <c r="E60" s="50">
        <v>30.0</v>
      </c>
      <c r="F60" s="51">
        <v>580.2</v>
      </c>
      <c r="G60" s="50" t="s">
        <v>180</v>
      </c>
      <c r="H60" s="50"/>
      <c r="I60" s="51">
        <v>580.2</v>
      </c>
      <c r="J60" s="48">
        <v>44608.0</v>
      </c>
      <c r="K60" s="50">
        <v>1692.0</v>
      </c>
      <c r="L60" s="50">
        <v>4.500385457E9</v>
      </c>
      <c r="M60" s="48">
        <v>44607.0</v>
      </c>
      <c r="N60" s="48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v>44599.0</v>
      </c>
      <c r="B61" s="55"/>
      <c r="C61" s="55" t="s">
        <v>457</v>
      </c>
      <c r="D61" s="55" t="s">
        <v>1211</v>
      </c>
      <c r="E61" s="55">
        <v>2.0</v>
      </c>
      <c r="F61" s="56"/>
      <c r="G61" s="55" t="s">
        <v>241</v>
      </c>
      <c r="H61" s="55"/>
      <c r="I61" s="56"/>
      <c r="J61" s="53"/>
      <c r="K61" s="55"/>
      <c r="L61" s="55"/>
      <c r="M61" s="53"/>
      <c r="N61" s="53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48">
        <v>44600.0</v>
      </c>
      <c r="B62" s="57">
        <v>1722.0</v>
      </c>
      <c r="C62" s="50" t="s">
        <v>1212</v>
      </c>
      <c r="D62" s="50" t="s">
        <v>1213</v>
      </c>
      <c r="E62" s="50">
        <v>1.0</v>
      </c>
      <c r="F62" s="51">
        <v>40467.23</v>
      </c>
      <c r="G62" s="50" t="s">
        <v>167</v>
      </c>
      <c r="H62" s="52" t="s">
        <v>1214</v>
      </c>
      <c r="I62" s="51"/>
      <c r="J62" s="48"/>
      <c r="K62" s="50"/>
      <c r="L62" s="50"/>
      <c r="M62" s="48"/>
      <c r="N62" s="48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v>44601.0</v>
      </c>
      <c r="B63" s="59">
        <v>1731.0</v>
      </c>
      <c r="C63" s="55" t="s">
        <v>19</v>
      </c>
      <c r="D63" s="55" t="s">
        <v>1215</v>
      </c>
      <c r="E63" s="55">
        <v>2.0</v>
      </c>
      <c r="F63" s="56">
        <v>4297.74</v>
      </c>
      <c r="G63" s="55" t="s">
        <v>180</v>
      </c>
      <c r="H63" s="62" t="s">
        <v>1216</v>
      </c>
      <c r="I63" s="56">
        <v>4297.74</v>
      </c>
      <c r="J63" s="53">
        <v>44628.0</v>
      </c>
      <c r="K63" s="55">
        <v>1700.0</v>
      </c>
      <c r="L63" s="55">
        <v>4.500386115E9</v>
      </c>
      <c r="M63" s="53"/>
      <c r="N63" s="53">
        <v>44627.0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48">
        <v>44601.0</v>
      </c>
      <c r="B64" s="49">
        <v>1728.0</v>
      </c>
      <c r="C64" s="50" t="s">
        <v>1217</v>
      </c>
      <c r="D64" s="50" t="s">
        <v>1218</v>
      </c>
      <c r="E64" s="50">
        <v>120.0</v>
      </c>
      <c r="F64" s="51">
        <v>3756.0</v>
      </c>
      <c r="G64" s="50" t="s">
        <v>180</v>
      </c>
      <c r="H64" s="50"/>
      <c r="I64" s="51">
        <v>3756.0</v>
      </c>
      <c r="J64" s="48">
        <v>44607.0</v>
      </c>
      <c r="K64" s="50">
        <v>1690.0</v>
      </c>
      <c r="L64" s="50">
        <v>2.022000337E9</v>
      </c>
      <c r="M64" s="48"/>
      <c r="N64" s="48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53">
        <v>44601.0</v>
      </c>
      <c r="B65" s="61">
        <v>1728.0</v>
      </c>
      <c r="C65" s="55" t="s">
        <v>1217</v>
      </c>
      <c r="D65" s="55" t="s">
        <v>1219</v>
      </c>
      <c r="E65" s="55">
        <v>100.0</v>
      </c>
      <c r="F65" s="56">
        <v>1348.0</v>
      </c>
      <c r="G65" s="55" t="s">
        <v>180</v>
      </c>
      <c r="H65" s="62" t="s">
        <v>1220</v>
      </c>
      <c r="I65" s="56">
        <v>1348.0</v>
      </c>
      <c r="J65" s="53">
        <v>44607.0</v>
      </c>
      <c r="K65" s="55">
        <v>1690.0</v>
      </c>
      <c r="L65" s="55">
        <v>2.022000337E9</v>
      </c>
      <c r="M65" s="53"/>
      <c r="N65" s="53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48">
        <v>44601.0</v>
      </c>
      <c r="B66" s="60">
        <v>1728.0</v>
      </c>
      <c r="C66" s="50" t="s">
        <v>1217</v>
      </c>
      <c r="D66" s="50" t="s">
        <v>1221</v>
      </c>
      <c r="E66" s="50">
        <v>100.0</v>
      </c>
      <c r="F66" s="51">
        <v>2696.0</v>
      </c>
      <c r="G66" s="50" t="s">
        <v>180</v>
      </c>
      <c r="H66" s="50"/>
      <c r="I66" s="51">
        <v>2696.0</v>
      </c>
      <c r="J66" s="48">
        <v>44607.0</v>
      </c>
      <c r="K66" s="50">
        <v>1690.0</v>
      </c>
      <c r="L66" s="50">
        <v>2.022000337E9</v>
      </c>
      <c r="M66" s="48"/>
      <c r="N66" s="48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v>44601.0</v>
      </c>
      <c r="B67" s="61">
        <v>1736.0</v>
      </c>
      <c r="C67" s="55" t="s">
        <v>1222</v>
      </c>
      <c r="D67" s="55" t="s">
        <v>1223</v>
      </c>
      <c r="E67" s="55">
        <v>10.0</v>
      </c>
      <c r="F67" s="56"/>
      <c r="G67" s="55" t="s">
        <v>167</v>
      </c>
      <c r="H67" s="62" t="s">
        <v>1224</v>
      </c>
      <c r="I67" s="56"/>
      <c r="J67" s="53"/>
      <c r="K67" s="55"/>
      <c r="L67" s="55"/>
      <c r="M67" s="53"/>
      <c r="N67" s="53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48">
        <v>44601.0</v>
      </c>
      <c r="B68" s="63">
        <v>1736.0</v>
      </c>
      <c r="C68" s="50" t="s">
        <v>1222</v>
      </c>
      <c r="D68" s="50" t="s">
        <v>1225</v>
      </c>
      <c r="E68" s="50">
        <v>10.0</v>
      </c>
      <c r="F68" s="51"/>
      <c r="G68" s="50" t="s">
        <v>167</v>
      </c>
      <c r="H68" s="50"/>
      <c r="I68" s="51"/>
      <c r="J68" s="48"/>
      <c r="K68" s="50"/>
      <c r="L68" s="50"/>
      <c r="M68" s="48"/>
      <c r="N68" s="48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v>44601.0</v>
      </c>
      <c r="B69" s="61">
        <v>1736.0</v>
      </c>
      <c r="C69" s="55" t="s">
        <v>1222</v>
      </c>
      <c r="D69" s="55" t="s">
        <v>1226</v>
      </c>
      <c r="E69" s="55">
        <v>10.0</v>
      </c>
      <c r="F69" s="56"/>
      <c r="G69" s="55" t="s">
        <v>167</v>
      </c>
      <c r="H69" s="55"/>
      <c r="I69" s="56"/>
      <c r="J69" s="53"/>
      <c r="K69" s="55"/>
      <c r="L69" s="55"/>
      <c r="M69" s="53"/>
      <c r="N69" s="53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48">
        <v>44601.0</v>
      </c>
      <c r="B70" s="63">
        <v>1736.0</v>
      </c>
      <c r="C70" s="50" t="s">
        <v>1222</v>
      </c>
      <c r="D70" s="50" t="s">
        <v>1227</v>
      </c>
      <c r="E70" s="50">
        <v>10.0</v>
      </c>
      <c r="F70" s="51"/>
      <c r="G70" s="50" t="s">
        <v>167</v>
      </c>
      <c r="H70" s="50"/>
      <c r="I70" s="51"/>
      <c r="J70" s="48"/>
      <c r="K70" s="50"/>
      <c r="L70" s="50"/>
      <c r="M70" s="48"/>
      <c r="N70" s="48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v>44601.0</v>
      </c>
      <c r="B71" s="61">
        <v>1736.0</v>
      </c>
      <c r="C71" s="55" t="s">
        <v>1222</v>
      </c>
      <c r="D71" s="55" t="s">
        <v>1228</v>
      </c>
      <c r="E71" s="55">
        <v>10.0</v>
      </c>
      <c r="F71" s="56"/>
      <c r="G71" s="55" t="s">
        <v>167</v>
      </c>
      <c r="H71" s="55"/>
      <c r="I71" s="56"/>
      <c r="J71" s="53"/>
      <c r="K71" s="55"/>
      <c r="L71" s="55"/>
      <c r="M71" s="53"/>
      <c r="N71" s="53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48">
        <v>44601.0</v>
      </c>
      <c r="B72" s="63">
        <v>1736.0</v>
      </c>
      <c r="C72" s="50" t="s">
        <v>1222</v>
      </c>
      <c r="D72" s="50" t="s">
        <v>1229</v>
      </c>
      <c r="E72" s="50">
        <v>10.0</v>
      </c>
      <c r="F72" s="51"/>
      <c r="G72" s="50" t="s">
        <v>167</v>
      </c>
      <c r="H72" s="50"/>
      <c r="I72" s="51"/>
      <c r="J72" s="48"/>
      <c r="K72" s="50"/>
      <c r="L72" s="50"/>
      <c r="M72" s="48"/>
      <c r="N72" s="48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v>44601.0</v>
      </c>
      <c r="B73" s="61">
        <v>1736.0</v>
      </c>
      <c r="C73" s="55" t="s">
        <v>1222</v>
      </c>
      <c r="D73" s="55" t="s">
        <v>1230</v>
      </c>
      <c r="E73" s="55">
        <v>10.0</v>
      </c>
      <c r="F73" s="56"/>
      <c r="G73" s="55" t="s">
        <v>167</v>
      </c>
      <c r="H73" s="55"/>
      <c r="I73" s="56"/>
      <c r="J73" s="53"/>
      <c r="K73" s="55"/>
      <c r="L73" s="55"/>
      <c r="M73" s="53"/>
      <c r="N73" s="53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48">
        <v>44601.0</v>
      </c>
      <c r="B74" s="63">
        <v>1736.0</v>
      </c>
      <c r="C74" s="50" t="s">
        <v>1222</v>
      </c>
      <c r="D74" s="50" t="s">
        <v>1231</v>
      </c>
      <c r="E74" s="50">
        <v>10.0</v>
      </c>
      <c r="F74" s="51"/>
      <c r="G74" s="50" t="s">
        <v>167</v>
      </c>
      <c r="H74" s="50"/>
      <c r="I74" s="51"/>
      <c r="J74" s="48"/>
      <c r="K74" s="50"/>
      <c r="L74" s="50"/>
      <c r="M74" s="48"/>
      <c r="N74" s="48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v>44601.0</v>
      </c>
      <c r="B75" s="61">
        <v>1736.0</v>
      </c>
      <c r="C75" s="55" t="s">
        <v>1222</v>
      </c>
      <c r="D75" s="55" t="s">
        <v>1232</v>
      </c>
      <c r="E75" s="55">
        <v>10.0</v>
      </c>
      <c r="F75" s="56"/>
      <c r="G75" s="55" t="s">
        <v>167</v>
      </c>
      <c r="H75" s="55"/>
      <c r="I75" s="56"/>
      <c r="J75" s="53"/>
      <c r="K75" s="55"/>
      <c r="L75" s="55"/>
      <c r="M75" s="53"/>
      <c r="N75" s="53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48">
        <v>44601.0</v>
      </c>
      <c r="B76" s="63">
        <v>1736.0</v>
      </c>
      <c r="C76" s="50" t="s">
        <v>1222</v>
      </c>
      <c r="D76" s="50" t="s">
        <v>1233</v>
      </c>
      <c r="E76" s="50">
        <v>10.0</v>
      </c>
      <c r="F76" s="51"/>
      <c r="G76" s="50" t="s">
        <v>167</v>
      </c>
      <c r="H76" s="50"/>
      <c r="I76" s="51"/>
      <c r="J76" s="48"/>
      <c r="K76" s="50"/>
      <c r="L76" s="50"/>
      <c r="M76" s="48"/>
      <c r="N76" s="48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53">
        <v>44601.0</v>
      </c>
      <c r="B77" s="54">
        <v>1736.0</v>
      </c>
      <c r="C77" s="55" t="s">
        <v>1222</v>
      </c>
      <c r="D77" s="55" t="s">
        <v>1234</v>
      </c>
      <c r="E77" s="55">
        <v>10.0</v>
      </c>
      <c r="F77" s="56"/>
      <c r="G77" s="55" t="s">
        <v>167</v>
      </c>
      <c r="H77" s="55"/>
      <c r="I77" s="56"/>
      <c r="J77" s="53"/>
      <c r="K77" s="55"/>
      <c r="L77" s="55"/>
      <c r="M77" s="53"/>
      <c r="N77" s="53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48">
        <v>44601.0</v>
      </c>
      <c r="B78" s="57">
        <v>1729.0</v>
      </c>
      <c r="C78" s="50" t="s">
        <v>188</v>
      </c>
      <c r="D78" s="50" t="s">
        <v>1142</v>
      </c>
      <c r="E78" s="50">
        <v>1.0</v>
      </c>
      <c r="F78" s="51">
        <v>6019.19</v>
      </c>
      <c r="G78" s="50" t="s">
        <v>180</v>
      </c>
      <c r="H78" s="50"/>
      <c r="I78" s="51">
        <v>6019.19</v>
      </c>
      <c r="J78" s="48">
        <v>44757.0</v>
      </c>
      <c r="K78" s="50">
        <v>1867.0</v>
      </c>
      <c r="L78" s="50">
        <v>5.201998134E9</v>
      </c>
      <c r="M78" s="48">
        <v>44646.0</v>
      </c>
      <c r="N78" s="48">
        <v>44803.0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53">
        <v>44601.0</v>
      </c>
      <c r="B79" s="67">
        <v>1730.0</v>
      </c>
      <c r="C79" s="55" t="s">
        <v>188</v>
      </c>
      <c r="D79" s="55" t="s">
        <v>852</v>
      </c>
      <c r="E79" s="55">
        <v>4.0</v>
      </c>
      <c r="F79" s="56">
        <v>2866.9</v>
      </c>
      <c r="G79" s="55" t="s">
        <v>167</v>
      </c>
      <c r="H79" s="55"/>
      <c r="I79" s="56"/>
      <c r="J79" s="53"/>
      <c r="K79" s="55"/>
      <c r="L79" s="55"/>
      <c r="M79" s="53"/>
      <c r="N79" s="53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48">
        <v>44601.0</v>
      </c>
      <c r="B80" s="57">
        <v>1732.0</v>
      </c>
      <c r="C80" s="50" t="s">
        <v>159</v>
      </c>
      <c r="D80" s="50" t="s">
        <v>1235</v>
      </c>
      <c r="E80" s="50">
        <v>1.0</v>
      </c>
      <c r="F80" s="51">
        <v>4506.39</v>
      </c>
      <c r="G80" s="50" t="s">
        <v>167</v>
      </c>
      <c r="H80" s="50"/>
      <c r="I80" s="51"/>
      <c r="J80" s="48"/>
      <c r="K80" s="50"/>
      <c r="L80" s="50"/>
      <c r="M80" s="48"/>
      <c r="N80" s="48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53">
        <v>44603.0</v>
      </c>
      <c r="B81" s="67">
        <v>1776.0</v>
      </c>
      <c r="C81" s="55" t="s">
        <v>19</v>
      </c>
      <c r="D81" s="55" t="s">
        <v>1236</v>
      </c>
      <c r="E81" s="55">
        <v>2.0</v>
      </c>
      <c r="F81" s="56">
        <v>13201.0</v>
      </c>
      <c r="G81" s="55" t="s">
        <v>167</v>
      </c>
      <c r="H81" s="55"/>
      <c r="I81" s="56"/>
      <c r="J81" s="53"/>
      <c r="K81" s="55"/>
      <c r="L81" s="55"/>
      <c r="M81" s="53"/>
      <c r="N81" s="53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48">
        <v>44606.0</v>
      </c>
      <c r="B82" s="49">
        <v>1752.0</v>
      </c>
      <c r="C82" s="50" t="s">
        <v>1132</v>
      </c>
      <c r="D82" s="50" t="s">
        <v>1237</v>
      </c>
      <c r="E82" s="50">
        <v>3.0</v>
      </c>
      <c r="F82" s="72">
        <v>17494.67</v>
      </c>
      <c r="G82" s="50" t="s">
        <v>167</v>
      </c>
      <c r="H82" s="52" t="s">
        <v>1238</v>
      </c>
      <c r="I82" s="51"/>
      <c r="J82" s="48"/>
      <c r="K82" s="50"/>
      <c r="L82" s="50"/>
      <c r="M82" s="48"/>
      <c r="N82" s="48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53">
        <v>44606.0</v>
      </c>
      <c r="B83" s="61">
        <v>1752.0</v>
      </c>
      <c r="C83" s="55" t="s">
        <v>1132</v>
      </c>
      <c r="D83" s="55" t="s">
        <v>1239</v>
      </c>
      <c r="E83" s="55">
        <v>1.0</v>
      </c>
      <c r="F83" s="56">
        <v>1681.23</v>
      </c>
      <c r="G83" s="55" t="s">
        <v>167</v>
      </c>
      <c r="H83" s="55"/>
      <c r="I83" s="56"/>
      <c r="J83" s="53"/>
      <c r="K83" s="55"/>
      <c r="L83" s="55"/>
      <c r="M83" s="53"/>
      <c r="N83" s="53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48">
        <v>44606.0</v>
      </c>
      <c r="B84" s="63">
        <v>1752.0</v>
      </c>
      <c r="C84" s="50" t="s">
        <v>1132</v>
      </c>
      <c r="D84" s="50" t="s">
        <v>1240</v>
      </c>
      <c r="E84" s="50">
        <v>20.0</v>
      </c>
      <c r="F84" s="51">
        <v>850.92</v>
      </c>
      <c r="G84" s="50" t="s">
        <v>167</v>
      </c>
      <c r="H84" s="50"/>
      <c r="I84" s="51"/>
      <c r="J84" s="48"/>
      <c r="K84" s="50"/>
      <c r="L84" s="50"/>
      <c r="M84" s="48"/>
      <c r="N84" s="48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53">
        <v>44606.0</v>
      </c>
      <c r="B85" s="61">
        <v>1752.0</v>
      </c>
      <c r="C85" s="55" t="s">
        <v>1132</v>
      </c>
      <c r="D85" s="55" t="s">
        <v>1241</v>
      </c>
      <c r="E85" s="55">
        <v>36.0</v>
      </c>
      <c r="F85" s="56">
        <v>396.03</v>
      </c>
      <c r="G85" s="55" t="s">
        <v>167</v>
      </c>
      <c r="H85" s="55"/>
      <c r="I85" s="56"/>
      <c r="J85" s="53"/>
      <c r="K85" s="55"/>
      <c r="L85" s="55"/>
      <c r="M85" s="53"/>
      <c r="N85" s="53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48">
        <v>44606.0</v>
      </c>
      <c r="B86" s="63">
        <v>1752.0</v>
      </c>
      <c r="C86" s="50" t="s">
        <v>1132</v>
      </c>
      <c r="D86" s="50" t="s">
        <v>1242</v>
      </c>
      <c r="E86" s="50">
        <v>6.0</v>
      </c>
      <c r="F86" s="51">
        <v>3665.4</v>
      </c>
      <c r="G86" s="50" t="s">
        <v>167</v>
      </c>
      <c r="H86" s="50"/>
      <c r="I86" s="51"/>
      <c r="J86" s="48"/>
      <c r="K86" s="50"/>
      <c r="L86" s="50"/>
      <c r="M86" s="48"/>
      <c r="N86" s="48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53">
        <v>44606.0</v>
      </c>
      <c r="B87" s="61">
        <v>1752.0</v>
      </c>
      <c r="C87" s="55" t="s">
        <v>1132</v>
      </c>
      <c r="D87" s="55" t="s">
        <v>1243</v>
      </c>
      <c r="E87" s="55">
        <v>10.0</v>
      </c>
      <c r="F87" s="56">
        <v>13150.47</v>
      </c>
      <c r="G87" s="55" t="s">
        <v>167</v>
      </c>
      <c r="H87" s="55"/>
      <c r="I87" s="56"/>
      <c r="J87" s="53"/>
      <c r="K87" s="55"/>
      <c r="L87" s="55"/>
      <c r="M87" s="53"/>
      <c r="N87" s="53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48">
        <v>44606.0</v>
      </c>
      <c r="B88" s="60">
        <v>1752.0</v>
      </c>
      <c r="C88" s="50" t="s">
        <v>1132</v>
      </c>
      <c r="D88" s="50" t="s">
        <v>1244</v>
      </c>
      <c r="E88" s="50">
        <v>2.0</v>
      </c>
      <c r="F88" s="51">
        <v>1317.31</v>
      </c>
      <c r="G88" s="50" t="s">
        <v>167</v>
      </c>
      <c r="H88" s="50"/>
      <c r="I88" s="51"/>
      <c r="J88" s="48"/>
      <c r="K88" s="50"/>
      <c r="L88" s="50"/>
      <c r="M88" s="48"/>
      <c r="N88" s="48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53">
        <v>44606.0</v>
      </c>
      <c r="B89" s="59">
        <v>1740.0</v>
      </c>
      <c r="C89" s="55" t="s">
        <v>1245</v>
      </c>
      <c r="D89" s="55" t="s">
        <v>1246</v>
      </c>
      <c r="E89" s="55">
        <v>1.0</v>
      </c>
      <c r="F89" s="56">
        <v>115.88</v>
      </c>
      <c r="G89" s="55" t="s">
        <v>167</v>
      </c>
      <c r="H89" s="62" t="s">
        <v>1247</v>
      </c>
      <c r="I89" s="56"/>
      <c r="J89" s="53"/>
      <c r="K89" s="55"/>
      <c r="L89" s="55"/>
      <c r="M89" s="53"/>
      <c r="N89" s="53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48">
        <v>44606.0</v>
      </c>
      <c r="B90" s="63">
        <v>1740.0</v>
      </c>
      <c r="C90" s="50" t="s">
        <v>1245</v>
      </c>
      <c r="D90" s="50" t="s">
        <v>1248</v>
      </c>
      <c r="E90" s="50">
        <v>1.0</v>
      </c>
      <c r="F90" s="51">
        <v>52.56</v>
      </c>
      <c r="G90" s="50" t="s">
        <v>167</v>
      </c>
      <c r="H90" s="50"/>
      <c r="I90" s="51"/>
      <c r="J90" s="48"/>
      <c r="K90" s="50"/>
      <c r="L90" s="50"/>
      <c r="M90" s="48"/>
      <c r="N90" s="48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53">
        <v>44606.0</v>
      </c>
      <c r="B91" s="54">
        <v>1740.0</v>
      </c>
      <c r="C91" s="55" t="s">
        <v>1245</v>
      </c>
      <c r="D91" s="55" t="s">
        <v>1249</v>
      </c>
      <c r="E91" s="55">
        <v>1.0</v>
      </c>
      <c r="F91" s="56">
        <v>112.3</v>
      </c>
      <c r="G91" s="55" t="s">
        <v>167</v>
      </c>
      <c r="H91" s="55"/>
      <c r="I91" s="56"/>
      <c r="J91" s="53"/>
      <c r="K91" s="55"/>
      <c r="L91" s="55"/>
      <c r="M91" s="53"/>
      <c r="N91" s="53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48">
        <v>44606.0</v>
      </c>
      <c r="B92" s="50"/>
      <c r="C92" s="50" t="s">
        <v>188</v>
      </c>
      <c r="D92" s="50" t="s">
        <v>1250</v>
      </c>
      <c r="E92" s="50">
        <v>4.0</v>
      </c>
      <c r="F92" s="51"/>
      <c r="G92" s="50" t="s">
        <v>241</v>
      </c>
      <c r="H92" s="50"/>
      <c r="I92" s="51"/>
      <c r="J92" s="48"/>
      <c r="K92" s="50"/>
      <c r="L92" s="50"/>
      <c r="M92" s="48"/>
      <c r="N92" s="48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53">
        <v>44608.0</v>
      </c>
      <c r="B93" s="67">
        <v>1742.0</v>
      </c>
      <c r="C93" s="55" t="s">
        <v>1217</v>
      </c>
      <c r="D93" s="55" t="s">
        <v>1218</v>
      </c>
      <c r="E93" s="55">
        <v>350.0</v>
      </c>
      <c r="F93" s="56">
        <v>11294.5</v>
      </c>
      <c r="G93" s="55" t="s">
        <v>167</v>
      </c>
      <c r="H93" s="55"/>
      <c r="I93" s="56"/>
      <c r="J93" s="53"/>
      <c r="K93" s="55"/>
      <c r="L93" s="55"/>
      <c r="M93" s="53"/>
      <c r="N93" s="53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48">
        <v>44613.0</v>
      </c>
      <c r="B94" s="57">
        <v>1755.0</v>
      </c>
      <c r="C94" s="50" t="s">
        <v>19</v>
      </c>
      <c r="D94" s="50" t="s">
        <v>1251</v>
      </c>
      <c r="E94" s="50">
        <v>2.0</v>
      </c>
      <c r="F94" s="51">
        <v>9750.94</v>
      </c>
      <c r="G94" s="50" t="s">
        <v>180</v>
      </c>
      <c r="H94" s="50"/>
      <c r="I94" s="51">
        <v>9750.94</v>
      </c>
      <c r="J94" s="48">
        <v>44636.0</v>
      </c>
      <c r="K94" s="50">
        <v>1716.0</v>
      </c>
      <c r="L94" s="50">
        <v>4.500388041E9</v>
      </c>
      <c r="M94" s="48"/>
      <c r="N94" s="48">
        <v>44667.0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53">
        <v>44613.0</v>
      </c>
      <c r="B95" s="67">
        <v>1756.0</v>
      </c>
      <c r="C95" s="55" t="s">
        <v>19</v>
      </c>
      <c r="D95" s="55" t="s">
        <v>1252</v>
      </c>
      <c r="E95" s="55">
        <v>4.0</v>
      </c>
      <c r="F95" s="56">
        <v>4381.32</v>
      </c>
      <c r="G95" s="55" t="s">
        <v>180</v>
      </c>
      <c r="H95" s="62" t="s">
        <v>1253</v>
      </c>
      <c r="I95" s="56">
        <v>4381.32</v>
      </c>
      <c r="J95" s="53">
        <v>44628.0</v>
      </c>
      <c r="K95" s="55">
        <v>1701.0</v>
      </c>
      <c r="L95" s="55">
        <v>4.500387459E9</v>
      </c>
      <c r="M95" s="53">
        <v>44630.0</v>
      </c>
      <c r="N95" s="53">
        <v>44658.0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48">
        <v>44613.0</v>
      </c>
      <c r="B96" s="57">
        <v>1778.0</v>
      </c>
      <c r="C96" s="50" t="s">
        <v>19</v>
      </c>
      <c r="D96" s="50" t="s">
        <v>1254</v>
      </c>
      <c r="E96" s="50">
        <v>4.0</v>
      </c>
      <c r="F96" s="51">
        <v>8374.6</v>
      </c>
      <c r="G96" s="50" t="s">
        <v>167</v>
      </c>
      <c r="H96" s="50"/>
      <c r="I96" s="51"/>
      <c r="J96" s="48"/>
      <c r="K96" s="50"/>
      <c r="L96" s="50"/>
      <c r="M96" s="48"/>
      <c r="N96" s="4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53">
        <v>44613.0</v>
      </c>
      <c r="B97" s="59" t="s">
        <v>1255</v>
      </c>
      <c r="C97" s="55" t="s">
        <v>19</v>
      </c>
      <c r="D97" s="55" t="s">
        <v>1256</v>
      </c>
      <c r="E97" s="55">
        <v>5.0</v>
      </c>
      <c r="F97" s="56">
        <v>1208.38</v>
      </c>
      <c r="G97" s="55" t="s">
        <v>180</v>
      </c>
      <c r="H97" s="62" t="s">
        <v>1257</v>
      </c>
      <c r="I97" s="56">
        <v>1208.38</v>
      </c>
      <c r="J97" s="53">
        <v>44692.0</v>
      </c>
      <c r="K97" s="55">
        <v>1801.0</v>
      </c>
      <c r="L97" s="55">
        <v>4.500386769E9</v>
      </c>
      <c r="M97" s="53">
        <v>44688.0</v>
      </c>
      <c r="N97" s="53">
        <v>44723.0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48">
        <v>44613.0</v>
      </c>
      <c r="B98" s="63">
        <v>1758.0</v>
      </c>
      <c r="C98" s="50" t="s">
        <v>19</v>
      </c>
      <c r="D98" s="50" t="s">
        <v>1258</v>
      </c>
      <c r="E98" s="50">
        <v>10.0</v>
      </c>
      <c r="F98" s="51">
        <v>9768.2</v>
      </c>
      <c r="G98" s="50" t="s">
        <v>167</v>
      </c>
      <c r="H98" s="50"/>
      <c r="I98" s="51"/>
      <c r="J98" s="48"/>
      <c r="K98" s="50"/>
      <c r="L98" s="50"/>
      <c r="M98" s="48"/>
      <c r="N98" s="4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53">
        <v>44613.0</v>
      </c>
      <c r="B99" s="61">
        <v>1758.0</v>
      </c>
      <c r="C99" s="55" t="s">
        <v>19</v>
      </c>
      <c r="D99" s="55" t="s">
        <v>1259</v>
      </c>
      <c r="E99" s="55">
        <v>10.0</v>
      </c>
      <c r="F99" s="56">
        <v>2921.98</v>
      </c>
      <c r="G99" s="55" t="s">
        <v>241</v>
      </c>
      <c r="H99" s="55"/>
      <c r="I99" s="56"/>
      <c r="J99" s="53"/>
      <c r="K99" s="55"/>
      <c r="L99" s="55"/>
      <c r="M99" s="53"/>
      <c r="N99" s="53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48">
        <v>44613.0</v>
      </c>
      <c r="B100" s="63">
        <v>1758.0</v>
      </c>
      <c r="C100" s="50" t="s">
        <v>19</v>
      </c>
      <c r="D100" s="50" t="s">
        <v>1260</v>
      </c>
      <c r="E100" s="50">
        <v>3.0</v>
      </c>
      <c r="F100" s="51">
        <v>1556.74</v>
      </c>
      <c r="G100" s="50" t="s">
        <v>241</v>
      </c>
      <c r="H100" s="50"/>
      <c r="I100" s="51"/>
      <c r="J100" s="48"/>
      <c r="K100" s="50"/>
      <c r="L100" s="50"/>
      <c r="M100" s="48"/>
      <c r="N100" s="4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53">
        <v>44613.0</v>
      </c>
      <c r="B101" s="54">
        <v>1758.0</v>
      </c>
      <c r="C101" s="55" t="s">
        <v>19</v>
      </c>
      <c r="D101" s="55" t="s">
        <v>1261</v>
      </c>
      <c r="E101" s="55">
        <v>5.0</v>
      </c>
      <c r="F101" s="56">
        <v>3415.71</v>
      </c>
      <c r="G101" s="55" t="s">
        <v>241</v>
      </c>
      <c r="H101" s="55"/>
      <c r="I101" s="56"/>
      <c r="J101" s="53" t="s">
        <v>1262</v>
      </c>
      <c r="K101" s="55"/>
      <c r="L101" s="55"/>
      <c r="M101" s="53"/>
      <c r="N101" s="53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48">
        <v>44614.0</v>
      </c>
      <c r="B102" s="57">
        <v>1760.0</v>
      </c>
      <c r="C102" s="50" t="s">
        <v>188</v>
      </c>
      <c r="D102" s="50" t="s">
        <v>1263</v>
      </c>
      <c r="E102" s="50">
        <v>2.0</v>
      </c>
      <c r="F102" s="51">
        <v>2854.94</v>
      </c>
      <c r="G102" s="50" t="s">
        <v>21</v>
      </c>
      <c r="H102" s="50"/>
      <c r="I102" s="51">
        <v>2854.94</v>
      </c>
      <c r="J102" s="48">
        <v>44630.0</v>
      </c>
      <c r="K102" s="50">
        <v>1704.0</v>
      </c>
      <c r="L102" s="50">
        <v>5.202005094E9</v>
      </c>
      <c r="M102" s="48">
        <v>44628.0</v>
      </c>
      <c r="N102" s="48">
        <v>44669.0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53">
        <v>44614.0</v>
      </c>
      <c r="B103" s="67">
        <v>1762.0</v>
      </c>
      <c r="C103" s="55" t="s">
        <v>707</v>
      </c>
      <c r="D103" s="55" t="s">
        <v>1264</v>
      </c>
      <c r="E103" s="55">
        <v>1.0</v>
      </c>
      <c r="F103" s="56">
        <v>634.42</v>
      </c>
      <c r="G103" s="55" t="s">
        <v>167</v>
      </c>
      <c r="H103" s="55"/>
      <c r="I103" s="56"/>
      <c r="J103" s="53"/>
      <c r="K103" s="55"/>
      <c r="L103" s="55"/>
      <c r="M103" s="53"/>
      <c r="N103" s="53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48">
        <v>44615.0</v>
      </c>
      <c r="B104" s="49">
        <v>1765.0</v>
      </c>
      <c r="C104" s="50" t="s">
        <v>188</v>
      </c>
      <c r="D104" s="50" t="s">
        <v>869</v>
      </c>
      <c r="E104" s="50">
        <v>55.0</v>
      </c>
      <c r="F104" s="51">
        <v>66982.07</v>
      </c>
      <c r="G104" s="50" t="s">
        <v>167</v>
      </c>
      <c r="H104" s="52" t="s">
        <v>1265</v>
      </c>
      <c r="I104" s="51"/>
      <c r="J104" s="48"/>
      <c r="K104" s="50"/>
      <c r="L104" s="50"/>
      <c r="M104" s="48"/>
      <c r="N104" s="4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53">
        <v>44615.0</v>
      </c>
      <c r="B105" s="54">
        <v>1765.0</v>
      </c>
      <c r="C105" s="55" t="s">
        <v>188</v>
      </c>
      <c r="D105" s="55" t="s">
        <v>1266</v>
      </c>
      <c r="E105" s="55">
        <v>13.0</v>
      </c>
      <c r="F105" s="56">
        <v>28220.33</v>
      </c>
      <c r="G105" s="55" t="s">
        <v>167</v>
      </c>
      <c r="H105" s="55"/>
      <c r="I105" s="56"/>
      <c r="J105" s="53"/>
      <c r="K105" s="55"/>
      <c r="L105" s="55"/>
      <c r="M105" s="53"/>
      <c r="N105" s="53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48">
        <v>44615.0</v>
      </c>
      <c r="B106" s="57">
        <v>1771.0</v>
      </c>
      <c r="C106" s="50" t="s">
        <v>1267</v>
      </c>
      <c r="D106" s="50" t="s">
        <v>1268</v>
      </c>
      <c r="E106" s="50">
        <v>2.0</v>
      </c>
      <c r="F106" s="51">
        <v>2885.23</v>
      </c>
      <c r="G106" s="50" t="s">
        <v>180</v>
      </c>
      <c r="H106" s="50"/>
      <c r="I106" s="51">
        <v>2885.23</v>
      </c>
      <c r="J106" s="48">
        <v>44788.0</v>
      </c>
      <c r="K106" s="50">
        <v>1903.0</v>
      </c>
      <c r="L106" s="50">
        <v>114262.0</v>
      </c>
      <c r="M106" s="48">
        <v>44715.0</v>
      </c>
      <c r="N106" s="48">
        <v>44819.0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53">
        <v>44615.0</v>
      </c>
      <c r="B107" s="59">
        <v>1779.0</v>
      </c>
      <c r="C107" s="55" t="s">
        <v>1269</v>
      </c>
      <c r="D107" s="55" t="s">
        <v>1270</v>
      </c>
      <c r="E107" s="55">
        <v>5.0</v>
      </c>
      <c r="F107" s="56"/>
      <c r="G107" s="55" t="s">
        <v>167</v>
      </c>
      <c r="H107" s="62" t="s">
        <v>1271</v>
      </c>
      <c r="I107" s="56"/>
      <c r="J107" s="53"/>
      <c r="K107" s="55"/>
      <c r="L107" s="55"/>
      <c r="M107" s="53"/>
      <c r="N107" s="53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48">
        <v>44615.0</v>
      </c>
      <c r="B108" s="60">
        <v>1779.0</v>
      </c>
      <c r="C108" s="50" t="s">
        <v>1269</v>
      </c>
      <c r="D108" s="50" t="s">
        <v>1272</v>
      </c>
      <c r="E108" s="50">
        <v>5.0</v>
      </c>
      <c r="F108" s="51"/>
      <c r="G108" s="50" t="s">
        <v>167</v>
      </c>
      <c r="H108" s="50"/>
      <c r="I108" s="51"/>
      <c r="J108" s="48"/>
      <c r="K108" s="50"/>
      <c r="L108" s="50"/>
      <c r="M108" s="48"/>
      <c r="N108" s="4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53">
        <v>44615.0</v>
      </c>
      <c r="B109" s="67">
        <v>1766.0</v>
      </c>
      <c r="C109" s="55" t="s">
        <v>44</v>
      </c>
      <c r="D109" s="55" t="s">
        <v>1273</v>
      </c>
      <c r="E109" s="55">
        <v>100.0</v>
      </c>
      <c r="F109" s="56">
        <v>3227.0</v>
      </c>
      <c r="G109" s="55" t="s">
        <v>167</v>
      </c>
      <c r="H109" s="55"/>
      <c r="I109" s="56"/>
      <c r="J109" s="53"/>
      <c r="K109" s="55"/>
      <c r="L109" s="55"/>
      <c r="M109" s="53"/>
      <c r="N109" s="53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48">
        <v>44617.0</v>
      </c>
      <c r="B110" s="57">
        <v>1809.0</v>
      </c>
      <c r="C110" s="50" t="s">
        <v>1274</v>
      </c>
      <c r="D110" s="50" t="s">
        <v>1275</v>
      </c>
      <c r="E110" s="50"/>
      <c r="F110" s="51"/>
      <c r="G110" s="50" t="s">
        <v>167</v>
      </c>
      <c r="H110" s="52" t="s">
        <v>1276</v>
      </c>
      <c r="I110" s="51"/>
      <c r="J110" s="48"/>
      <c r="K110" s="50"/>
      <c r="L110" s="50"/>
      <c r="M110" s="48"/>
      <c r="N110" s="4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53"/>
      <c r="B111" s="55"/>
      <c r="C111" s="55"/>
      <c r="D111" s="55"/>
      <c r="E111" s="55"/>
      <c r="F111" s="56"/>
      <c r="G111" s="55"/>
      <c r="H111" s="55"/>
      <c r="I111" s="56"/>
      <c r="J111" s="53"/>
      <c r="K111" s="55"/>
      <c r="L111" s="55"/>
      <c r="M111" s="53"/>
      <c r="N111" s="53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48">
        <v>44623.0</v>
      </c>
      <c r="B112" s="57">
        <v>1781.0</v>
      </c>
      <c r="C112" s="50" t="s">
        <v>19</v>
      </c>
      <c r="D112" s="50" t="s">
        <v>1277</v>
      </c>
      <c r="E112" s="50">
        <v>5.0</v>
      </c>
      <c r="F112" s="51">
        <v>1386.2</v>
      </c>
      <c r="G112" s="50" t="s">
        <v>180</v>
      </c>
      <c r="H112" s="50"/>
      <c r="I112" s="51">
        <v>1386.2</v>
      </c>
      <c r="J112" s="48">
        <v>44663.0</v>
      </c>
      <c r="K112" s="50">
        <v>1766.0</v>
      </c>
      <c r="L112" s="50">
        <v>4.500388045E9</v>
      </c>
      <c r="M112" s="48">
        <v>44651.0</v>
      </c>
      <c r="N112" s="48">
        <v>44693.0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53">
        <v>44627.0</v>
      </c>
      <c r="B113" s="59">
        <v>1783.0</v>
      </c>
      <c r="C113" s="55" t="s">
        <v>44</v>
      </c>
      <c r="D113" s="55" t="s">
        <v>261</v>
      </c>
      <c r="E113" s="55">
        <v>1.0</v>
      </c>
      <c r="F113" s="56">
        <v>1770.45</v>
      </c>
      <c r="G113" s="55" t="s">
        <v>167</v>
      </c>
      <c r="H113" s="55"/>
      <c r="I113" s="56"/>
      <c r="J113" s="53"/>
      <c r="K113" s="55"/>
      <c r="L113" s="55"/>
      <c r="M113" s="53"/>
      <c r="N113" s="53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48">
        <v>44627.0</v>
      </c>
      <c r="B114" s="60">
        <v>1783.0</v>
      </c>
      <c r="C114" s="50" t="s">
        <v>44</v>
      </c>
      <c r="D114" s="50" t="s">
        <v>221</v>
      </c>
      <c r="E114" s="50">
        <v>2.0</v>
      </c>
      <c r="F114" s="51">
        <v>2122.44</v>
      </c>
      <c r="G114" s="50" t="s">
        <v>167</v>
      </c>
      <c r="H114" s="50"/>
      <c r="I114" s="51"/>
      <c r="J114" s="48"/>
      <c r="K114" s="50"/>
      <c r="L114" s="50"/>
      <c r="M114" s="48"/>
      <c r="N114" s="4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53">
        <v>44627.0</v>
      </c>
      <c r="B115" s="67">
        <v>1791.0</v>
      </c>
      <c r="C115" s="55" t="s">
        <v>19</v>
      </c>
      <c r="D115" s="55" t="s">
        <v>1278</v>
      </c>
      <c r="E115" s="55">
        <v>1.0</v>
      </c>
      <c r="F115" s="56">
        <v>3336.48</v>
      </c>
      <c r="G115" s="55" t="s">
        <v>167</v>
      </c>
      <c r="H115" s="55"/>
      <c r="I115" s="56"/>
      <c r="J115" s="53"/>
      <c r="K115" s="55"/>
      <c r="L115" s="55"/>
      <c r="M115" s="53"/>
      <c r="N115" s="53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48">
        <v>44627.0</v>
      </c>
      <c r="B116" s="57">
        <v>1785.0</v>
      </c>
      <c r="C116" s="50" t="s">
        <v>19</v>
      </c>
      <c r="D116" s="50" t="s">
        <v>1279</v>
      </c>
      <c r="E116" s="50">
        <v>100.0</v>
      </c>
      <c r="F116" s="51">
        <v>320.0</v>
      </c>
      <c r="G116" s="50" t="s">
        <v>180</v>
      </c>
      <c r="H116" s="50"/>
      <c r="I116" s="51">
        <v>320.0</v>
      </c>
      <c r="J116" s="48">
        <v>44636.0</v>
      </c>
      <c r="K116" s="50">
        <v>1717.0</v>
      </c>
      <c r="L116" s="50">
        <v>4.500388253E9</v>
      </c>
      <c r="M116" s="48"/>
      <c r="N116" s="48">
        <v>44667.0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53">
        <v>44627.0</v>
      </c>
      <c r="B117" s="54"/>
      <c r="C117" s="55" t="s">
        <v>19</v>
      </c>
      <c r="D117" s="55" t="s">
        <v>1280</v>
      </c>
      <c r="E117" s="55">
        <v>6.0</v>
      </c>
      <c r="F117" s="56"/>
      <c r="G117" s="55" t="s">
        <v>1281</v>
      </c>
      <c r="H117" s="62" t="s">
        <v>1282</v>
      </c>
      <c r="I117" s="56"/>
      <c r="J117" s="53"/>
      <c r="K117" s="55"/>
      <c r="L117" s="55"/>
      <c r="M117" s="53"/>
      <c r="N117" s="53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48">
        <v>44627.0</v>
      </c>
      <c r="B118" s="57">
        <v>1786.0</v>
      </c>
      <c r="C118" s="50" t="s">
        <v>188</v>
      </c>
      <c r="D118" s="73" t="s">
        <v>1081</v>
      </c>
      <c r="E118" s="50">
        <v>1.0</v>
      </c>
      <c r="F118" s="51">
        <v>14288.44</v>
      </c>
      <c r="G118" s="50" t="s">
        <v>167</v>
      </c>
      <c r="H118" s="50"/>
      <c r="I118" s="51"/>
      <c r="J118" s="48"/>
      <c r="K118" s="50"/>
      <c r="L118" s="50"/>
      <c r="M118" s="48"/>
      <c r="N118" s="4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53">
        <v>44628.0</v>
      </c>
      <c r="B119" s="59">
        <v>1787.0</v>
      </c>
      <c r="C119" s="55" t="s">
        <v>1283</v>
      </c>
      <c r="D119" s="55" t="s">
        <v>1284</v>
      </c>
      <c r="E119" s="55">
        <v>4.0</v>
      </c>
      <c r="F119" s="56">
        <v>9649.2</v>
      </c>
      <c r="G119" s="55" t="s">
        <v>167</v>
      </c>
      <c r="H119" s="55"/>
      <c r="I119" s="56"/>
      <c r="J119" s="53"/>
      <c r="K119" s="55"/>
      <c r="L119" s="55"/>
      <c r="M119" s="53"/>
      <c r="N119" s="53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48">
        <v>44628.0</v>
      </c>
      <c r="B120" s="60">
        <v>1787.0</v>
      </c>
      <c r="C120" s="50" t="s">
        <v>1283</v>
      </c>
      <c r="D120" s="50" t="s">
        <v>1052</v>
      </c>
      <c r="E120" s="50">
        <v>4.0</v>
      </c>
      <c r="F120" s="51">
        <v>2614.72</v>
      </c>
      <c r="G120" s="50" t="s">
        <v>167</v>
      </c>
      <c r="H120" s="50"/>
      <c r="I120" s="51"/>
      <c r="J120" s="48"/>
      <c r="K120" s="50"/>
      <c r="L120" s="50"/>
      <c r="M120" s="48"/>
      <c r="N120" s="4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53">
        <v>44628.0</v>
      </c>
      <c r="B121" s="67">
        <v>1788.0</v>
      </c>
      <c r="C121" s="55" t="s">
        <v>19</v>
      </c>
      <c r="D121" s="55" t="s">
        <v>1285</v>
      </c>
      <c r="E121" s="55">
        <v>1.0</v>
      </c>
      <c r="F121" s="56">
        <v>2829.49</v>
      </c>
      <c r="G121" s="55" t="s">
        <v>180</v>
      </c>
      <c r="H121" s="55"/>
      <c r="I121" s="56">
        <v>2829.49</v>
      </c>
      <c r="J121" s="53">
        <v>44636.0</v>
      </c>
      <c r="K121" s="55">
        <v>1718.0</v>
      </c>
      <c r="L121" s="62">
        <v>4.500388399E9</v>
      </c>
      <c r="M121" s="53"/>
      <c r="N121" s="53">
        <v>44667.0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48">
        <v>44628.0</v>
      </c>
      <c r="B122" s="57">
        <v>1789.0</v>
      </c>
      <c r="C122" s="50" t="s">
        <v>1286</v>
      </c>
      <c r="D122" s="50" t="s">
        <v>1287</v>
      </c>
      <c r="E122" s="50">
        <v>1.0</v>
      </c>
      <c r="F122" s="51"/>
      <c r="G122" s="50" t="s">
        <v>167</v>
      </c>
      <c r="H122" s="50"/>
      <c r="I122" s="51"/>
      <c r="J122" s="48"/>
      <c r="K122" s="50"/>
      <c r="L122" s="50"/>
      <c r="M122" s="48"/>
      <c r="N122" s="4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53">
        <v>44629.0</v>
      </c>
      <c r="B123" s="67">
        <v>1790.0</v>
      </c>
      <c r="C123" s="55" t="s">
        <v>77</v>
      </c>
      <c r="D123" s="55" t="s">
        <v>1288</v>
      </c>
      <c r="E123" s="55">
        <v>1.0</v>
      </c>
      <c r="F123" s="56">
        <v>9423.87</v>
      </c>
      <c r="G123" s="55" t="s">
        <v>167</v>
      </c>
      <c r="H123" s="55"/>
      <c r="I123" s="56"/>
      <c r="J123" s="53"/>
      <c r="K123" s="55"/>
      <c r="L123" s="55"/>
      <c r="M123" s="53"/>
      <c r="N123" s="53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48">
        <v>44629.0</v>
      </c>
      <c r="B124" s="57">
        <v>1805.0</v>
      </c>
      <c r="C124" s="50" t="s">
        <v>1289</v>
      </c>
      <c r="D124" s="50" t="s">
        <v>1290</v>
      </c>
      <c r="E124" s="50">
        <v>1.0</v>
      </c>
      <c r="F124" s="51">
        <v>6382.58</v>
      </c>
      <c r="G124" s="50" t="s">
        <v>167</v>
      </c>
      <c r="H124" s="50"/>
      <c r="I124" s="51"/>
      <c r="J124" s="48"/>
      <c r="K124" s="50"/>
      <c r="L124" s="50"/>
      <c r="M124" s="48"/>
      <c r="N124" s="4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53">
        <v>44629.0</v>
      </c>
      <c r="B125" s="67">
        <v>1799.0</v>
      </c>
      <c r="C125" s="55" t="s">
        <v>19</v>
      </c>
      <c r="D125" s="55" t="s">
        <v>1291</v>
      </c>
      <c r="E125" s="55">
        <v>1.0</v>
      </c>
      <c r="F125" s="56">
        <v>3373.35</v>
      </c>
      <c r="G125" s="55" t="s">
        <v>180</v>
      </c>
      <c r="H125" s="55"/>
      <c r="I125" s="56">
        <v>3373.35</v>
      </c>
      <c r="J125" s="53">
        <v>44642.0</v>
      </c>
      <c r="K125" s="55">
        <v>1721.0</v>
      </c>
      <c r="L125" s="62">
        <v>4.500388558E9</v>
      </c>
      <c r="M125" s="53"/>
      <c r="N125" s="53">
        <v>44673.0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48">
        <v>44629.0</v>
      </c>
      <c r="B126" s="57">
        <v>1800.0</v>
      </c>
      <c r="C126" s="50" t="s">
        <v>1289</v>
      </c>
      <c r="D126" s="50" t="s">
        <v>1292</v>
      </c>
      <c r="E126" s="50">
        <v>2.0</v>
      </c>
      <c r="F126" s="51">
        <v>7837.24</v>
      </c>
      <c r="G126" s="50" t="s">
        <v>167</v>
      </c>
      <c r="H126" s="50"/>
      <c r="I126" s="51"/>
      <c r="J126" s="48"/>
      <c r="K126" s="50"/>
      <c r="L126" s="50"/>
      <c r="M126" s="48"/>
      <c r="N126" s="4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53">
        <v>44630.0</v>
      </c>
      <c r="B127" s="55"/>
      <c r="C127" s="55" t="s">
        <v>188</v>
      </c>
      <c r="D127" s="55" t="s">
        <v>1293</v>
      </c>
      <c r="E127" s="55">
        <v>3.0</v>
      </c>
      <c r="F127" s="56"/>
      <c r="G127" s="55" t="s">
        <v>1281</v>
      </c>
      <c r="H127" s="55"/>
      <c r="I127" s="56"/>
      <c r="J127" s="53"/>
      <c r="K127" s="55"/>
      <c r="L127" s="55"/>
      <c r="M127" s="53"/>
      <c r="N127" s="53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48">
        <v>44630.0</v>
      </c>
      <c r="B128" s="57">
        <v>1806.0</v>
      </c>
      <c r="C128" s="50" t="s">
        <v>19</v>
      </c>
      <c r="D128" s="50" t="s">
        <v>1294</v>
      </c>
      <c r="E128" s="50">
        <v>50.0</v>
      </c>
      <c r="F128" s="51">
        <v>1341.5</v>
      </c>
      <c r="G128" s="50" t="s">
        <v>180</v>
      </c>
      <c r="H128" s="50"/>
      <c r="I128" s="51">
        <v>1341.5</v>
      </c>
      <c r="J128" s="48">
        <v>44656.0</v>
      </c>
      <c r="K128" s="50">
        <v>1753.0</v>
      </c>
      <c r="L128" s="50">
        <v>4.500390359E9</v>
      </c>
      <c r="M128" s="48">
        <v>44656.0</v>
      </c>
      <c r="N128" s="48">
        <v>44686.0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53">
        <v>44630.0</v>
      </c>
      <c r="B129" s="59"/>
      <c r="C129" s="55" t="s">
        <v>19</v>
      </c>
      <c r="D129" s="55" t="s">
        <v>1295</v>
      </c>
      <c r="E129" s="55">
        <v>30.0</v>
      </c>
      <c r="F129" s="56"/>
      <c r="G129" s="55" t="s">
        <v>1281</v>
      </c>
      <c r="H129" s="55"/>
      <c r="I129" s="56"/>
      <c r="J129" s="53"/>
      <c r="K129" s="55"/>
      <c r="L129" s="55"/>
      <c r="M129" s="53"/>
      <c r="N129" s="53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48">
        <v>44630.0</v>
      </c>
      <c r="B130" s="57">
        <v>1810.0</v>
      </c>
      <c r="C130" s="50" t="s">
        <v>19</v>
      </c>
      <c r="D130" s="50" t="s">
        <v>1296</v>
      </c>
      <c r="E130" s="50">
        <v>1.0</v>
      </c>
      <c r="F130" s="51">
        <v>1844.95</v>
      </c>
      <c r="G130" s="50" t="s">
        <v>180</v>
      </c>
      <c r="H130" s="50"/>
      <c r="I130" s="51">
        <v>1844.95</v>
      </c>
      <c r="J130" s="48">
        <v>44747.0</v>
      </c>
      <c r="K130" s="50">
        <v>1856.0</v>
      </c>
      <c r="L130" s="50">
        <v>4.500390769E9</v>
      </c>
      <c r="M130" s="48">
        <v>44657.0</v>
      </c>
      <c r="N130" s="48">
        <v>44778.0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53">
        <v>44630.0</v>
      </c>
      <c r="B131" s="59" t="s">
        <v>1297</v>
      </c>
      <c r="C131" s="55" t="s">
        <v>44</v>
      </c>
      <c r="D131" s="55" t="s">
        <v>778</v>
      </c>
      <c r="E131" s="55">
        <v>2.0</v>
      </c>
      <c r="F131" s="56">
        <v>279.03</v>
      </c>
      <c r="G131" s="55" t="s">
        <v>180</v>
      </c>
      <c r="H131" s="62" t="s">
        <v>1298</v>
      </c>
      <c r="I131" s="56">
        <v>279.02</v>
      </c>
      <c r="J131" s="53">
        <v>44813.0</v>
      </c>
      <c r="K131" s="55">
        <v>1924.0</v>
      </c>
      <c r="L131" s="55">
        <v>4.501515096E9</v>
      </c>
      <c r="M131" s="53">
        <v>44736.0</v>
      </c>
      <c r="N131" s="53">
        <v>44844.0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48">
        <v>44630.0</v>
      </c>
      <c r="B132" s="60" t="s">
        <v>1297</v>
      </c>
      <c r="C132" s="50" t="s">
        <v>44</v>
      </c>
      <c r="D132" s="50" t="s">
        <v>771</v>
      </c>
      <c r="E132" s="50">
        <v>4.0</v>
      </c>
      <c r="F132" s="51">
        <v>197.63</v>
      </c>
      <c r="G132" s="50" t="s">
        <v>180</v>
      </c>
      <c r="H132" s="50"/>
      <c r="I132" s="51">
        <v>197.63</v>
      </c>
      <c r="J132" s="48">
        <v>44813.0</v>
      </c>
      <c r="K132" s="50">
        <v>1924.0</v>
      </c>
      <c r="L132" s="50">
        <v>4.501515096E9</v>
      </c>
      <c r="M132" s="48">
        <v>44736.0</v>
      </c>
      <c r="N132" s="48">
        <v>44844.0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53">
        <v>44630.0</v>
      </c>
      <c r="B133" s="54">
        <v>1816.0</v>
      </c>
      <c r="C133" s="55" t="s">
        <v>44</v>
      </c>
      <c r="D133" s="55" t="s">
        <v>1299</v>
      </c>
      <c r="E133" s="55">
        <v>2.0</v>
      </c>
      <c r="F133" s="56">
        <v>754.93</v>
      </c>
      <c r="G133" s="55" t="s">
        <v>167</v>
      </c>
      <c r="H133" s="55"/>
      <c r="I133" s="56"/>
      <c r="J133" s="53"/>
      <c r="K133" s="55"/>
      <c r="L133" s="55"/>
      <c r="M133" s="53"/>
      <c r="N133" s="53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48">
        <v>44630.0</v>
      </c>
      <c r="B134" s="57">
        <v>1808.0</v>
      </c>
      <c r="C134" s="50" t="s">
        <v>44</v>
      </c>
      <c r="D134" s="50" t="s">
        <v>1300</v>
      </c>
      <c r="E134" s="50">
        <v>6.0</v>
      </c>
      <c r="F134" s="51">
        <v>3848.07</v>
      </c>
      <c r="G134" s="50" t="s">
        <v>180</v>
      </c>
      <c r="H134" s="50"/>
      <c r="I134" s="51">
        <v>3848.07</v>
      </c>
      <c r="J134" s="48">
        <v>44631.0</v>
      </c>
      <c r="K134" s="50">
        <v>1714.0</v>
      </c>
      <c r="L134" s="50">
        <v>4.501512849E9</v>
      </c>
      <c r="M134" s="48"/>
      <c r="N134" s="48">
        <v>44671.0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53">
        <v>44630.0</v>
      </c>
      <c r="B135" s="59">
        <v>1817.0</v>
      </c>
      <c r="C135" s="55" t="s">
        <v>1301</v>
      </c>
      <c r="D135" s="55" t="s">
        <v>778</v>
      </c>
      <c r="E135" s="55">
        <v>2.0</v>
      </c>
      <c r="F135" s="56">
        <v>279.03</v>
      </c>
      <c r="G135" s="55" t="s">
        <v>167</v>
      </c>
      <c r="H135" s="55"/>
      <c r="I135" s="56"/>
      <c r="J135" s="53"/>
      <c r="K135" s="55"/>
      <c r="L135" s="55"/>
      <c r="M135" s="53"/>
      <c r="N135" s="53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48">
        <v>44630.0</v>
      </c>
      <c r="B136" s="60">
        <v>1817.0</v>
      </c>
      <c r="C136" s="50" t="s">
        <v>1301</v>
      </c>
      <c r="D136" s="50" t="s">
        <v>771</v>
      </c>
      <c r="E136" s="50">
        <v>4.0</v>
      </c>
      <c r="F136" s="51">
        <v>197.63</v>
      </c>
      <c r="G136" s="50" t="s">
        <v>167</v>
      </c>
      <c r="H136" s="50"/>
      <c r="I136" s="51"/>
      <c r="J136" s="48"/>
      <c r="K136" s="50"/>
      <c r="L136" s="50"/>
      <c r="M136" s="48"/>
      <c r="N136" s="4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53">
        <v>44630.0</v>
      </c>
      <c r="B137" s="67">
        <v>1829.0</v>
      </c>
      <c r="C137" s="55" t="s">
        <v>44</v>
      </c>
      <c r="D137" s="55" t="s">
        <v>1138</v>
      </c>
      <c r="E137" s="55">
        <v>8.0</v>
      </c>
      <c r="F137" s="56">
        <v>7411.08</v>
      </c>
      <c r="G137" s="55" t="s">
        <v>167</v>
      </c>
      <c r="H137" s="55"/>
      <c r="I137" s="56"/>
      <c r="J137" s="53"/>
      <c r="K137" s="55"/>
      <c r="L137" s="55"/>
      <c r="M137" s="53"/>
      <c r="N137" s="53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48">
        <v>44630.0</v>
      </c>
      <c r="B138" s="57">
        <v>1815.0</v>
      </c>
      <c r="C138" s="50" t="s">
        <v>19</v>
      </c>
      <c r="D138" s="50" t="s">
        <v>1302</v>
      </c>
      <c r="E138" s="50">
        <v>15.0</v>
      </c>
      <c r="F138" s="51">
        <v>3206.4</v>
      </c>
      <c r="G138" s="50" t="s">
        <v>167</v>
      </c>
      <c r="H138" s="50"/>
      <c r="I138" s="51"/>
      <c r="J138" s="48"/>
      <c r="K138" s="50"/>
      <c r="L138" s="50"/>
      <c r="M138" s="48"/>
      <c r="N138" s="4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53">
        <v>44631.0</v>
      </c>
      <c r="B139" s="55"/>
      <c r="C139" s="55" t="s">
        <v>188</v>
      </c>
      <c r="D139" s="55" t="s">
        <v>1303</v>
      </c>
      <c r="E139" s="55">
        <v>12.0</v>
      </c>
      <c r="F139" s="56"/>
      <c r="G139" s="55" t="s">
        <v>241</v>
      </c>
      <c r="H139" s="55"/>
      <c r="I139" s="56"/>
      <c r="J139" s="53"/>
      <c r="K139" s="55"/>
      <c r="L139" s="55"/>
      <c r="M139" s="53"/>
      <c r="N139" s="53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48">
        <v>44631.0</v>
      </c>
      <c r="B140" s="49">
        <v>1867.0</v>
      </c>
      <c r="C140" s="50" t="s">
        <v>1304</v>
      </c>
      <c r="D140" s="50" t="s">
        <v>1305</v>
      </c>
      <c r="E140" s="50">
        <v>6.0</v>
      </c>
      <c r="F140" s="51">
        <v>14341.66</v>
      </c>
      <c r="G140" s="50" t="s">
        <v>167</v>
      </c>
      <c r="H140" s="52" t="s">
        <v>1306</v>
      </c>
      <c r="I140" s="51"/>
      <c r="J140" s="48"/>
      <c r="K140" s="50"/>
      <c r="L140" s="50"/>
      <c r="M140" s="48"/>
      <c r="N140" s="4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53">
        <v>44631.0</v>
      </c>
      <c r="B141" s="54">
        <v>1867.0</v>
      </c>
      <c r="C141" s="55" t="s">
        <v>1304</v>
      </c>
      <c r="D141" s="55" t="s">
        <v>1307</v>
      </c>
      <c r="E141" s="55">
        <v>2.0</v>
      </c>
      <c r="F141" s="56">
        <v>9702.34</v>
      </c>
      <c r="G141" s="55" t="s">
        <v>167</v>
      </c>
      <c r="H141" s="55"/>
      <c r="I141" s="56"/>
      <c r="J141" s="53"/>
      <c r="K141" s="55"/>
      <c r="L141" s="55"/>
      <c r="M141" s="53"/>
      <c r="N141" s="53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48">
        <v>44631.0</v>
      </c>
      <c r="B142" s="50"/>
      <c r="C142" s="50" t="s">
        <v>19</v>
      </c>
      <c r="D142" s="50" t="s">
        <v>1308</v>
      </c>
      <c r="E142" s="50">
        <v>2.0</v>
      </c>
      <c r="F142" s="51"/>
      <c r="G142" s="50" t="s">
        <v>18</v>
      </c>
      <c r="H142" s="50"/>
      <c r="I142" s="51"/>
      <c r="J142" s="48"/>
      <c r="K142" s="50"/>
      <c r="L142" s="50"/>
      <c r="M142" s="48"/>
      <c r="N142" s="4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53">
        <v>44634.0</v>
      </c>
      <c r="B143" s="59">
        <v>1818.0</v>
      </c>
      <c r="C143" s="55" t="s">
        <v>44</v>
      </c>
      <c r="D143" s="55" t="s">
        <v>195</v>
      </c>
      <c r="E143" s="55">
        <v>1.0</v>
      </c>
      <c r="F143" s="56">
        <v>5123.46</v>
      </c>
      <c r="G143" s="55" t="s">
        <v>167</v>
      </c>
      <c r="H143" s="55"/>
      <c r="I143" s="56"/>
      <c r="J143" s="53"/>
      <c r="K143" s="55"/>
      <c r="L143" s="55"/>
      <c r="M143" s="53"/>
      <c r="N143" s="53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48">
        <v>44634.0</v>
      </c>
      <c r="B144" s="60">
        <v>1818.0</v>
      </c>
      <c r="C144" s="50" t="s">
        <v>44</v>
      </c>
      <c r="D144" s="50" t="s">
        <v>431</v>
      </c>
      <c r="E144" s="50">
        <v>1.0</v>
      </c>
      <c r="F144" s="51">
        <v>5107.89</v>
      </c>
      <c r="G144" s="50" t="s">
        <v>167</v>
      </c>
      <c r="H144" s="50"/>
      <c r="I144" s="51"/>
      <c r="J144" s="48"/>
      <c r="K144" s="50"/>
      <c r="L144" s="50"/>
      <c r="M144" s="48"/>
      <c r="N144" s="4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53">
        <v>44634.0</v>
      </c>
      <c r="B145" s="59" t="s">
        <v>1309</v>
      </c>
      <c r="C145" s="55" t="s">
        <v>44</v>
      </c>
      <c r="D145" s="55" t="s">
        <v>137</v>
      </c>
      <c r="E145" s="55">
        <v>1.0</v>
      </c>
      <c r="F145" s="56">
        <v>773.56</v>
      </c>
      <c r="G145" s="55" t="s">
        <v>180</v>
      </c>
      <c r="H145" s="62" t="s">
        <v>1310</v>
      </c>
      <c r="I145" s="56">
        <v>773.56</v>
      </c>
      <c r="J145" s="53">
        <v>44804.0</v>
      </c>
      <c r="K145" s="55">
        <v>1920.0</v>
      </c>
      <c r="L145" s="55">
        <v>4.501516688E9</v>
      </c>
      <c r="M145" s="53">
        <v>44738.0</v>
      </c>
      <c r="N145" s="53">
        <v>44835.0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48">
        <v>44634.0</v>
      </c>
      <c r="B146" s="63" t="s">
        <v>1309</v>
      </c>
      <c r="C146" s="50" t="s">
        <v>44</v>
      </c>
      <c r="D146" s="50" t="s">
        <v>45</v>
      </c>
      <c r="E146" s="50">
        <v>1.0</v>
      </c>
      <c r="F146" s="51">
        <v>1500.8</v>
      </c>
      <c r="G146" s="50" t="s">
        <v>180</v>
      </c>
      <c r="H146" s="50"/>
      <c r="I146" s="51">
        <v>1500.8</v>
      </c>
      <c r="J146" s="48">
        <v>44649.0</v>
      </c>
      <c r="K146" s="50">
        <v>1728.0</v>
      </c>
      <c r="L146" s="50">
        <v>4.501516688E9</v>
      </c>
      <c r="M146" s="48">
        <v>44698.0</v>
      </c>
      <c r="N146" s="48">
        <v>44682.0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53">
        <v>44634.0</v>
      </c>
      <c r="B147" s="61" t="s">
        <v>1309</v>
      </c>
      <c r="C147" s="55" t="s">
        <v>44</v>
      </c>
      <c r="D147" s="55" t="s">
        <v>837</v>
      </c>
      <c r="E147" s="55">
        <v>1.0</v>
      </c>
      <c r="F147" s="56">
        <v>1349.13</v>
      </c>
      <c r="G147" s="55" t="s">
        <v>180</v>
      </c>
      <c r="H147" s="55"/>
      <c r="I147" s="56">
        <v>1349.13</v>
      </c>
      <c r="J147" s="53">
        <v>44748.0</v>
      </c>
      <c r="K147" s="55">
        <v>1859.0</v>
      </c>
      <c r="L147" s="55">
        <v>4.501516688E9</v>
      </c>
      <c r="M147" s="53">
        <v>44698.0</v>
      </c>
      <c r="N147" s="53">
        <v>44747.0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48">
        <v>44634.0</v>
      </c>
      <c r="B148" s="63" t="s">
        <v>1309</v>
      </c>
      <c r="C148" s="50" t="s">
        <v>44</v>
      </c>
      <c r="D148" s="50" t="s">
        <v>825</v>
      </c>
      <c r="E148" s="50">
        <v>1.0</v>
      </c>
      <c r="F148" s="51">
        <v>1346.88</v>
      </c>
      <c r="G148" s="50" t="s">
        <v>180</v>
      </c>
      <c r="H148" s="50"/>
      <c r="I148" s="51">
        <v>1346.88</v>
      </c>
      <c r="J148" s="48">
        <v>44649.0</v>
      </c>
      <c r="K148" s="50">
        <v>1728.0</v>
      </c>
      <c r="L148" s="50">
        <v>4.501516688E9</v>
      </c>
      <c r="M148" s="48"/>
      <c r="N148" s="48">
        <v>44682.0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53">
        <v>44634.0</v>
      </c>
      <c r="B149" s="61" t="s">
        <v>1309</v>
      </c>
      <c r="C149" s="55" t="s">
        <v>44</v>
      </c>
      <c r="D149" s="55" t="s">
        <v>1296</v>
      </c>
      <c r="E149" s="55">
        <v>1.0</v>
      </c>
      <c r="F149" s="56">
        <v>1944.78</v>
      </c>
      <c r="G149" s="55" t="s">
        <v>180</v>
      </c>
      <c r="H149" s="55"/>
      <c r="I149" s="56">
        <v>1944.78</v>
      </c>
      <c r="J149" s="53">
        <v>44649.0</v>
      </c>
      <c r="K149" s="55">
        <v>1728.0</v>
      </c>
      <c r="L149" s="55">
        <v>4.501516688E9</v>
      </c>
      <c r="M149" s="53"/>
      <c r="N149" s="53">
        <v>44682.0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48">
        <v>44634.0</v>
      </c>
      <c r="B150" s="63" t="s">
        <v>1309</v>
      </c>
      <c r="C150" s="50" t="s">
        <v>44</v>
      </c>
      <c r="D150" s="50" t="s">
        <v>1311</v>
      </c>
      <c r="E150" s="50">
        <v>10.0</v>
      </c>
      <c r="F150" s="51">
        <v>429.9</v>
      </c>
      <c r="G150" s="50" t="s">
        <v>180</v>
      </c>
      <c r="H150" s="50"/>
      <c r="I150" s="51">
        <v>429.9</v>
      </c>
      <c r="J150" s="48">
        <v>44748.0</v>
      </c>
      <c r="K150" s="50">
        <v>1859.0</v>
      </c>
      <c r="L150" s="50">
        <v>4.501516688E9</v>
      </c>
      <c r="M150" s="48">
        <v>44758.0</v>
      </c>
      <c r="N150" s="48">
        <v>44747.0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53">
        <v>44634.0</v>
      </c>
      <c r="B151" s="54" t="s">
        <v>1309</v>
      </c>
      <c r="C151" s="55" t="s">
        <v>44</v>
      </c>
      <c r="D151" s="55" t="s">
        <v>1311</v>
      </c>
      <c r="E151" s="55">
        <v>20.0</v>
      </c>
      <c r="F151" s="56">
        <v>859.79</v>
      </c>
      <c r="G151" s="55" t="s">
        <v>180</v>
      </c>
      <c r="H151" s="55"/>
      <c r="I151" s="56">
        <v>859.79</v>
      </c>
      <c r="J151" s="53">
        <v>44748.0</v>
      </c>
      <c r="K151" s="55">
        <v>1859.0</v>
      </c>
      <c r="L151" s="55">
        <v>4.501516688E9</v>
      </c>
      <c r="M151" s="53">
        <v>44758.0</v>
      </c>
      <c r="N151" s="53">
        <v>44747.0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48">
        <v>44634.0</v>
      </c>
      <c r="B152" s="63">
        <v>1837.0</v>
      </c>
      <c r="C152" s="50" t="s">
        <v>1312</v>
      </c>
      <c r="D152" s="64" t="s">
        <v>1313</v>
      </c>
      <c r="E152" s="50">
        <v>1.0</v>
      </c>
      <c r="F152" s="51">
        <v>3780.0382</v>
      </c>
      <c r="G152" s="50" t="s">
        <v>167</v>
      </c>
      <c r="H152" s="50"/>
      <c r="I152" s="51"/>
      <c r="J152" s="48"/>
      <c r="K152" s="50"/>
      <c r="L152" s="50"/>
      <c r="M152" s="48"/>
      <c r="N152" s="4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53">
        <v>44634.0</v>
      </c>
      <c r="B153" s="61">
        <v>1837.0</v>
      </c>
      <c r="C153" s="55" t="s">
        <v>1312</v>
      </c>
      <c r="D153" s="65" t="s">
        <v>1314</v>
      </c>
      <c r="E153" s="55">
        <v>1.0</v>
      </c>
      <c r="F153" s="56">
        <v>812.85</v>
      </c>
      <c r="G153" s="55" t="s">
        <v>167</v>
      </c>
      <c r="H153" s="55"/>
      <c r="I153" s="56"/>
      <c r="J153" s="53"/>
      <c r="K153" s="55"/>
      <c r="L153" s="55"/>
      <c r="M153" s="53"/>
      <c r="N153" s="53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48">
        <v>44634.0</v>
      </c>
      <c r="B154" s="63">
        <v>1837.0</v>
      </c>
      <c r="C154" s="50" t="s">
        <v>1312</v>
      </c>
      <c r="D154" s="64" t="s">
        <v>1315</v>
      </c>
      <c r="E154" s="50">
        <v>1.0</v>
      </c>
      <c r="F154" s="51">
        <v>1829.01</v>
      </c>
      <c r="G154" s="50" t="s">
        <v>167</v>
      </c>
      <c r="H154" s="50"/>
      <c r="I154" s="51"/>
      <c r="J154" s="48"/>
      <c r="K154" s="50"/>
      <c r="L154" s="50"/>
      <c r="M154" s="48"/>
      <c r="N154" s="4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53">
        <v>44634.0</v>
      </c>
      <c r="B155" s="61">
        <v>1837.0</v>
      </c>
      <c r="C155" s="55" t="s">
        <v>1312</v>
      </c>
      <c r="D155" s="65" t="s">
        <v>1316</v>
      </c>
      <c r="E155" s="55">
        <v>1.0</v>
      </c>
      <c r="F155" s="56">
        <v>1381.89</v>
      </c>
      <c r="G155" s="55" t="s">
        <v>167</v>
      </c>
      <c r="H155" s="55"/>
      <c r="I155" s="56"/>
      <c r="J155" s="53"/>
      <c r="K155" s="55"/>
      <c r="L155" s="55"/>
      <c r="M155" s="53"/>
      <c r="N155" s="53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48">
        <v>44634.0</v>
      </c>
      <c r="B156" s="60">
        <v>1837.0</v>
      </c>
      <c r="C156" s="50" t="s">
        <v>1312</v>
      </c>
      <c r="D156" s="64" t="s">
        <v>1317</v>
      </c>
      <c r="E156" s="50">
        <v>1.0</v>
      </c>
      <c r="F156" s="51">
        <v>2348.96</v>
      </c>
      <c r="G156" s="50" t="s">
        <v>167</v>
      </c>
      <c r="H156" s="50"/>
      <c r="I156" s="51"/>
      <c r="J156" s="48"/>
      <c r="K156" s="50"/>
      <c r="L156" s="50"/>
      <c r="M156" s="48"/>
      <c r="N156" s="4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53">
        <v>44634.0</v>
      </c>
      <c r="B157" s="59">
        <v>1835.0</v>
      </c>
      <c r="C157" s="55" t="s">
        <v>44</v>
      </c>
      <c r="D157" s="55" t="s">
        <v>1318</v>
      </c>
      <c r="E157" s="55">
        <v>1.0</v>
      </c>
      <c r="F157" s="56">
        <v>1114.39</v>
      </c>
      <c r="G157" s="55" t="s">
        <v>180</v>
      </c>
      <c r="H157" s="62" t="s">
        <v>1319</v>
      </c>
      <c r="I157" s="56">
        <v>1114.39</v>
      </c>
      <c r="J157" s="53">
        <v>44644.0</v>
      </c>
      <c r="K157" s="55">
        <v>1724.0</v>
      </c>
      <c r="L157" s="55">
        <v>4.501518374E9</v>
      </c>
      <c r="M157" s="53"/>
      <c r="N157" s="53">
        <v>44682.0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48">
        <v>44634.0</v>
      </c>
      <c r="B158" s="49">
        <v>1834.0</v>
      </c>
      <c r="C158" s="50" t="s">
        <v>44</v>
      </c>
      <c r="D158" s="50" t="s">
        <v>1320</v>
      </c>
      <c r="E158" s="50">
        <v>50.0</v>
      </c>
      <c r="F158" s="51">
        <v>3301.14</v>
      </c>
      <c r="G158" s="50" t="s">
        <v>180</v>
      </c>
      <c r="H158" s="52" t="s">
        <v>1321</v>
      </c>
      <c r="I158" s="51">
        <v>3301.14</v>
      </c>
      <c r="J158" s="48">
        <v>44605.0</v>
      </c>
      <c r="K158" s="50">
        <v>1804.0</v>
      </c>
      <c r="L158" s="50">
        <v>4.501516486E9</v>
      </c>
      <c r="M158" s="48"/>
      <c r="N158" s="4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53">
        <v>44634.0</v>
      </c>
      <c r="B159" s="61">
        <v>1834.0</v>
      </c>
      <c r="C159" s="55" t="s">
        <v>44</v>
      </c>
      <c r="D159" s="55" t="s">
        <v>1322</v>
      </c>
      <c r="E159" s="55">
        <v>2.0</v>
      </c>
      <c r="F159" s="56">
        <v>832.6</v>
      </c>
      <c r="G159" s="55" t="s">
        <v>180</v>
      </c>
      <c r="H159" s="55"/>
      <c r="I159" s="56">
        <v>832.6</v>
      </c>
      <c r="J159" s="53">
        <v>44658.0</v>
      </c>
      <c r="K159" s="55">
        <v>1760.0</v>
      </c>
      <c r="L159" s="55">
        <v>4.501516486E9</v>
      </c>
      <c r="M159" s="53"/>
      <c r="N159" s="53">
        <v>44691.0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48">
        <v>44634.0</v>
      </c>
      <c r="B160" s="63">
        <v>1834.0</v>
      </c>
      <c r="C160" s="50" t="s">
        <v>44</v>
      </c>
      <c r="D160" s="50" t="s">
        <v>1323</v>
      </c>
      <c r="E160" s="50">
        <v>5.0</v>
      </c>
      <c r="F160" s="51">
        <v>170.06</v>
      </c>
      <c r="G160" s="50" t="s">
        <v>180</v>
      </c>
      <c r="H160" s="50"/>
      <c r="I160" s="51">
        <v>170.06</v>
      </c>
      <c r="J160" s="48">
        <v>44649.0</v>
      </c>
      <c r="K160" s="50">
        <v>1729.0</v>
      </c>
      <c r="L160" s="50">
        <v>4.501516486E9</v>
      </c>
      <c r="M160" s="48"/>
      <c r="N160" s="48">
        <v>44682.0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53">
        <v>44634.0</v>
      </c>
      <c r="B161" s="61">
        <v>1834.0</v>
      </c>
      <c r="C161" s="55" t="s">
        <v>44</v>
      </c>
      <c r="D161" s="55" t="s">
        <v>1324</v>
      </c>
      <c r="E161" s="55">
        <v>8.0</v>
      </c>
      <c r="F161" s="56"/>
      <c r="G161" s="55" t="s">
        <v>1281</v>
      </c>
      <c r="H161" s="55"/>
      <c r="I161" s="56"/>
      <c r="J161" s="53"/>
      <c r="K161" s="55"/>
      <c r="L161" s="55"/>
      <c r="M161" s="53"/>
      <c r="N161" s="53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48">
        <v>44634.0</v>
      </c>
      <c r="B162" s="63">
        <v>1834.0</v>
      </c>
      <c r="C162" s="50" t="s">
        <v>44</v>
      </c>
      <c r="D162" s="50" t="s">
        <v>1325</v>
      </c>
      <c r="E162" s="50">
        <v>20.0</v>
      </c>
      <c r="F162" s="51">
        <v>2335.39</v>
      </c>
      <c r="G162" s="50" t="s">
        <v>180</v>
      </c>
      <c r="H162" s="50"/>
      <c r="I162" s="51">
        <v>2335.39</v>
      </c>
      <c r="J162" s="48">
        <v>44762.0</v>
      </c>
      <c r="K162" s="50">
        <v>1873.0</v>
      </c>
      <c r="L162" s="50">
        <v>4.501516486E9</v>
      </c>
      <c r="M162" s="48">
        <v>44737.0</v>
      </c>
      <c r="N162" s="48">
        <v>44793.0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53">
        <v>44634.0</v>
      </c>
      <c r="B163" s="61">
        <v>1834.0</v>
      </c>
      <c r="C163" s="55" t="s">
        <v>44</v>
      </c>
      <c r="D163" s="55" t="s">
        <v>278</v>
      </c>
      <c r="E163" s="55">
        <v>5.0</v>
      </c>
      <c r="F163" s="56">
        <v>53.07</v>
      </c>
      <c r="G163" s="55" t="s">
        <v>180</v>
      </c>
      <c r="H163" s="55"/>
      <c r="I163" s="56">
        <v>53.07</v>
      </c>
      <c r="J163" s="53">
        <v>44762.0</v>
      </c>
      <c r="K163" s="55">
        <v>1873.0</v>
      </c>
      <c r="L163" s="55">
        <v>4.501516486E9</v>
      </c>
      <c r="M163" s="53">
        <v>44757.0</v>
      </c>
      <c r="N163" s="53">
        <v>44793.0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48">
        <v>44634.0</v>
      </c>
      <c r="B164" s="63">
        <v>1834.0</v>
      </c>
      <c r="C164" s="50" t="s">
        <v>44</v>
      </c>
      <c r="D164" s="50" t="s">
        <v>1326</v>
      </c>
      <c r="E164" s="50">
        <v>6.0</v>
      </c>
      <c r="F164" s="51">
        <v>867.19</v>
      </c>
      <c r="G164" s="50" t="s">
        <v>180</v>
      </c>
      <c r="H164" s="50"/>
      <c r="I164" s="51">
        <v>867.19</v>
      </c>
      <c r="J164" s="48">
        <v>44762.0</v>
      </c>
      <c r="K164" s="50">
        <v>1873.0</v>
      </c>
      <c r="L164" s="50">
        <v>4.501516486E9</v>
      </c>
      <c r="M164" s="48">
        <v>44777.0</v>
      </c>
      <c r="N164" s="48">
        <v>44793.0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53">
        <v>44634.0</v>
      </c>
      <c r="B165" s="61">
        <v>1834.0</v>
      </c>
      <c r="C165" s="55" t="s">
        <v>44</v>
      </c>
      <c r="D165" s="55" t="s">
        <v>826</v>
      </c>
      <c r="E165" s="55">
        <v>1.0</v>
      </c>
      <c r="F165" s="56">
        <v>1685.7</v>
      </c>
      <c r="G165" s="55" t="s">
        <v>180</v>
      </c>
      <c r="H165" s="55"/>
      <c r="I165" s="56">
        <v>1685.7</v>
      </c>
      <c r="J165" s="53">
        <v>44649.0</v>
      </c>
      <c r="K165" s="55">
        <v>1729.0</v>
      </c>
      <c r="L165" s="55">
        <v>4.501516486E9</v>
      </c>
      <c r="M165" s="53"/>
      <c r="N165" s="53">
        <v>44682.0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48">
        <v>44634.0</v>
      </c>
      <c r="B166" s="60">
        <v>1834.0</v>
      </c>
      <c r="C166" s="50" t="s">
        <v>44</v>
      </c>
      <c r="D166" s="50" t="s">
        <v>1327</v>
      </c>
      <c r="E166" s="50">
        <v>1.0</v>
      </c>
      <c r="F166" s="51">
        <v>458.19</v>
      </c>
      <c r="G166" s="50" t="s">
        <v>180</v>
      </c>
      <c r="H166" s="50"/>
      <c r="I166" s="51">
        <v>458.19</v>
      </c>
      <c r="J166" s="48">
        <v>44649.0</v>
      </c>
      <c r="K166" s="50">
        <v>1729.0</v>
      </c>
      <c r="L166" s="50">
        <v>4.501516486E9</v>
      </c>
      <c r="M166" s="48"/>
      <c r="N166" s="48">
        <v>44682.0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53">
        <v>44635.0</v>
      </c>
      <c r="B167" s="61">
        <v>1821.0</v>
      </c>
      <c r="C167" s="55" t="s">
        <v>44</v>
      </c>
      <c r="D167" s="55" t="s">
        <v>1328</v>
      </c>
      <c r="E167" s="55">
        <v>2.0</v>
      </c>
      <c r="F167" s="56">
        <v>2584.32</v>
      </c>
      <c r="G167" s="55" t="s">
        <v>180</v>
      </c>
      <c r="H167" s="55"/>
      <c r="I167" s="56">
        <v>2584.32</v>
      </c>
      <c r="J167" s="53">
        <v>45147.0</v>
      </c>
      <c r="K167" s="55" t="s">
        <v>1329</v>
      </c>
      <c r="L167" s="55">
        <v>4.501516682E9</v>
      </c>
      <c r="M167" s="53">
        <v>44698.0</v>
      </c>
      <c r="N167" s="53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48">
        <v>44635.0</v>
      </c>
      <c r="B168" s="63">
        <v>2183.0</v>
      </c>
      <c r="C168" s="50" t="s">
        <v>44</v>
      </c>
      <c r="D168" s="50" t="s">
        <v>1328</v>
      </c>
      <c r="E168" s="50">
        <v>2.0</v>
      </c>
      <c r="F168" s="51">
        <v>2584.32</v>
      </c>
      <c r="G168" s="50" t="s">
        <v>180</v>
      </c>
      <c r="H168" s="50"/>
      <c r="I168" s="51">
        <v>2584.32</v>
      </c>
      <c r="J168" s="48">
        <v>44783.0</v>
      </c>
      <c r="K168" s="50">
        <v>1899.0</v>
      </c>
      <c r="L168" s="50">
        <v>4.501516682E9</v>
      </c>
      <c r="M168" s="48"/>
      <c r="N168" s="48">
        <v>44814.0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53">
        <v>44635.0</v>
      </c>
      <c r="B169" s="59">
        <v>1822.0</v>
      </c>
      <c r="C169" s="55" t="s">
        <v>44</v>
      </c>
      <c r="D169" s="55" t="s">
        <v>1330</v>
      </c>
      <c r="E169" s="55">
        <v>20.0</v>
      </c>
      <c r="F169" s="56">
        <v>2250.4</v>
      </c>
      <c r="G169" s="55" t="s">
        <v>180</v>
      </c>
      <c r="H169" s="62" t="s">
        <v>1331</v>
      </c>
      <c r="I169" s="56">
        <v>2250.4</v>
      </c>
      <c r="J169" s="53">
        <v>44762.0</v>
      </c>
      <c r="K169" s="55">
        <v>1874.0</v>
      </c>
      <c r="L169" s="55">
        <v>4.501526418E9</v>
      </c>
      <c r="M169" s="53">
        <v>44777.0</v>
      </c>
      <c r="N169" s="53">
        <v>44793.0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48">
        <v>44635.0</v>
      </c>
      <c r="B170" s="63">
        <v>1822.0</v>
      </c>
      <c r="C170" s="50" t="s">
        <v>44</v>
      </c>
      <c r="D170" s="50" t="s">
        <v>1332</v>
      </c>
      <c r="E170" s="50">
        <v>50.0</v>
      </c>
      <c r="F170" s="51">
        <v>8966.39</v>
      </c>
      <c r="G170" s="50" t="s">
        <v>180</v>
      </c>
      <c r="H170" s="50"/>
      <c r="I170" s="51">
        <v>8966.39</v>
      </c>
      <c r="J170" s="48">
        <v>44762.0</v>
      </c>
      <c r="K170" s="50">
        <v>1874.0</v>
      </c>
      <c r="L170" s="50">
        <v>4.501526418E9</v>
      </c>
      <c r="M170" s="48">
        <v>44747.0</v>
      </c>
      <c r="N170" s="48">
        <v>44793.0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53">
        <v>44635.0</v>
      </c>
      <c r="B171" s="61">
        <v>1822.0</v>
      </c>
      <c r="C171" s="55" t="s">
        <v>44</v>
      </c>
      <c r="D171" s="55" t="s">
        <v>1332</v>
      </c>
      <c r="E171" s="55">
        <v>20.0</v>
      </c>
      <c r="F171" s="56">
        <v>3586.6</v>
      </c>
      <c r="G171" s="55" t="s">
        <v>180</v>
      </c>
      <c r="H171" s="55"/>
      <c r="I171" s="56">
        <v>3586.6</v>
      </c>
      <c r="J171" s="53">
        <v>44762.0</v>
      </c>
      <c r="K171" s="55">
        <v>1874.0</v>
      </c>
      <c r="L171" s="55">
        <v>4.501526418E9</v>
      </c>
      <c r="M171" s="53">
        <v>44747.0</v>
      </c>
      <c r="N171" s="53">
        <v>44793.0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48">
        <v>44635.0</v>
      </c>
      <c r="B172" s="63">
        <v>1822.0</v>
      </c>
      <c r="C172" s="50" t="s">
        <v>44</v>
      </c>
      <c r="D172" s="50" t="s">
        <v>750</v>
      </c>
      <c r="E172" s="50">
        <v>5.0</v>
      </c>
      <c r="F172" s="51">
        <v>120.95</v>
      </c>
      <c r="G172" s="50" t="s">
        <v>180</v>
      </c>
      <c r="H172" s="50"/>
      <c r="I172" s="51">
        <v>120.95</v>
      </c>
      <c r="J172" s="48">
        <v>44762.0</v>
      </c>
      <c r="K172" s="50">
        <v>1874.0</v>
      </c>
      <c r="L172" s="50">
        <v>4.501526418E9</v>
      </c>
      <c r="M172" s="48">
        <v>44747.0</v>
      </c>
      <c r="N172" s="48">
        <v>44793.0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53">
        <v>44635.0</v>
      </c>
      <c r="B173" s="61">
        <v>1822.0</v>
      </c>
      <c r="C173" s="55" t="s">
        <v>44</v>
      </c>
      <c r="D173" s="68" t="s">
        <v>1333</v>
      </c>
      <c r="E173" s="55">
        <v>1.0</v>
      </c>
      <c r="F173" s="56">
        <v>2840.4</v>
      </c>
      <c r="G173" s="55" t="s">
        <v>180</v>
      </c>
      <c r="H173" s="55"/>
      <c r="I173" s="56">
        <v>2840.4</v>
      </c>
      <c r="J173" s="53">
        <v>44658.0</v>
      </c>
      <c r="K173" s="55">
        <v>1759.0</v>
      </c>
      <c r="L173" s="55">
        <v>4.501526418E9</v>
      </c>
      <c r="M173" s="53"/>
      <c r="N173" s="53">
        <v>44691.0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48">
        <v>44635.0</v>
      </c>
      <c r="B174" s="49" t="s">
        <v>1334</v>
      </c>
      <c r="C174" s="50" t="s">
        <v>44</v>
      </c>
      <c r="D174" s="50" t="s">
        <v>1300</v>
      </c>
      <c r="E174" s="50">
        <v>1.0</v>
      </c>
      <c r="F174" s="51">
        <v>579.54</v>
      </c>
      <c r="G174" s="50" t="s">
        <v>180</v>
      </c>
      <c r="H174" s="50"/>
      <c r="I174" s="51">
        <v>579.54</v>
      </c>
      <c r="J174" s="48">
        <v>44665.0</v>
      </c>
      <c r="K174" s="50">
        <v>1772.0</v>
      </c>
      <c r="L174" s="50">
        <v>4.501422644E9</v>
      </c>
      <c r="M174" s="48"/>
      <c r="N174" s="48">
        <v>44701.0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53">
        <v>44635.0</v>
      </c>
      <c r="B175" s="61" t="s">
        <v>1334</v>
      </c>
      <c r="C175" s="55" t="s">
        <v>44</v>
      </c>
      <c r="D175" s="55" t="s">
        <v>1335</v>
      </c>
      <c r="E175" s="55">
        <v>1.0</v>
      </c>
      <c r="F175" s="56">
        <v>991.24</v>
      </c>
      <c r="G175" s="55" t="s">
        <v>180</v>
      </c>
      <c r="H175" s="55"/>
      <c r="I175" s="56">
        <v>991.24</v>
      </c>
      <c r="J175" s="53">
        <v>44665.0</v>
      </c>
      <c r="K175" s="55">
        <v>1772.0</v>
      </c>
      <c r="L175" s="55">
        <v>4.501422644E9</v>
      </c>
      <c r="M175" s="53"/>
      <c r="N175" s="53">
        <v>44701.0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48">
        <v>44635.0</v>
      </c>
      <c r="B176" s="63" t="s">
        <v>1334</v>
      </c>
      <c r="C176" s="50" t="s">
        <v>44</v>
      </c>
      <c r="D176" s="50" t="s">
        <v>1336</v>
      </c>
      <c r="E176" s="50">
        <v>1.0</v>
      </c>
      <c r="F176" s="51">
        <v>1130.49</v>
      </c>
      <c r="G176" s="50" t="s">
        <v>180</v>
      </c>
      <c r="H176" s="50"/>
      <c r="I176" s="51">
        <v>1130.49</v>
      </c>
      <c r="J176" s="48">
        <v>44665.0</v>
      </c>
      <c r="K176" s="50">
        <v>1772.0</v>
      </c>
      <c r="L176" s="50">
        <v>4.501422644E9</v>
      </c>
      <c r="M176" s="48"/>
      <c r="N176" s="48">
        <v>44701.0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53">
        <v>44635.0</v>
      </c>
      <c r="B177" s="61" t="s">
        <v>1334</v>
      </c>
      <c r="C177" s="55" t="s">
        <v>44</v>
      </c>
      <c r="D177" s="55" t="s">
        <v>1337</v>
      </c>
      <c r="E177" s="55">
        <v>1.0</v>
      </c>
      <c r="F177" s="56">
        <v>1852.81</v>
      </c>
      <c r="G177" s="55" t="s">
        <v>180</v>
      </c>
      <c r="H177" s="55"/>
      <c r="I177" s="56">
        <v>1852.81</v>
      </c>
      <c r="J177" s="53">
        <v>44762.0</v>
      </c>
      <c r="K177" s="55">
        <v>1871.0</v>
      </c>
      <c r="L177" s="55">
        <v>4.501422644E9</v>
      </c>
      <c r="M177" s="53">
        <v>44790.0</v>
      </c>
      <c r="N177" s="53">
        <v>44793.0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48">
        <v>44635.0</v>
      </c>
      <c r="B178" s="60" t="s">
        <v>1334</v>
      </c>
      <c r="C178" s="50" t="s">
        <v>44</v>
      </c>
      <c r="D178" s="50" t="s">
        <v>1338</v>
      </c>
      <c r="E178" s="50">
        <v>1.0</v>
      </c>
      <c r="F178" s="51">
        <v>2584.73</v>
      </c>
      <c r="G178" s="50" t="s">
        <v>180</v>
      </c>
      <c r="H178" s="50"/>
      <c r="I178" s="51">
        <v>2584.73</v>
      </c>
      <c r="J178" s="48">
        <v>44762.0</v>
      </c>
      <c r="K178" s="50">
        <v>1871.0</v>
      </c>
      <c r="L178" s="50">
        <v>4.501422644E9</v>
      </c>
      <c r="M178" s="48">
        <v>44790.0</v>
      </c>
      <c r="N178" s="48">
        <v>44793.0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53">
        <v>44635.0</v>
      </c>
      <c r="B179" s="55"/>
      <c r="C179" s="55" t="s">
        <v>44</v>
      </c>
      <c r="D179" s="55" t="s">
        <v>1339</v>
      </c>
      <c r="E179" s="55">
        <v>1.0</v>
      </c>
      <c r="F179" s="56"/>
      <c r="G179" s="55" t="s">
        <v>18</v>
      </c>
      <c r="H179" s="55"/>
      <c r="I179" s="56"/>
      <c r="J179" s="53"/>
      <c r="K179" s="55"/>
      <c r="L179" s="55"/>
      <c r="M179" s="53"/>
      <c r="N179" s="53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48">
        <v>44635.0</v>
      </c>
      <c r="B180" s="50"/>
      <c r="C180" s="50" t="s">
        <v>188</v>
      </c>
      <c r="D180" s="50" t="s">
        <v>1340</v>
      </c>
      <c r="E180" s="50">
        <v>1.0</v>
      </c>
      <c r="F180" s="51"/>
      <c r="G180" s="50" t="s">
        <v>18</v>
      </c>
      <c r="H180" s="50"/>
      <c r="I180" s="51"/>
      <c r="J180" s="48"/>
      <c r="K180" s="50"/>
      <c r="L180" s="50"/>
      <c r="M180" s="48"/>
      <c r="N180" s="4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53">
        <v>44635.0</v>
      </c>
      <c r="B181" s="55"/>
      <c r="C181" s="55" t="s">
        <v>188</v>
      </c>
      <c r="D181" s="55" t="s">
        <v>1341</v>
      </c>
      <c r="E181" s="55">
        <v>8.0</v>
      </c>
      <c r="F181" s="56"/>
      <c r="G181" s="55" t="s">
        <v>18</v>
      </c>
      <c r="H181" s="55"/>
      <c r="I181" s="56"/>
      <c r="J181" s="53"/>
      <c r="K181" s="55"/>
      <c r="L181" s="55"/>
      <c r="M181" s="53"/>
      <c r="N181" s="53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48">
        <v>44635.0</v>
      </c>
      <c r="B182" s="50"/>
      <c r="C182" s="50" t="s">
        <v>188</v>
      </c>
      <c r="D182" s="50" t="s">
        <v>1341</v>
      </c>
      <c r="E182" s="50">
        <v>4.0</v>
      </c>
      <c r="F182" s="51"/>
      <c r="G182" s="50" t="s">
        <v>18</v>
      </c>
      <c r="H182" s="50"/>
      <c r="I182" s="51"/>
      <c r="J182" s="48"/>
      <c r="K182" s="50"/>
      <c r="L182" s="50"/>
      <c r="M182" s="48"/>
      <c r="N182" s="4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53">
        <v>44635.0</v>
      </c>
      <c r="B183" s="59">
        <v>1830.0</v>
      </c>
      <c r="C183" s="55" t="s">
        <v>77</v>
      </c>
      <c r="D183" s="55" t="s">
        <v>778</v>
      </c>
      <c r="E183" s="55">
        <v>2.0</v>
      </c>
      <c r="F183" s="56">
        <v>279.03</v>
      </c>
      <c r="G183" s="55" t="s">
        <v>167</v>
      </c>
      <c r="H183" s="55"/>
      <c r="I183" s="56"/>
      <c r="J183" s="53"/>
      <c r="K183" s="55"/>
      <c r="L183" s="55"/>
      <c r="M183" s="53"/>
      <c r="N183" s="53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48">
        <v>44635.0</v>
      </c>
      <c r="B184" s="60">
        <v>1830.0</v>
      </c>
      <c r="C184" s="50" t="s">
        <v>77</v>
      </c>
      <c r="D184" s="50" t="s">
        <v>771</v>
      </c>
      <c r="E184" s="50">
        <v>4.0</v>
      </c>
      <c r="F184" s="51">
        <v>197.63</v>
      </c>
      <c r="G184" s="50" t="s">
        <v>167</v>
      </c>
      <c r="H184" s="50"/>
      <c r="I184" s="51"/>
      <c r="J184" s="48"/>
      <c r="K184" s="50"/>
      <c r="L184" s="50"/>
      <c r="M184" s="48"/>
      <c r="N184" s="4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53">
        <v>44636.0</v>
      </c>
      <c r="B185" s="67">
        <v>1819.0</v>
      </c>
      <c r="C185" s="55" t="s">
        <v>44</v>
      </c>
      <c r="D185" s="55" t="s">
        <v>1342</v>
      </c>
      <c r="E185" s="55">
        <v>3.0</v>
      </c>
      <c r="F185" s="56">
        <v>9879.21</v>
      </c>
      <c r="G185" s="55" t="s">
        <v>180</v>
      </c>
      <c r="H185" s="62" t="s">
        <v>1343</v>
      </c>
      <c r="I185" s="56">
        <v>8927.31</v>
      </c>
      <c r="J185" s="53">
        <v>44762.0</v>
      </c>
      <c r="K185" s="55">
        <v>1872.0</v>
      </c>
      <c r="L185" s="55">
        <v>4.501522693E9</v>
      </c>
      <c r="M185" s="53"/>
      <c r="N185" s="53">
        <v>44793.0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48">
        <v>44636.0</v>
      </c>
      <c r="B186" s="57">
        <v>1832.0</v>
      </c>
      <c r="C186" s="50" t="s">
        <v>44</v>
      </c>
      <c r="D186" s="50" t="s">
        <v>1344</v>
      </c>
      <c r="E186" s="50">
        <v>1.0</v>
      </c>
      <c r="F186" s="51">
        <v>5045.28</v>
      </c>
      <c r="G186" s="50" t="s">
        <v>180</v>
      </c>
      <c r="H186" s="50"/>
      <c r="I186" s="51">
        <v>5045.28</v>
      </c>
      <c r="J186" s="48">
        <v>44658.0</v>
      </c>
      <c r="K186" s="50">
        <v>1758.0</v>
      </c>
      <c r="L186" s="50">
        <v>4.501523016E9</v>
      </c>
      <c r="M186" s="48"/>
      <c r="N186" s="48">
        <v>44691.0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53">
        <v>44636.0</v>
      </c>
      <c r="B187" s="59">
        <v>1843.0</v>
      </c>
      <c r="C187" s="55" t="s">
        <v>44</v>
      </c>
      <c r="D187" s="55" t="s">
        <v>1345</v>
      </c>
      <c r="E187" s="55">
        <v>200.0</v>
      </c>
      <c r="F187" s="56">
        <v>6186.0</v>
      </c>
      <c r="G187" s="55" t="s">
        <v>167</v>
      </c>
      <c r="H187" s="55" t="s">
        <v>1343</v>
      </c>
      <c r="I187" s="56"/>
      <c r="J187" s="53"/>
      <c r="K187" s="55"/>
      <c r="L187" s="55"/>
      <c r="M187" s="53"/>
      <c r="N187" s="53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48">
        <v>44636.0</v>
      </c>
      <c r="B188" s="60" t="s">
        <v>1346</v>
      </c>
      <c r="C188" s="50" t="s">
        <v>44</v>
      </c>
      <c r="D188" s="50" t="s">
        <v>1345</v>
      </c>
      <c r="E188" s="50">
        <v>5.0</v>
      </c>
      <c r="F188" s="51">
        <v>154.65</v>
      </c>
      <c r="G188" s="50" t="s">
        <v>180</v>
      </c>
      <c r="H188" s="50"/>
      <c r="I188" s="51">
        <v>154.65</v>
      </c>
      <c r="J188" s="48">
        <v>44658.0</v>
      </c>
      <c r="K188" s="50">
        <v>1757.0</v>
      </c>
      <c r="L188" s="50">
        <v>4.501524871E9</v>
      </c>
      <c r="M188" s="48"/>
      <c r="N188" s="48">
        <v>44691.0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53">
        <v>44636.0</v>
      </c>
      <c r="B189" s="54"/>
      <c r="C189" s="55" t="s">
        <v>44</v>
      </c>
      <c r="D189" s="55" t="s">
        <v>1347</v>
      </c>
      <c r="E189" s="55">
        <v>10.0</v>
      </c>
      <c r="F189" s="56"/>
      <c r="G189" s="55" t="s">
        <v>1281</v>
      </c>
      <c r="H189" s="55"/>
      <c r="I189" s="56"/>
      <c r="J189" s="53"/>
      <c r="K189" s="55"/>
      <c r="L189" s="55"/>
      <c r="M189" s="53"/>
      <c r="N189" s="53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48">
        <v>44637.0</v>
      </c>
      <c r="B190" s="57">
        <v>1839.0</v>
      </c>
      <c r="C190" s="50" t="s">
        <v>1348</v>
      </c>
      <c r="D190" s="50" t="s">
        <v>1349</v>
      </c>
      <c r="E190" s="50">
        <v>1.0</v>
      </c>
      <c r="F190" s="51">
        <v>199.99</v>
      </c>
      <c r="G190" s="50" t="s">
        <v>167</v>
      </c>
      <c r="H190" s="50"/>
      <c r="I190" s="51"/>
      <c r="J190" s="48"/>
      <c r="K190" s="50"/>
      <c r="L190" s="50"/>
      <c r="M190" s="48"/>
      <c r="N190" s="4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53">
        <v>44637.0</v>
      </c>
      <c r="B191" s="59">
        <v>1838.0</v>
      </c>
      <c r="C191" s="55" t="s">
        <v>1301</v>
      </c>
      <c r="D191" s="55" t="s">
        <v>1320</v>
      </c>
      <c r="E191" s="55">
        <v>50.0</v>
      </c>
      <c r="F191" s="56">
        <v>773.56</v>
      </c>
      <c r="G191" s="55" t="s">
        <v>167</v>
      </c>
      <c r="H191" s="55"/>
      <c r="I191" s="56"/>
      <c r="J191" s="53"/>
      <c r="K191" s="55"/>
      <c r="L191" s="55"/>
      <c r="M191" s="53"/>
      <c r="N191" s="53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48">
        <v>44637.0</v>
      </c>
      <c r="B192" s="63">
        <v>1838.0</v>
      </c>
      <c r="C192" s="50" t="s">
        <v>1301</v>
      </c>
      <c r="D192" s="50" t="s">
        <v>1322</v>
      </c>
      <c r="E192" s="50">
        <v>2.0</v>
      </c>
      <c r="F192" s="51">
        <v>5123.46</v>
      </c>
      <c r="G192" s="50" t="s">
        <v>167</v>
      </c>
      <c r="H192" s="50"/>
      <c r="I192" s="51"/>
      <c r="J192" s="48"/>
      <c r="K192" s="50"/>
      <c r="L192" s="50"/>
      <c r="M192" s="48"/>
      <c r="N192" s="4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53">
        <v>44637.0</v>
      </c>
      <c r="B193" s="61">
        <v>1838.0</v>
      </c>
      <c r="C193" s="55" t="s">
        <v>1301</v>
      </c>
      <c r="D193" s="55" t="s">
        <v>1323</v>
      </c>
      <c r="E193" s="55">
        <v>5.0</v>
      </c>
      <c r="F193" s="56">
        <v>5107.89</v>
      </c>
      <c r="G193" s="55" t="s">
        <v>167</v>
      </c>
      <c r="H193" s="55"/>
      <c r="I193" s="56"/>
      <c r="J193" s="53"/>
      <c r="K193" s="55"/>
      <c r="L193" s="55"/>
      <c r="M193" s="53"/>
      <c r="N193" s="53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48">
        <v>44637.0</v>
      </c>
      <c r="B194" s="63">
        <v>1838.0</v>
      </c>
      <c r="C194" s="50" t="s">
        <v>1301</v>
      </c>
      <c r="D194" s="50" t="s">
        <v>1324</v>
      </c>
      <c r="E194" s="50">
        <v>8.0</v>
      </c>
      <c r="F194" s="51">
        <v>1500.8</v>
      </c>
      <c r="G194" s="50" t="s">
        <v>167</v>
      </c>
      <c r="H194" s="50"/>
      <c r="I194" s="51"/>
      <c r="J194" s="48"/>
      <c r="K194" s="50"/>
      <c r="L194" s="50"/>
      <c r="M194" s="48"/>
      <c r="N194" s="4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53">
        <v>44637.0</v>
      </c>
      <c r="B195" s="61">
        <v>1838.0</v>
      </c>
      <c r="C195" s="55" t="s">
        <v>1301</v>
      </c>
      <c r="D195" s="55" t="s">
        <v>1325</v>
      </c>
      <c r="E195" s="55">
        <v>20.0</v>
      </c>
      <c r="F195" s="56">
        <v>1349.13</v>
      </c>
      <c r="G195" s="55" t="s">
        <v>167</v>
      </c>
      <c r="H195" s="55"/>
      <c r="I195" s="56"/>
      <c r="J195" s="53"/>
      <c r="K195" s="55"/>
      <c r="L195" s="55"/>
      <c r="M195" s="53"/>
      <c r="N195" s="53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48">
        <v>44637.0</v>
      </c>
      <c r="B196" s="63">
        <v>1838.0</v>
      </c>
      <c r="C196" s="50" t="s">
        <v>1301</v>
      </c>
      <c r="D196" s="50" t="s">
        <v>278</v>
      </c>
      <c r="E196" s="50">
        <v>5.0</v>
      </c>
      <c r="F196" s="51">
        <v>1346.87</v>
      </c>
      <c r="G196" s="50" t="s">
        <v>167</v>
      </c>
      <c r="H196" s="50"/>
      <c r="I196" s="51"/>
      <c r="J196" s="48"/>
      <c r="K196" s="50"/>
      <c r="L196" s="50"/>
      <c r="M196" s="48"/>
      <c r="N196" s="4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53">
        <v>44637.0</v>
      </c>
      <c r="B197" s="61">
        <v>1838.0</v>
      </c>
      <c r="C197" s="55" t="s">
        <v>1301</v>
      </c>
      <c r="D197" s="55" t="s">
        <v>1326</v>
      </c>
      <c r="E197" s="55">
        <v>6.0</v>
      </c>
      <c r="F197" s="56">
        <v>1944.78</v>
      </c>
      <c r="G197" s="55" t="s">
        <v>167</v>
      </c>
      <c r="H197" s="55"/>
      <c r="I197" s="56"/>
      <c r="J197" s="53"/>
      <c r="K197" s="55"/>
      <c r="L197" s="55"/>
      <c r="M197" s="53"/>
      <c r="N197" s="53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48">
        <v>44637.0</v>
      </c>
      <c r="B198" s="63">
        <v>1838.0</v>
      </c>
      <c r="C198" s="50" t="s">
        <v>1301</v>
      </c>
      <c r="D198" s="50" t="s">
        <v>826</v>
      </c>
      <c r="E198" s="50">
        <v>1.0</v>
      </c>
      <c r="F198" s="51">
        <v>429.99</v>
      </c>
      <c r="G198" s="50" t="s">
        <v>167</v>
      </c>
      <c r="H198" s="50"/>
      <c r="I198" s="51"/>
      <c r="J198" s="48"/>
      <c r="K198" s="50"/>
      <c r="L198" s="50"/>
      <c r="M198" s="48"/>
      <c r="N198" s="4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53">
        <v>44637.0</v>
      </c>
      <c r="B199" s="61">
        <v>1838.0</v>
      </c>
      <c r="C199" s="55" t="s">
        <v>1301</v>
      </c>
      <c r="D199" s="55" t="s">
        <v>1327</v>
      </c>
      <c r="E199" s="55">
        <v>1.0</v>
      </c>
      <c r="F199" s="56">
        <v>859.98</v>
      </c>
      <c r="G199" s="55" t="s">
        <v>167</v>
      </c>
      <c r="H199" s="55"/>
      <c r="I199" s="56"/>
      <c r="J199" s="53"/>
      <c r="K199" s="55"/>
      <c r="L199" s="55"/>
      <c r="M199" s="53"/>
      <c r="N199" s="53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48">
        <v>44637.0</v>
      </c>
      <c r="B200" s="63">
        <v>1838.0</v>
      </c>
      <c r="C200" s="50" t="s">
        <v>1301</v>
      </c>
      <c r="D200" s="50" t="s">
        <v>1330</v>
      </c>
      <c r="E200" s="50">
        <v>20.0</v>
      </c>
      <c r="F200" s="51">
        <v>2250.4</v>
      </c>
      <c r="G200" s="50" t="s">
        <v>167</v>
      </c>
      <c r="H200" s="50"/>
      <c r="I200" s="51"/>
      <c r="J200" s="48"/>
      <c r="K200" s="50"/>
      <c r="L200" s="50"/>
      <c r="M200" s="48"/>
      <c r="N200" s="4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53">
        <v>44637.0</v>
      </c>
      <c r="B201" s="61">
        <v>1838.0</v>
      </c>
      <c r="C201" s="55" t="s">
        <v>1301</v>
      </c>
      <c r="D201" s="55" t="s">
        <v>1332</v>
      </c>
      <c r="E201" s="55">
        <v>50.0</v>
      </c>
      <c r="F201" s="56">
        <v>8966.39</v>
      </c>
      <c r="G201" s="55" t="s">
        <v>167</v>
      </c>
      <c r="H201" s="55"/>
      <c r="I201" s="56"/>
      <c r="J201" s="53"/>
      <c r="K201" s="55"/>
      <c r="L201" s="55"/>
      <c r="M201" s="53"/>
      <c r="N201" s="53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48">
        <v>44637.0</v>
      </c>
      <c r="B202" s="63">
        <v>1838.0</v>
      </c>
      <c r="C202" s="50" t="s">
        <v>1301</v>
      </c>
      <c r="D202" s="50" t="s">
        <v>1332</v>
      </c>
      <c r="E202" s="50">
        <v>20.0</v>
      </c>
      <c r="F202" s="51">
        <v>3586.6</v>
      </c>
      <c r="G202" s="50" t="s">
        <v>167</v>
      </c>
      <c r="H202" s="50"/>
      <c r="I202" s="51"/>
      <c r="J202" s="48"/>
      <c r="K202" s="50"/>
      <c r="L202" s="50"/>
      <c r="M202" s="48"/>
      <c r="N202" s="4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53">
        <v>44637.0</v>
      </c>
      <c r="B203" s="61">
        <v>1838.0</v>
      </c>
      <c r="C203" s="55" t="s">
        <v>1301</v>
      </c>
      <c r="D203" s="55" t="s">
        <v>750</v>
      </c>
      <c r="E203" s="55">
        <v>5.0</v>
      </c>
      <c r="F203" s="56">
        <v>120.95</v>
      </c>
      <c r="G203" s="55" t="s">
        <v>167</v>
      </c>
      <c r="H203" s="55"/>
      <c r="I203" s="56"/>
      <c r="J203" s="53"/>
      <c r="K203" s="55"/>
      <c r="L203" s="55"/>
      <c r="M203" s="53"/>
      <c r="N203" s="53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48">
        <v>44637.0</v>
      </c>
      <c r="B204" s="60">
        <v>1838.0</v>
      </c>
      <c r="C204" s="50" t="s">
        <v>1301</v>
      </c>
      <c r="D204" s="73" t="s">
        <v>1333</v>
      </c>
      <c r="E204" s="50">
        <v>1.0</v>
      </c>
      <c r="F204" s="51">
        <v>2840.4</v>
      </c>
      <c r="G204" s="50" t="s">
        <v>167</v>
      </c>
      <c r="H204" s="50"/>
      <c r="I204" s="51"/>
      <c r="J204" s="48"/>
      <c r="K204" s="50"/>
      <c r="L204" s="50"/>
      <c r="M204" s="48"/>
      <c r="N204" s="4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53">
        <v>44637.0</v>
      </c>
      <c r="B205" s="67">
        <v>1841.0</v>
      </c>
      <c r="C205" s="55" t="s">
        <v>77</v>
      </c>
      <c r="D205" s="55" t="s">
        <v>837</v>
      </c>
      <c r="E205" s="55">
        <v>2.0</v>
      </c>
      <c r="F205" s="56">
        <v>2584.33</v>
      </c>
      <c r="G205" s="55" t="s">
        <v>167</v>
      </c>
      <c r="H205" s="55"/>
      <c r="I205" s="56"/>
      <c r="J205" s="53"/>
      <c r="K205" s="55"/>
      <c r="L205" s="55"/>
      <c r="M205" s="53"/>
      <c r="N205" s="53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48">
        <v>44637.0</v>
      </c>
      <c r="B206" s="49">
        <v>1840.0</v>
      </c>
      <c r="C206" s="50" t="s">
        <v>77</v>
      </c>
      <c r="D206" s="50" t="s">
        <v>137</v>
      </c>
      <c r="E206" s="50">
        <v>1.0</v>
      </c>
      <c r="F206" s="51">
        <v>773.56</v>
      </c>
      <c r="G206" s="50" t="s">
        <v>167</v>
      </c>
      <c r="H206" s="50"/>
      <c r="I206" s="51"/>
      <c r="J206" s="48"/>
      <c r="K206" s="50"/>
      <c r="L206" s="50"/>
      <c r="M206" s="48"/>
      <c r="N206" s="4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53">
        <v>44637.0</v>
      </c>
      <c r="B207" s="61">
        <v>1840.0</v>
      </c>
      <c r="C207" s="55" t="s">
        <v>77</v>
      </c>
      <c r="D207" s="55" t="s">
        <v>195</v>
      </c>
      <c r="E207" s="55">
        <v>1.0</v>
      </c>
      <c r="F207" s="56">
        <v>5123.46</v>
      </c>
      <c r="G207" s="55" t="s">
        <v>167</v>
      </c>
      <c r="H207" s="55"/>
      <c r="I207" s="56"/>
      <c r="J207" s="53"/>
      <c r="K207" s="55"/>
      <c r="L207" s="55"/>
      <c r="M207" s="53"/>
      <c r="N207" s="53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48">
        <v>44637.0</v>
      </c>
      <c r="B208" s="63">
        <v>1840.0</v>
      </c>
      <c r="C208" s="50" t="s">
        <v>77</v>
      </c>
      <c r="D208" s="50" t="s">
        <v>431</v>
      </c>
      <c r="E208" s="50">
        <v>1.0</v>
      </c>
      <c r="F208" s="51">
        <v>5107.89</v>
      </c>
      <c r="G208" s="50" t="s">
        <v>167</v>
      </c>
      <c r="H208" s="50"/>
      <c r="I208" s="51"/>
      <c r="J208" s="48"/>
      <c r="K208" s="50"/>
      <c r="L208" s="50"/>
      <c r="M208" s="48"/>
      <c r="N208" s="4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53">
        <v>44637.0</v>
      </c>
      <c r="B209" s="61">
        <v>1840.0</v>
      </c>
      <c r="C209" s="55" t="s">
        <v>77</v>
      </c>
      <c r="D209" s="55" t="s">
        <v>45</v>
      </c>
      <c r="E209" s="55">
        <v>1.0</v>
      </c>
      <c r="F209" s="56">
        <v>1500.8</v>
      </c>
      <c r="G209" s="55" t="s">
        <v>167</v>
      </c>
      <c r="H209" s="55"/>
      <c r="I209" s="56"/>
      <c r="J209" s="53"/>
      <c r="K209" s="55"/>
      <c r="L209" s="55"/>
      <c r="M209" s="53"/>
      <c r="N209" s="53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48">
        <v>44637.0</v>
      </c>
      <c r="B210" s="63">
        <v>1840.0</v>
      </c>
      <c r="C210" s="50" t="s">
        <v>77</v>
      </c>
      <c r="D210" s="50" t="s">
        <v>837</v>
      </c>
      <c r="E210" s="50">
        <v>1.0</v>
      </c>
      <c r="F210" s="51">
        <v>1349.13</v>
      </c>
      <c r="G210" s="50" t="s">
        <v>167</v>
      </c>
      <c r="H210" s="50"/>
      <c r="I210" s="51"/>
      <c r="J210" s="48"/>
      <c r="K210" s="50"/>
      <c r="L210" s="50"/>
      <c r="M210" s="48"/>
      <c r="N210" s="4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53">
        <v>44637.0</v>
      </c>
      <c r="B211" s="61">
        <v>1840.0</v>
      </c>
      <c r="C211" s="55" t="s">
        <v>77</v>
      </c>
      <c r="D211" s="55" t="s">
        <v>825</v>
      </c>
      <c r="E211" s="55">
        <v>1.0</v>
      </c>
      <c r="F211" s="56">
        <v>1346.87</v>
      </c>
      <c r="G211" s="55" t="s">
        <v>167</v>
      </c>
      <c r="H211" s="55"/>
      <c r="I211" s="56"/>
      <c r="J211" s="53"/>
      <c r="K211" s="55"/>
      <c r="L211" s="55"/>
      <c r="M211" s="53"/>
      <c r="N211" s="53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48">
        <v>44637.0</v>
      </c>
      <c r="B212" s="63">
        <v>1840.0</v>
      </c>
      <c r="C212" s="50" t="s">
        <v>77</v>
      </c>
      <c r="D212" s="50" t="s">
        <v>1296</v>
      </c>
      <c r="E212" s="50">
        <v>1.0</v>
      </c>
      <c r="F212" s="51">
        <v>1944.78</v>
      </c>
      <c r="G212" s="50" t="s">
        <v>167</v>
      </c>
      <c r="H212" s="50"/>
      <c r="I212" s="51"/>
      <c r="J212" s="48"/>
      <c r="K212" s="50"/>
      <c r="L212" s="50"/>
      <c r="M212" s="48"/>
      <c r="N212" s="4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53">
        <v>44637.0</v>
      </c>
      <c r="B213" s="61">
        <v>1840.0</v>
      </c>
      <c r="C213" s="55" t="s">
        <v>77</v>
      </c>
      <c r="D213" s="55" t="s">
        <v>1311</v>
      </c>
      <c r="E213" s="55">
        <v>10.0</v>
      </c>
      <c r="F213" s="56">
        <v>429.99</v>
      </c>
      <c r="G213" s="55" t="s">
        <v>167</v>
      </c>
      <c r="H213" s="55"/>
      <c r="I213" s="56"/>
      <c r="J213" s="53"/>
      <c r="K213" s="55"/>
      <c r="L213" s="55"/>
      <c r="M213" s="53"/>
      <c r="N213" s="53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48">
        <v>44637.0</v>
      </c>
      <c r="B214" s="60">
        <v>1840.0</v>
      </c>
      <c r="C214" s="50" t="s">
        <v>77</v>
      </c>
      <c r="D214" s="50" t="s">
        <v>1311</v>
      </c>
      <c r="E214" s="50">
        <v>20.0</v>
      </c>
      <c r="F214" s="51">
        <v>859.98</v>
      </c>
      <c r="G214" s="50" t="s">
        <v>167</v>
      </c>
      <c r="H214" s="50"/>
      <c r="I214" s="51"/>
      <c r="J214" s="48"/>
      <c r="K214" s="50"/>
      <c r="L214" s="50"/>
      <c r="M214" s="48"/>
      <c r="N214" s="4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53">
        <v>44638.0</v>
      </c>
      <c r="B215" s="55"/>
      <c r="C215" s="55" t="s">
        <v>77</v>
      </c>
      <c r="D215" s="55" t="s">
        <v>1350</v>
      </c>
      <c r="E215" s="55">
        <v>20.0</v>
      </c>
      <c r="F215" s="56"/>
      <c r="G215" s="55" t="s">
        <v>241</v>
      </c>
      <c r="H215" s="62" t="s">
        <v>1351</v>
      </c>
      <c r="I215" s="56"/>
      <c r="J215" s="53"/>
      <c r="K215" s="55"/>
      <c r="L215" s="55"/>
      <c r="M215" s="53"/>
      <c r="N215" s="53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48">
        <v>44638.0</v>
      </c>
      <c r="B216" s="57">
        <v>1854.0</v>
      </c>
      <c r="C216" s="50" t="s">
        <v>1352</v>
      </c>
      <c r="D216" s="50" t="s">
        <v>680</v>
      </c>
      <c r="E216" s="50">
        <v>1.0</v>
      </c>
      <c r="F216" s="51">
        <v>7086.17</v>
      </c>
      <c r="G216" s="50" t="s">
        <v>167</v>
      </c>
      <c r="H216" s="52" t="s">
        <v>1353</v>
      </c>
      <c r="I216" s="51"/>
      <c r="J216" s="48"/>
      <c r="K216" s="50"/>
      <c r="L216" s="50"/>
      <c r="M216" s="48"/>
      <c r="N216" s="4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53">
        <v>44638.0</v>
      </c>
      <c r="B217" s="67" t="s">
        <v>1354</v>
      </c>
      <c r="C217" s="55" t="s">
        <v>77</v>
      </c>
      <c r="D217" s="55" t="s">
        <v>24</v>
      </c>
      <c r="E217" s="55">
        <v>20.0</v>
      </c>
      <c r="F217" s="56">
        <v>683.6</v>
      </c>
      <c r="G217" s="55" t="s">
        <v>180</v>
      </c>
      <c r="H217" s="55"/>
      <c r="I217" s="56">
        <v>683.6</v>
      </c>
      <c r="J217" s="53">
        <v>44645.0</v>
      </c>
      <c r="K217" s="55">
        <v>1726.0</v>
      </c>
      <c r="L217" s="55">
        <v>166083.0</v>
      </c>
      <c r="M217" s="53">
        <v>44642.0</v>
      </c>
      <c r="N217" s="53">
        <v>44673.0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48">
        <v>44641.0</v>
      </c>
      <c r="B218" s="57">
        <v>1845.0</v>
      </c>
      <c r="C218" s="50" t="s">
        <v>44</v>
      </c>
      <c r="D218" s="50" t="s">
        <v>1318</v>
      </c>
      <c r="E218" s="50">
        <v>1.0</v>
      </c>
      <c r="F218" s="51">
        <v>1114.39</v>
      </c>
      <c r="G218" s="50" t="s">
        <v>167</v>
      </c>
      <c r="H218" s="50"/>
      <c r="I218" s="51"/>
      <c r="J218" s="48"/>
      <c r="K218" s="50"/>
      <c r="L218" s="50"/>
      <c r="M218" s="48"/>
      <c r="N218" s="4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53">
        <v>44641.0</v>
      </c>
      <c r="B219" s="67">
        <v>1853.0</v>
      </c>
      <c r="C219" s="55" t="s">
        <v>77</v>
      </c>
      <c r="D219" s="55" t="s">
        <v>1355</v>
      </c>
      <c r="E219" s="55">
        <v>1.0</v>
      </c>
      <c r="F219" s="56">
        <v>896.88</v>
      </c>
      <c r="G219" s="55" t="s">
        <v>180</v>
      </c>
      <c r="H219" s="55"/>
      <c r="I219" s="56">
        <v>896.88</v>
      </c>
      <c r="J219" s="53">
        <v>44939.0</v>
      </c>
      <c r="K219" s="55">
        <v>2039.0</v>
      </c>
      <c r="L219" s="55">
        <v>166419.0</v>
      </c>
      <c r="M219" s="53">
        <v>44718.0</v>
      </c>
      <c r="N219" s="53">
        <v>44970.0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48">
        <v>44641.0</v>
      </c>
      <c r="B220" s="49">
        <v>1847.0</v>
      </c>
      <c r="C220" s="50" t="s">
        <v>77</v>
      </c>
      <c r="D220" s="50" t="s">
        <v>1330</v>
      </c>
      <c r="E220" s="50">
        <v>20.0</v>
      </c>
      <c r="F220" s="51">
        <v>2250.4</v>
      </c>
      <c r="G220" s="50" t="s">
        <v>167</v>
      </c>
      <c r="H220" s="50"/>
      <c r="I220" s="51"/>
      <c r="J220" s="48"/>
      <c r="K220" s="50"/>
      <c r="L220" s="50"/>
      <c r="M220" s="48"/>
      <c r="N220" s="4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53">
        <v>44641.0</v>
      </c>
      <c r="B221" s="61">
        <v>1847.0</v>
      </c>
      <c r="C221" s="55" t="s">
        <v>77</v>
      </c>
      <c r="D221" s="55" t="s">
        <v>1332</v>
      </c>
      <c r="E221" s="55">
        <v>50.0</v>
      </c>
      <c r="F221" s="56">
        <v>8966.39</v>
      </c>
      <c r="G221" s="55" t="s">
        <v>167</v>
      </c>
      <c r="H221" s="55"/>
      <c r="I221" s="56"/>
      <c r="J221" s="53"/>
      <c r="K221" s="55"/>
      <c r="L221" s="55"/>
      <c r="M221" s="53"/>
      <c r="N221" s="53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48">
        <v>44641.0</v>
      </c>
      <c r="B222" s="63">
        <v>1847.0</v>
      </c>
      <c r="C222" s="50" t="s">
        <v>77</v>
      </c>
      <c r="D222" s="50" t="s">
        <v>1332</v>
      </c>
      <c r="E222" s="50">
        <v>20.0</v>
      </c>
      <c r="F222" s="51">
        <v>3586.6</v>
      </c>
      <c r="G222" s="50" t="s">
        <v>167</v>
      </c>
      <c r="H222" s="50"/>
      <c r="I222" s="51"/>
      <c r="J222" s="48"/>
      <c r="K222" s="50"/>
      <c r="L222" s="50"/>
      <c r="M222" s="48"/>
      <c r="N222" s="4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53">
        <v>44641.0</v>
      </c>
      <c r="B223" s="61">
        <v>1847.0</v>
      </c>
      <c r="C223" s="55" t="s">
        <v>77</v>
      </c>
      <c r="D223" s="55" t="s">
        <v>750</v>
      </c>
      <c r="E223" s="55">
        <v>5.0</v>
      </c>
      <c r="F223" s="56">
        <v>120.95</v>
      </c>
      <c r="G223" s="55" t="s">
        <v>167</v>
      </c>
      <c r="H223" s="55"/>
      <c r="I223" s="56"/>
      <c r="J223" s="53"/>
      <c r="K223" s="55"/>
      <c r="L223" s="55"/>
      <c r="M223" s="53"/>
      <c r="N223" s="53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48">
        <v>44641.0</v>
      </c>
      <c r="B224" s="63">
        <v>1847.0</v>
      </c>
      <c r="C224" s="50" t="s">
        <v>77</v>
      </c>
      <c r="D224" s="73" t="s">
        <v>1333</v>
      </c>
      <c r="E224" s="50">
        <v>1.0</v>
      </c>
      <c r="F224" s="51">
        <v>2840.4</v>
      </c>
      <c r="G224" s="50" t="s">
        <v>167</v>
      </c>
      <c r="H224" s="50"/>
      <c r="I224" s="51"/>
      <c r="J224" s="48"/>
      <c r="K224" s="50"/>
      <c r="L224" s="50"/>
      <c r="M224" s="48"/>
      <c r="N224" s="4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53">
        <v>44641.0</v>
      </c>
      <c r="B225" s="54">
        <v>1847.0</v>
      </c>
      <c r="C225" s="55" t="s">
        <v>77</v>
      </c>
      <c r="D225" s="55" t="s">
        <v>778</v>
      </c>
      <c r="E225" s="55">
        <v>20.0</v>
      </c>
      <c r="F225" s="56">
        <v>2608.27</v>
      </c>
      <c r="G225" s="55" t="s">
        <v>167</v>
      </c>
      <c r="H225" s="55"/>
      <c r="I225" s="56"/>
      <c r="J225" s="53"/>
      <c r="K225" s="55"/>
      <c r="L225" s="55"/>
      <c r="M225" s="53"/>
      <c r="N225" s="53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48">
        <v>44641.0</v>
      </c>
      <c r="B226" s="57">
        <v>1852.0</v>
      </c>
      <c r="C226" s="50" t="s">
        <v>707</v>
      </c>
      <c r="D226" s="50" t="s">
        <v>1356</v>
      </c>
      <c r="E226" s="50">
        <v>14.0</v>
      </c>
      <c r="F226" s="51">
        <v>5328.39</v>
      </c>
      <c r="G226" s="50" t="s">
        <v>167</v>
      </c>
      <c r="H226" s="50"/>
      <c r="I226" s="51"/>
      <c r="J226" s="48"/>
      <c r="K226" s="50"/>
      <c r="L226" s="50"/>
      <c r="M226" s="48"/>
      <c r="N226" s="4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53">
        <v>44641.0</v>
      </c>
      <c r="B227" s="67">
        <v>1857.0</v>
      </c>
      <c r="C227" s="55" t="s">
        <v>222</v>
      </c>
      <c r="D227" s="55" t="s">
        <v>1357</v>
      </c>
      <c r="E227" s="55">
        <v>2.0</v>
      </c>
      <c r="F227" s="56">
        <v>519.72</v>
      </c>
      <c r="G227" s="55" t="s">
        <v>180</v>
      </c>
      <c r="H227" s="55"/>
      <c r="I227" s="56">
        <v>519.72</v>
      </c>
      <c r="J227" s="53">
        <v>44648.0</v>
      </c>
      <c r="K227" s="55">
        <v>1727.0</v>
      </c>
      <c r="L227" s="55"/>
      <c r="M227" s="53"/>
      <c r="N227" s="53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48">
        <v>44642.0</v>
      </c>
      <c r="B228" s="57">
        <v>1859.0</v>
      </c>
      <c r="C228" s="50" t="s">
        <v>77</v>
      </c>
      <c r="D228" s="50" t="s">
        <v>257</v>
      </c>
      <c r="E228" s="50">
        <v>1.0</v>
      </c>
      <c r="F228" s="51">
        <v>1381.84</v>
      </c>
      <c r="G228" s="50" t="s">
        <v>180</v>
      </c>
      <c r="H228" s="50"/>
      <c r="I228" s="51">
        <v>1381.84</v>
      </c>
      <c r="J228" s="48">
        <v>44645.0</v>
      </c>
      <c r="K228" s="50">
        <v>1725.0</v>
      </c>
      <c r="L228" s="50">
        <v>166152.0</v>
      </c>
      <c r="M228" s="48">
        <v>44644.0</v>
      </c>
      <c r="N228" s="48">
        <v>44676.0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53">
        <v>44642.0</v>
      </c>
      <c r="B229" s="59" t="s">
        <v>1358</v>
      </c>
      <c r="C229" s="55" t="s">
        <v>44</v>
      </c>
      <c r="D229" s="55" t="s">
        <v>1359</v>
      </c>
      <c r="E229" s="55">
        <v>1.0</v>
      </c>
      <c r="F229" s="56">
        <v>1799.49</v>
      </c>
      <c r="G229" s="55" t="s">
        <v>180</v>
      </c>
      <c r="H229" s="55"/>
      <c r="I229" s="56">
        <v>1626.1</v>
      </c>
      <c r="J229" s="53">
        <v>44669.0</v>
      </c>
      <c r="K229" s="55">
        <v>1774.0</v>
      </c>
      <c r="L229" s="55">
        <v>4.501524483E9</v>
      </c>
      <c r="M229" s="53"/>
      <c r="N229" s="53">
        <v>44701.0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48">
        <v>44642.0</v>
      </c>
      <c r="B230" s="60" t="s">
        <v>1358</v>
      </c>
      <c r="C230" s="50" t="s">
        <v>44</v>
      </c>
      <c r="D230" s="50" t="s">
        <v>1360</v>
      </c>
      <c r="E230" s="50">
        <v>5.0</v>
      </c>
      <c r="F230" s="51">
        <v>269.96</v>
      </c>
      <c r="G230" s="50" t="s">
        <v>180</v>
      </c>
      <c r="H230" s="50"/>
      <c r="I230" s="51">
        <v>266.14</v>
      </c>
      <c r="J230" s="48">
        <v>44669.0</v>
      </c>
      <c r="K230" s="50">
        <v>1774.0</v>
      </c>
      <c r="L230" s="50">
        <v>4.501524483E9</v>
      </c>
      <c r="M230" s="48"/>
      <c r="N230" s="48">
        <v>44701.0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53">
        <v>44643.0</v>
      </c>
      <c r="B231" s="67" t="s">
        <v>1361</v>
      </c>
      <c r="C231" s="55" t="s">
        <v>44</v>
      </c>
      <c r="D231" s="55" t="s">
        <v>1109</v>
      </c>
      <c r="E231" s="55">
        <v>4.0</v>
      </c>
      <c r="F231" s="56">
        <v>3234.13</v>
      </c>
      <c r="G231" s="55" t="s">
        <v>180</v>
      </c>
      <c r="H231" s="55"/>
      <c r="I231" s="56">
        <v>3234.13</v>
      </c>
      <c r="J231" s="53">
        <v>44671.0</v>
      </c>
      <c r="K231" s="55">
        <v>1784.0</v>
      </c>
      <c r="L231" s="55">
        <v>4.501531374E9</v>
      </c>
      <c r="M231" s="53"/>
      <c r="N231" s="53">
        <v>44701.0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48">
        <v>44643.0</v>
      </c>
      <c r="B232" s="63">
        <v>1866.0</v>
      </c>
      <c r="C232" s="50" t="s">
        <v>44</v>
      </c>
      <c r="D232" s="50" t="s">
        <v>1110</v>
      </c>
      <c r="E232" s="50">
        <v>2.0</v>
      </c>
      <c r="F232" s="51">
        <v>2584.32</v>
      </c>
      <c r="G232" s="50" t="s">
        <v>167</v>
      </c>
      <c r="H232" s="50"/>
      <c r="I232" s="51"/>
      <c r="J232" s="48"/>
      <c r="K232" s="50"/>
      <c r="L232" s="50"/>
      <c r="M232" s="48"/>
      <c r="N232" s="4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53">
        <v>44643.0</v>
      </c>
      <c r="B233" s="54">
        <v>1866.0</v>
      </c>
      <c r="C233" s="55" t="s">
        <v>44</v>
      </c>
      <c r="D233" s="55" t="s">
        <v>1362</v>
      </c>
      <c r="E233" s="55">
        <v>1.0</v>
      </c>
      <c r="F233" s="56">
        <v>1803.13</v>
      </c>
      <c r="G233" s="55" t="s">
        <v>167</v>
      </c>
      <c r="H233" s="55"/>
      <c r="I233" s="56"/>
      <c r="J233" s="53"/>
      <c r="K233" s="55"/>
      <c r="L233" s="55"/>
      <c r="M233" s="53"/>
      <c r="N233" s="53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48">
        <v>44643.0</v>
      </c>
      <c r="B234" s="50"/>
      <c r="C234" s="50" t="s">
        <v>188</v>
      </c>
      <c r="D234" s="50" t="s">
        <v>1363</v>
      </c>
      <c r="E234" s="50">
        <v>2.0</v>
      </c>
      <c r="F234" s="51"/>
      <c r="G234" s="50" t="s">
        <v>1281</v>
      </c>
      <c r="H234" s="50"/>
      <c r="I234" s="51"/>
      <c r="J234" s="48"/>
      <c r="K234" s="50"/>
      <c r="L234" s="50"/>
      <c r="M234" s="48"/>
      <c r="N234" s="4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53">
        <v>44644.0</v>
      </c>
      <c r="B235" s="59">
        <v>1868.0</v>
      </c>
      <c r="C235" s="55" t="s">
        <v>77</v>
      </c>
      <c r="D235" s="55" t="s">
        <v>1109</v>
      </c>
      <c r="E235" s="55">
        <v>4.0</v>
      </c>
      <c r="F235" s="56">
        <v>3234.1</v>
      </c>
      <c r="G235" s="55" t="s">
        <v>167</v>
      </c>
      <c r="H235" s="55"/>
      <c r="I235" s="56"/>
      <c r="J235" s="53"/>
      <c r="K235" s="55"/>
      <c r="L235" s="55"/>
      <c r="M235" s="53"/>
      <c r="N235" s="53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48">
        <v>44644.0</v>
      </c>
      <c r="B236" s="63">
        <v>1868.0</v>
      </c>
      <c r="C236" s="50" t="s">
        <v>77</v>
      </c>
      <c r="D236" s="50" t="s">
        <v>1110</v>
      </c>
      <c r="E236" s="50">
        <v>2.0</v>
      </c>
      <c r="F236" s="51">
        <v>2584.32</v>
      </c>
      <c r="G236" s="50" t="s">
        <v>167</v>
      </c>
      <c r="H236" s="50"/>
      <c r="I236" s="51"/>
      <c r="J236" s="48"/>
      <c r="K236" s="50"/>
      <c r="L236" s="50"/>
      <c r="M236" s="48"/>
      <c r="N236" s="4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53">
        <v>44644.0</v>
      </c>
      <c r="B237" s="54">
        <v>1868.0</v>
      </c>
      <c r="C237" s="55" t="s">
        <v>77</v>
      </c>
      <c r="D237" s="55" t="s">
        <v>1362</v>
      </c>
      <c r="E237" s="55">
        <v>1.0</v>
      </c>
      <c r="F237" s="56">
        <v>1803.13</v>
      </c>
      <c r="G237" s="55" t="s">
        <v>167</v>
      </c>
      <c r="H237" s="55"/>
      <c r="I237" s="56"/>
      <c r="J237" s="53"/>
      <c r="K237" s="55"/>
      <c r="L237" s="55"/>
      <c r="M237" s="53"/>
      <c r="N237" s="53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48">
        <v>44645.0</v>
      </c>
      <c r="B238" s="50"/>
      <c r="C238" s="50" t="s">
        <v>170</v>
      </c>
      <c r="D238" s="50" t="s">
        <v>1364</v>
      </c>
      <c r="E238" s="50">
        <v>1.0</v>
      </c>
      <c r="F238" s="51"/>
      <c r="G238" s="50" t="s">
        <v>241</v>
      </c>
      <c r="H238" s="52" t="s">
        <v>1365</v>
      </c>
      <c r="I238" s="51"/>
      <c r="J238" s="48"/>
      <c r="K238" s="50"/>
      <c r="L238" s="50"/>
      <c r="M238" s="48"/>
      <c r="N238" s="4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53">
        <v>44645.0</v>
      </c>
      <c r="B239" s="67">
        <v>1871.0</v>
      </c>
      <c r="C239" s="55" t="s">
        <v>19</v>
      </c>
      <c r="D239" s="55" t="s">
        <v>1366</v>
      </c>
      <c r="E239" s="55">
        <v>100.0</v>
      </c>
      <c r="F239" s="56">
        <v>1128.12</v>
      </c>
      <c r="G239" s="55" t="s">
        <v>180</v>
      </c>
      <c r="H239" s="55"/>
      <c r="I239" s="56">
        <v>1128.12</v>
      </c>
      <c r="J239" s="53">
        <v>44671.0</v>
      </c>
      <c r="K239" s="55">
        <v>1785.0</v>
      </c>
      <c r="L239" s="55">
        <v>4.500392566E9</v>
      </c>
      <c r="M239" s="53"/>
      <c r="N239" s="53">
        <v>44701.0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48">
        <v>44645.0</v>
      </c>
      <c r="B240" s="50"/>
      <c r="C240" s="50" t="s">
        <v>19</v>
      </c>
      <c r="D240" s="50" t="s">
        <v>1367</v>
      </c>
      <c r="E240" s="50"/>
      <c r="F240" s="51"/>
      <c r="G240" s="50" t="s">
        <v>241</v>
      </c>
      <c r="H240" s="50"/>
      <c r="I240" s="51"/>
      <c r="J240" s="48"/>
      <c r="K240" s="50"/>
      <c r="L240" s="50"/>
      <c r="M240" s="48"/>
      <c r="N240" s="4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53">
        <v>44648.0</v>
      </c>
      <c r="B241" s="67">
        <v>1883.0</v>
      </c>
      <c r="C241" s="55" t="s">
        <v>44</v>
      </c>
      <c r="D241" s="55" t="s">
        <v>1368</v>
      </c>
      <c r="E241" s="55">
        <v>1.0</v>
      </c>
      <c r="F241" s="56">
        <v>214.02</v>
      </c>
      <c r="G241" s="55" t="s">
        <v>167</v>
      </c>
      <c r="H241" s="62" t="s">
        <v>1369</v>
      </c>
      <c r="I241" s="56"/>
      <c r="J241" s="53"/>
      <c r="K241" s="55"/>
      <c r="L241" s="55"/>
      <c r="M241" s="53"/>
      <c r="N241" s="53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48">
        <v>44648.0</v>
      </c>
      <c r="B242" s="50"/>
      <c r="C242" s="50" t="s">
        <v>19</v>
      </c>
      <c r="D242" s="50" t="s">
        <v>1370</v>
      </c>
      <c r="E242" s="50">
        <v>1.0</v>
      </c>
      <c r="F242" s="51"/>
      <c r="G242" s="50" t="s">
        <v>241</v>
      </c>
      <c r="H242" s="52" t="s">
        <v>1371</v>
      </c>
      <c r="I242" s="51"/>
      <c r="J242" s="48"/>
      <c r="K242" s="50"/>
      <c r="L242" s="50"/>
      <c r="M242" s="48"/>
      <c r="N242" s="4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53">
        <v>44649.0</v>
      </c>
      <c r="B243" s="67">
        <v>1872.0</v>
      </c>
      <c r="C243" s="55" t="s">
        <v>1372</v>
      </c>
      <c r="D243" s="55" t="s">
        <v>1373</v>
      </c>
      <c r="E243" s="55">
        <v>1.0</v>
      </c>
      <c r="F243" s="56">
        <v>65.0</v>
      </c>
      <c r="G243" s="55" t="s">
        <v>180</v>
      </c>
      <c r="H243" s="55"/>
      <c r="I243" s="56">
        <v>65.0</v>
      </c>
      <c r="J243" s="53">
        <v>44649.0</v>
      </c>
      <c r="K243" s="55">
        <v>1730.0</v>
      </c>
      <c r="L243" s="55"/>
      <c r="M243" s="53"/>
      <c r="N243" s="53">
        <v>44649.0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48">
        <v>44650.0</v>
      </c>
      <c r="B244" s="49">
        <v>1873.0</v>
      </c>
      <c r="C244" s="50" t="s">
        <v>188</v>
      </c>
      <c r="D244" s="50" t="s">
        <v>1374</v>
      </c>
      <c r="E244" s="50">
        <v>4.0</v>
      </c>
      <c r="F244" s="51"/>
      <c r="G244" s="50" t="s">
        <v>241</v>
      </c>
      <c r="H244" s="50"/>
      <c r="I244" s="51"/>
      <c r="J244" s="48"/>
      <c r="K244" s="50"/>
      <c r="L244" s="50"/>
      <c r="M244" s="48"/>
      <c r="N244" s="4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53">
        <v>44650.0</v>
      </c>
      <c r="B245" s="54">
        <v>1873.0</v>
      </c>
      <c r="C245" s="55" t="s">
        <v>188</v>
      </c>
      <c r="D245" s="55" t="s">
        <v>1340</v>
      </c>
      <c r="E245" s="55">
        <v>2.0</v>
      </c>
      <c r="F245" s="56"/>
      <c r="G245" s="55" t="s">
        <v>241</v>
      </c>
      <c r="H245" s="55"/>
      <c r="I245" s="56"/>
      <c r="J245" s="53"/>
      <c r="K245" s="55"/>
      <c r="L245" s="55"/>
      <c r="M245" s="53"/>
      <c r="N245" s="53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48">
        <v>44651.0</v>
      </c>
      <c r="B246" s="63" t="s">
        <v>1375</v>
      </c>
      <c r="C246" s="50" t="s">
        <v>53</v>
      </c>
      <c r="D246" s="64" t="s">
        <v>1376</v>
      </c>
      <c r="E246" s="50">
        <v>2.0</v>
      </c>
      <c r="F246" s="51">
        <v>6124.82</v>
      </c>
      <c r="G246" s="50" t="s">
        <v>180</v>
      </c>
      <c r="H246" s="50"/>
      <c r="I246" s="51">
        <v>6124.82</v>
      </c>
      <c r="J246" s="48">
        <v>44679.0</v>
      </c>
      <c r="K246" s="50">
        <v>1787.0</v>
      </c>
      <c r="L246" s="50">
        <v>3.70001266E9</v>
      </c>
      <c r="M246" s="48">
        <v>44679.0</v>
      </c>
      <c r="N246" s="48">
        <v>44726.0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53">
        <v>44651.0</v>
      </c>
      <c r="B247" s="59">
        <v>1880.0</v>
      </c>
      <c r="C247" s="55" t="s">
        <v>53</v>
      </c>
      <c r="D247" s="65" t="s">
        <v>1376</v>
      </c>
      <c r="E247" s="55">
        <v>4.0</v>
      </c>
      <c r="F247" s="56">
        <v>12249.67</v>
      </c>
      <c r="G247" s="55" t="s">
        <v>167</v>
      </c>
      <c r="H247" s="55"/>
      <c r="I247" s="56"/>
      <c r="J247" s="53"/>
      <c r="K247" s="55"/>
      <c r="L247" s="55"/>
      <c r="M247" s="53"/>
      <c r="N247" s="53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48">
        <v>44651.0</v>
      </c>
      <c r="B248" s="63">
        <v>1880.0</v>
      </c>
      <c r="C248" s="50" t="s">
        <v>53</v>
      </c>
      <c r="D248" s="64" t="s">
        <v>1376</v>
      </c>
      <c r="E248" s="50">
        <v>3.0</v>
      </c>
      <c r="F248" s="51">
        <v>9187.26</v>
      </c>
      <c r="G248" s="50" t="s">
        <v>167</v>
      </c>
      <c r="H248" s="50"/>
      <c r="I248" s="51"/>
      <c r="J248" s="48"/>
      <c r="K248" s="50"/>
      <c r="L248" s="50"/>
      <c r="M248" s="48"/>
      <c r="N248" s="4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53">
        <v>44651.0</v>
      </c>
      <c r="B249" s="61">
        <v>1880.0</v>
      </c>
      <c r="C249" s="55" t="s">
        <v>53</v>
      </c>
      <c r="D249" s="65" t="s">
        <v>1377</v>
      </c>
      <c r="E249" s="55">
        <v>1.0</v>
      </c>
      <c r="F249" s="56">
        <v>260.54</v>
      </c>
      <c r="G249" s="55" t="s">
        <v>167</v>
      </c>
      <c r="H249" s="55"/>
      <c r="I249" s="56"/>
      <c r="J249" s="53"/>
      <c r="K249" s="55"/>
      <c r="L249" s="55"/>
      <c r="M249" s="53"/>
      <c r="N249" s="53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48">
        <v>44651.0</v>
      </c>
      <c r="B250" s="63">
        <v>1880.0</v>
      </c>
      <c r="C250" s="50" t="s">
        <v>53</v>
      </c>
      <c r="D250" s="64" t="s">
        <v>1378</v>
      </c>
      <c r="E250" s="50">
        <v>10.0</v>
      </c>
      <c r="F250" s="51">
        <v>575.12</v>
      </c>
      <c r="G250" s="50" t="s">
        <v>167</v>
      </c>
      <c r="H250" s="50"/>
      <c r="I250" s="51"/>
      <c r="J250" s="48"/>
      <c r="K250" s="50"/>
      <c r="L250" s="50"/>
      <c r="M250" s="48"/>
      <c r="N250" s="4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53">
        <v>44651.0</v>
      </c>
      <c r="B251" s="54">
        <v>1880.0</v>
      </c>
      <c r="C251" s="55" t="s">
        <v>53</v>
      </c>
      <c r="D251" s="65" t="s">
        <v>1379</v>
      </c>
      <c r="E251" s="55">
        <v>1.0</v>
      </c>
      <c r="F251" s="56">
        <v>304.84</v>
      </c>
      <c r="G251" s="55" t="s">
        <v>167</v>
      </c>
      <c r="H251" s="55"/>
      <c r="I251" s="56"/>
      <c r="J251" s="53"/>
      <c r="K251" s="55"/>
      <c r="L251" s="55"/>
      <c r="M251" s="53"/>
      <c r="N251" s="53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48">
        <v>44651.0</v>
      </c>
      <c r="B252" s="49">
        <v>1881.0</v>
      </c>
      <c r="C252" s="50" t="s">
        <v>19</v>
      </c>
      <c r="D252" s="50" t="s">
        <v>1380</v>
      </c>
      <c r="E252" s="50">
        <v>7.0</v>
      </c>
      <c r="F252" s="51">
        <v>6949.32</v>
      </c>
      <c r="G252" s="50" t="s">
        <v>167</v>
      </c>
      <c r="H252" s="50"/>
      <c r="I252" s="51"/>
      <c r="J252" s="48"/>
      <c r="K252" s="50"/>
      <c r="L252" s="50"/>
      <c r="M252" s="48"/>
      <c r="N252" s="4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53">
        <v>44651.0</v>
      </c>
      <c r="B253" s="59">
        <v>1877.0</v>
      </c>
      <c r="C253" s="55" t="s">
        <v>77</v>
      </c>
      <c r="D253" s="65" t="s">
        <v>1376</v>
      </c>
      <c r="E253" s="55">
        <v>4.0</v>
      </c>
      <c r="F253" s="56">
        <v>13076.66</v>
      </c>
      <c r="G253" s="55" t="s">
        <v>167</v>
      </c>
      <c r="H253" s="55"/>
      <c r="I253" s="56"/>
      <c r="J253" s="53"/>
      <c r="K253" s="55"/>
      <c r="L253" s="55"/>
      <c r="M253" s="53"/>
      <c r="N253" s="53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48">
        <v>44651.0</v>
      </c>
      <c r="B254" s="63">
        <v>1877.0</v>
      </c>
      <c r="C254" s="50" t="s">
        <v>77</v>
      </c>
      <c r="D254" s="64" t="s">
        <v>1376</v>
      </c>
      <c r="E254" s="50">
        <v>3.0</v>
      </c>
      <c r="F254" s="51">
        <v>9807.48</v>
      </c>
      <c r="G254" s="50" t="s">
        <v>167</v>
      </c>
      <c r="H254" s="50"/>
      <c r="I254" s="51"/>
      <c r="J254" s="48"/>
      <c r="K254" s="50"/>
      <c r="L254" s="50"/>
      <c r="M254" s="48"/>
      <c r="N254" s="4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53">
        <v>44651.0</v>
      </c>
      <c r="B255" s="61">
        <v>1877.0</v>
      </c>
      <c r="C255" s="55" t="s">
        <v>77</v>
      </c>
      <c r="D255" s="65" t="s">
        <v>1377</v>
      </c>
      <c r="E255" s="55">
        <v>1.0</v>
      </c>
      <c r="F255" s="56">
        <v>260.54</v>
      </c>
      <c r="G255" s="55" t="s">
        <v>167</v>
      </c>
      <c r="H255" s="55"/>
      <c r="I255" s="56"/>
      <c r="J255" s="53"/>
      <c r="K255" s="55"/>
      <c r="L255" s="55"/>
      <c r="M255" s="53"/>
      <c r="N255" s="53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48">
        <v>44651.0</v>
      </c>
      <c r="B256" s="63">
        <v>1877.0</v>
      </c>
      <c r="C256" s="50" t="s">
        <v>77</v>
      </c>
      <c r="D256" s="64" t="s">
        <v>1378</v>
      </c>
      <c r="E256" s="50">
        <v>10.0</v>
      </c>
      <c r="F256" s="51">
        <v>575.12</v>
      </c>
      <c r="G256" s="50" t="s">
        <v>167</v>
      </c>
      <c r="H256" s="50"/>
      <c r="I256" s="51"/>
      <c r="J256" s="48"/>
      <c r="K256" s="50"/>
      <c r="L256" s="50"/>
      <c r="M256" s="48"/>
      <c r="N256" s="4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53">
        <v>44651.0</v>
      </c>
      <c r="B257" s="54">
        <v>1877.0</v>
      </c>
      <c r="C257" s="55" t="s">
        <v>77</v>
      </c>
      <c r="D257" s="65" t="s">
        <v>1379</v>
      </c>
      <c r="E257" s="55">
        <v>1.0</v>
      </c>
      <c r="F257" s="56">
        <v>304.84</v>
      </c>
      <c r="G257" s="55" t="s">
        <v>167</v>
      </c>
      <c r="H257" s="55"/>
      <c r="I257" s="56"/>
      <c r="J257" s="53"/>
      <c r="K257" s="55"/>
      <c r="L257" s="55"/>
      <c r="M257" s="53"/>
      <c r="N257" s="53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48"/>
      <c r="B258" s="50"/>
      <c r="C258" s="50"/>
      <c r="D258" s="64"/>
      <c r="E258" s="50"/>
      <c r="F258" s="51"/>
      <c r="G258" s="50"/>
      <c r="H258" s="50"/>
      <c r="I258" s="51"/>
      <c r="J258" s="48"/>
      <c r="K258" s="50"/>
      <c r="L258" s="50"/>
      <c r="M258" s="48"/>
      <c r="N258" s="4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53">
        <v>44652.0</v>
      </c>
      <c r="B259" s="67">
        <v>1894.0</v>
      </c>
      <c r="C259" s="55" t="s">
        <v>188</v>
      </c>
      <c r="D259" s="55" t="s">
        <v>1381</v>
      </c>
      <c r="E259" s="55">
        <v>50.0</v>
      </c>
      <c r="F259" s="56">
        <v>695.0</v>
      </c>
      <c r="G259" s="55" t="s">
        <v>167</v>
      </c>
      <c r="H259" s="55"/>
      <c r="I259" s="56"/>
      <c r="J259" s="53"/>
      <c r="K259" s="55"/>
      <c r="L259" s="55"/>
      <c r="M259" s="53"/>
      <c r="N259" s="53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48">
        <v>44655.0</v>
      </c>
      <c r="B260" s="57">
        <v>1891.0</v>
      </c>
      <c r="C260" s="50" t="s">
        <v>44</v>
      </c>
      <c r="D260" s="50" t="s">
        <v>1382</v>
      </c>
      <c r="E260" s="50">
        <v>2.0</v>
      </c>
      <c r="F260" s="51">
        <v>2454.32</v>
      </c>
      <c r="G260" s="50" t="s">
        <v>180</v>
      </c>
      <c r="H260" s="52" t="s">
        <v>1383</v>
      </c>
      <c r="I260" s="51">
        <v>2454.32</v>
      </c>
      <c r="J260" s="48">
        <v>44776.0</v>
      </c>
      <c r="K260" s="50">
        <v>1894.0</v>
      </c>
      <c r="L260" s="50">
        <v>4.501539373E9</v>
      </c>
      <c r="M260" s="48">
        <v>44814.0</v>
      </c>
      <c r="N260" s="48">
        <v>44814.0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53">
        <v>44655.0</v>
      </c>
      <c r="B261" s="59">
        <v>1884.0</v>
      </c>
      <c r="C261" s="55" t="s">
        <v>44</v>
      </c>
      <c r="D261" s="55" t="s">
        <v>1384</v>
      </c>
      <c r="E261" s="55">
        <v>1.0</v>
      </c>
      <c r="F261" s="56">
        <v>737.96</v>
      </c>
      <c r="G261" s="55" t="s">
        <v>180</v>
      </c>
      <c r="H261" s="55"/>
      <c r="I261" s="56">
        <v>737.96</v>
      </c>
      <c r="J261" s="53">
        <v>44665.0</v>
      </c>
      <c r="K261" s="55">
        <v>1773.0</v>
      </c>
      <c r="L261" s="55">
        <v>4.501528145E9</v>
      </c>
      <c r="M261" s="53"/>
      <c r="N261" s="53">
        <v>44701.0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48">
        <v>44655.0</v>
      </c>
      <c r="B262" s="63">
        <v>1884.0</v>
      </c>
      <c r="C262" s="50" t="s">
        <v>44</v>
      </c>
      <c r="D262" s="50" t="s">
        <v>1385</v>
      </c>
      <c r="E262" s="50">
        <v>1.0</v>
      </c>
      <c r="F262" s="51">
        <v>790.53</v>
      </c>
      <c r="G262" s="50" t="s">
        <v>180</v>
      </c>
      <c r="H262" s="50"/>
      <c r="I262" s="51">
        <v>790.53</v>
      </c>
      <c r="J262" s="48">
        <v>44665.0</v>
      </c>
      <c r="K262" s="50">
        <v>1773.0</v>
      </c>
      <c r="L262" s="50">
        <v>4.501528145E9</v>
      </c>
      <c r="M262" s="48"/>
      <c r="N262" s="48">
        <v>44701.0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53">
        <v>44655.0</v>
      </c>
      <c r="B263" s="61">
        <v>1884.0</v>
      </c>
      <c r="C263" s="55" t="s">
        <v>44</v>
      </c>
      <c r="D263" s="55" t="s">
        <v>1386</v>
      </c>
      <c r="E263" s="55">
        <v>2.0</v>
      </c>
      <c r="F263" s="56">
        <v>20162.02</v>
      </c>
      <c r="G263" s="55" t="s">
        <v>180</v>
      </c>
      <c r="H263" s="55"/>
      <c r="I263" s="56">
        <v>20162.02</v>
      </c>
      <c r="J263" s="53">
        <v>44778.0</v>
      </c>
      <c r="K263" s="55">
        <v>1897.0</v>
      </c>
      <c r="L263" s="55">
        <v>4.501528145E9</v>
      </c>
      <c r="M263" s="53">
        <v>44800.0</v>
      </c>
      <c r="N263" s="53">
        <v>44809.0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48">
        <v>44655.0</v>
      </c>
      <c r="B264" s="60">
        <v>1884.0</v>
      </c>
      <c r="C264" s="50" t="s">
        <v>44</v>
      </c>
      <c r="D264" s="50" t="s">
        <v>1387</v>
      </c>
      <c r="E264" s="50">
        <v>2.0</v>
      </c>
      <c r="F264" s="51">
        <v>2533.39</v>
      </c>
      <c r="G264" s="50" t="s">
        <v>180</v>
      </c>
      <c r="H264" s="52" t="s">
        <v>1388</v>
      </c>
      <c r="I264" s="51">
        <v>2533.39</v>
      </c>
      <c r="J264" s="48">
        <v>44665.0</v>
      </c>
      <c r="K264" s="50">
        <v>1773.0</v>
      </c>
      <c r="L264" s="50">
        <v>4.501528145E9</v>
      </c>
      <c r="M264" s="48"/>
      <c r="N264" s="48">
        <v>44701.0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53">
        <v>44655.0</v>
      </c>
      <c r="B265" s="59">
        <v>1885.0</v>
      </c>
      <c r="C265" s="55" t="s">
        <v>1301</v>
      </c>
      <c r="D265" s="55" t="s">
        <v>1389</v>
      </c>
      <c r="E265" s="55">
        <v>1.0</v>
      </c>
      <c r="F265" s="56">
        <v>737.96</v>
      </c>
      <c r="G265" s="55" t="s">
        <v>167</v>
      </c>
      <c r="H265" s="55"/>
      <c r="I265" s="56"/>
      <c r="J265" s="53"/>
      <c r="K265" s="55"/>
      <c r="L265" s="55"/>
      <c r="M265" s="53"/>
      <c r="N265" s="53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48">
        <v>44655.0</v>
      </c>
      <c r="B266" s="63">
        <v>1885.0</v>
      </c>
      <c r="C266" s="50" t="s">
        <v>1301</v>
      </c>
      <c r="D266" s="50" t="s">
        <v>1385</v>
      </c>
      <c r="E266" s="50">
        <v>1.0</v>
      </c>
      <c r="F266" s="51">
        <v>790.53</v>
      </c>
      <c r="G266" s="50" t="s">
        <v>167</v>
      </c>
      <c r="H266" s="50"/>
      <c r="I266" s="51"/>
      <c r="J266" s="48"/>
      <c r="K266" s="50"/>
      <c r="L266" s="50"/>
      <c r="M266" s="48"/>
      <c r="N266" s="4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53">
        <v>44655.0</v>
      </c>
      <c r="B267" s="61">
        <v>1885.0</v>
      </c>
      <c r="C267" s="55" t="s">
        <v>1301</v>
      </c>
      <c r="D267" s="55" t="s">
        <v>1386</v>
      </c>
      <c r="E267" s="55">
        <v>2.0</v>
      </c>
      <c r="F267" s="56">
        <v>20162.02</v>
      </c>
      <c r="G267" s="55" t="s">
        <v>167</v>
      </c>
      <c r="H267" s="55"/>
      <c r="I267" s="56"/>
      <c r="J267" s="53"/>
      <c r="K267" s="55"/>
      <c r="L267" s="55"/>
      <c r="M267" s="53"/>
      <c r="N267" s="53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48">
        <v>44655.0</v>
      </c>
      <c r="B268" s="60">
        <v>1885.0</v>
      </c>
      <c r="C268" s="50" t="s">
        <v>1301</v>
      </c>
      <c r="D268" s="50" t="s">
        <v>1387</v>
      </c>
      <c r="E268" s="50">
        <v>2.0</v>
      </c>
      <c r="F268" s="51">
        <v>2533.39</v>
      </c>
      <c r="G268" s="50" t="s">
        <v>167</v>
      </c>
      <c r="H268" s="50"/>
      <c r="I268" s="51"/>
      <c r="J268" s="48"/>
      <c r="K268" s="50"/>
      <c r="L268" s="50"/>
      <c r="M268" s="48"/>
      <c r="N268" s="4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53">
        <v>44655.0</v>
      </c>
      <c r="B269" s="55"/>
      <c r="C269" s="55" t="s">
        <v>1390</v>
      </c>
      <c r="D269" s="55" t="s">
        <v>1391</v>
      </c>
      <c r="E269" s="55">
        <v>2.0</v>
      </c>
      <c r="F269" s="56"/>
      <c r="G269" s="55" t="s">
        <v>241</v>
      </c>
      <c r="H269" s="55"/>
      <c r="I269" s="56"/>
      <c r="J269" s="53"/>
      <c r="K269" s="55"/>
      <c r="L269" s="55"/>
      <c r="M269" s="53"/>
      <c r="N269" s="53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48">
        <v>44655.0</v>
      </c>
      <c r="B270" s="49">
        <v>1892.0</v>
      </c>
      <c r="C270" s="50" t="s">
        <v>1392</v>
      </c>
      <c r="D270" s="64" t="s">
        <v>1393</v>
      </c>
      <c r="E270" s="50">
        <v>5.0</v>
      </c>
      <c r="F270" s="51">
        <v>35865.03</v>
      </c>
      <c r="G270" s="50" t="s">
        <v>167</v>
      </c>
      <c r="H270" s="52" t="s">
        <v>1394</v>
      </c>
      <c r="I270" s="51"/>
      <c r="J270" s="48"/>
      <c r="K270" s="50"/>
      <c r="L270" s="50"/>
      <c r="M270" s="48"/>
      <c r="N270" s="4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53">
        <v>44655.0</v>
      </c>
      <c r="B271" s="54">
        <v>1892.0</v>
      </c>
      <c r="C271" s="55" t="s">
        <v>1392</v>
      </c>
      <c r="D271" s="70" t="s">
        <v>1395</v>
      </c>
      <c r="E271" s="55">
        <v>3.0</v>
      </c>
      <c r="F271" s="56">
        <v>5069.05</v>
      </c>
      <c r="G271" s="55" t="s">
        <v>167</v>
      </c>
      <c r="H271" s="55"/>
      <c r="I271" s="56"/>
      <c r="J271" s="53"/>
      <c r="K271" s="55"/>
      <c r="L271" s="55"/>
      <c r="M271" s="53"/>
      <c r="N271" s="53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48">
        <v>44655.0</v>
      </c>
      <c r="B272" s="50"/>
      <c r="C272" s="50" t="s">
        <v>19</v>
      </c>
      <c r="D272" s="58" t="s">
        <v>1396</v>
      </c>
      <c r="E272" s="50">
        <v>30.0</v>
      </c>
      <c r="F272" s="51"/>
      <c r="G272" s="50" t="s">
        <v>241</v>
      </c>
      <c r="H272" s="50"/>
      <c r="I272" s="51"/>
      <c r="J272" s="48"/>
      <c r="K272" s="50"/>
      <c r="L272" s="50"/>
      <c r="M272" s="48"/>
      <c r="N272" s="4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53">
        <v>44655.0</v>
      </c>
      <c r="B273" s="55"/>
      <c r="C273" s="55" t="s">
        <v>19</v>
      </c>
      <c r="D273" s="66" t="s">
        <v>1397</v>
      </c>
      <c r="E273" s="55">
        <v>20.0</v>
      </c>
      <c r="F273" s="56"/>
      <c r="G273" s="55" t="s">
        <v>241</v>
      </c>
      <c r="H273" s="55"/>
      <c r="I273" s="56"/>
      <c r="J273" s="53"/>
      <c r="K273" s="55"/>
      <c r="L273" s="55"/>
      <c r="M273" s="53"/>
      <c r="N273" s="53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48">
        <v>44656.0</v>
      </c>
      <c r="B274" s="50"/>
      <c r="C274" s="50" t="s">
        <v>188</v>
      </c>
      <c r="D274" s="58" t="s">
        <v>1398</v>
      </c>
      <c r="E274" s="50">
        <v>100.0</v>
      </c>
      <c r="F274" s="51"/>
      <c r="G274" s="50" t="s">
        <v>241</v>
      </c>
      <c r="H274" s="50"/>
      <c r="I274" s="51"/>
      <c r="J274" s="48"/>
      <c r="K274" s="50"/>
      <c r="L274" s="50"/>
      <c r="M274" s="48"/>
      <c r="N274" s="4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53">
        <v>44657.0</v>
      </c>
      <c r="B275" s="67">
        <v>1887.0</v>
      </c>
      <c r="C275" s="55" t="s">
        <v>44</v>
      </c>
      <c r="D275" s="55" t="s">
        <v>450</v>
      </c>
      <c r="E275" s="55">
        <v>3.0</v>
      </c>
      <c r="F275" s="56">
        <v>14189.39</v>
      </c>
      <c r="G275" s="55" t="s">
        <v>167</v>
      </c>
      <c r="H275" s="62" t="s">
        <v>1399</v>
      </c>
      <c r="I275" s="56"/>
      <c r="J275" s="53"/>
      <c r="K275" s="55"/>
      <c r="L275" s="55"/>
      <c r="M275" s="53"/>
      <c r="N275" s="53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48">
        <v>44659.0</v>
      </c>
      <c r="B276" s="57">
        <v>1903.0</v>
      </c>
      <c r="C276" s="50" t="s">
        <v>44</v>
      </c>
      <c r="D276" s="50" t="s">
        <v>1400</v>
      </c>
      <c r="E276" s="50">
        <v>1.0</v>
      </c>
      <c r="F276" s="51">
        <v>2148.86</v>
      </c>
      <c r="G276" s="50" t="s">
        <v>180</v>
      </c>
      <c r="H276" s="52" t="s">
        <v>1401</v>
      </c>
      <c r="I276" s="51">
        <v>2148.86</v>
      </c>
      <c r="J276" s="48">
        <v>44762.0</v>
      </c>
      <c r="K276" s="50">
        <v>1876.0</v>
      </c>
      <c r="L276" s="50">
        <v>4.501531111E9</v>
      </c>
      <c r="M276" s="48">
        <v>44806.0</v>
      </c>
      <c r="N276" s="48">
        <v>44793.0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53">
        <v>44659.0</v>
      </c>
      <c r="B277" s="55"/>
      <c r="C277" s="55" t="s">
        <v>44</v>
      </c>
      <c r="D277" s="55" t="s">
        <v>1402</v>
      </c>
      <c r="E277" s="55">
        <v>1.0</v>
      </c>
      <c r="F277" s="56"/>
      <c r="G277" s="55" t="s">
        <v>1281</v>
      </c>
      <c r="H277" s="55"/>
      <c r="I277" s="56"/>
      <c r="J277" s="53"/>
      <c r="K277" s="55"/>
      <c r="L277" s="55"/>
      <c r="M277" s="53"/>
      <c r="N277" s="53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48">
        <v>44659.0</v>
      </c>
      <c r="B278" s="50"/>
      <c r="C278" s="50" t="s">
        <v>44</v>
      </c>
      <c r="D278" s="50" t="s">
        <v>1403</v>
      </c>
      <c r="E278" s="50">
        <v>1.0</v>
      </c>
      <c r="F278" s="51"/>
      <c r="G278" s="50" t="s">
        <v>1281</v>
      </c>
      <c r="H278" s="50"/>
      <c r="I278" s="51"/>
      <c r="J278" s="48"/>
      <c r="K278" s="50"/>
      <c r="L278" s="50"/>
      <c r="M278" s="48"/>
      <c r="N278" s="4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53">
        <v>44659.0</v>
      </c>
      <c r="B279" s="55"/>
      <c r="C279" s="55" t="s">
        <v>44</v>
      </c>
      <c r="D279" s="68" t="s">
        <v>1404</v>
      </c>
      <c r="E279" s="55">
        <v>1.0</v>
      </c>
      <c r="F279" s="56"/>
      <c r="G279" s="55" t="s">
        <v>1281</v>
      </c>
      <c r="H279" s="55"/>
      <c r="I279" s="56"/>
      <c r="J279" s="53"/>
      <c r="K279" s="55"/>
      <c r="L279" s="55"/>
      <c r="M279" s="53"/>
      <c r="N279" s="53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48">
        <v>44659.0</v>
      </c>
      <c r="B280" s="50"/>
      <c r="C280" s="50" t="s">
        <v>44</v>
      </c>
      <c r="D280" s="50" t="s">
        <v>1405</v>
      </c>
      <c r="E280" s="50">
        <v>1.0</v>
      </c>
      <c r="F280" s="51"/>
      <c r="G280" s="50" t="s">
        <v>1281</v>
      </c>
      <c r="H280" s="50"/>
      <c r="I280" s="51"/>
      <c r="J280" s="48"/>
      <c r="K280" s="50"/>
      <c r="L280" s="50"/>
      <c r="M280" s="48"/>
      <c r="N280" s="4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53">
        <v>44659.0</v>
      </c>
      <c r="B281" s="55"/>
      <c r="C281" s="55" t="s">
        <v>44</v>
      </c>
      <c r="D281" s="55" t="s">
        <v>1406</v>
      </c>
      <c r="E281" s="55">
        <v>1.0</v>
      </c>
      <c r="F281" s="56"/>
      <c r="G281" s="55" t="s">
        <v>1281</v>
      </c>
      <c r="H281" s="55"/>
      <c r="I281" s="56"/>
      <c r="J281" s="53"/>
      <c r="K281" s="55"/>
      <c r="L281" s="55"/>
      <c r="M281" s="53"/>
      <c r="N281" s="53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48">
        <v>44659.0</v>
      </c>
      <c r="B282" s="57">
        <v>1893.0</v>
      </c>
      <c r="C282" s="50" t="s">
        <v>188</v>
      </c>
      <c r="D282" s="58" t="s">
        <v>1407</v>
      </c>
      <c r="E282" s="50">
        <v>100.0</v>
      </c>
      <c r="F282" s="51">
        <v>4590.0</v>
      </c>
      <c r="G282" s="50" t="s">
        <v>167</v>
      </c>
      <c r="H282" s="50"/>
      <c r="I282" s="51"/>
      <c r="J282" s="48"/>
      <c r="K282" s="50"/>
      <c r="L282" s="50"/>
      <c r="M282" s="48"/>
      <c r="N282" s="4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53">
        <v>44659.0</v>
      </c>
      <c r="B283" s="67">
        <v>1895.0</v>
      </c>
      <c r="C283" s="55" t="s">
        <v>188</v>
      </c>
      <c r="D283" s="55" t="s">
        <v>1408</v>
      </c>
      <c r="E283" s="55">
        <v>2.0</v>
      </c>
      <c r="F283" s="56">
        <v>197452.92</v>
      </c>
      <c r="G283" s="55" t="s">
        <v>167</v>
      </c>
      <c r="H283" s="55"/>
      <c r="I283" s="56"/>
      <c r="J283" s="53"/>
      <c r="K283" s="55"/>
      <c r="L283" s="55"/>
      <c r="M283" s="53"/>
      <c r="N283" s="53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48">
        <v>44659.0</v>
      </c>
      <c r="B284" s="57">
        <v>1901.0</v>
      </c>
      <c r="C284" s="50" t="s">
        <v>1409</v>
      </c>
      <c r="D284" s="50" t="s">
        <v>1410</v>
      </c>
      <c r="E284" s="50">
        <v>2.0</v>
      </c>
      <c r="F284" s="51">
        <v>18614.87</v>
      </c>
      <c r="G284" s="50" t="s">
        <v>180</v>
      </c>
      <c r="H284" s="52" t="s">
        <v>1411</v>
      </c>
      <c r="I284" s="51">
        <v>18614.87</v>
      </c>
      <c r="J284" s="48">
        <v>44830.0</v>
      </c>
      <c r="K284" s="50">
        <v>1938.0</v>
      </c>
      <c r="L284" s="50">
        <v>4.503134941E9</v>
      </c>
      <c r="M284" s="48">
        <v>44834.0</v>
      </c>
      <c r="N284" s="48">
        <v>44860.0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53">
        <v>44662.0</v>
      </c>
      <c r="B285" s="55"/>
      <c r="C285" s="55" t="s">
        <v>188</v>
      </c>
      <c r="D285" s="55" t="s">
        <v>1412</v>
      </c>
      <c r="E285" s="55">
        <v>2.0</v>
      </c>
      <c r="F285" s="56"/>
      <c r="G285" s="55" t="s">
        <v>18</v>
      </c>
      <c r="H285" s="55"/>
      <c r="I285" s="56"/>
      <c r="J285" s="53"/>
      <c r="K285" s="55"/>
      <c r="L285" s="55"/>
      <c r="M285" s="53"/>
      <c r="N285" s="53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48">
        <v>44663.0</v>
      </c>
      <c r="B286" s="50"/>
      <c r="C286" s="50" t="s">
        <v>188</v>
      </c>
      <c r="D286" s="50" t="s">
        <v>1413</v>
      </c>
      <c r="E286" s="50">
        <v>2.0</v>
      </c>
      <c r="F286" s="51"/>
      <c r="G286" s="50" t="s">
        <v>241</v>
      </c>
      <c r="H286" s="52" t="s">
        <v>1414</v>
      </c>
      <c r="I286" s="51"/>
      <c r="J286" s="48"/>
      <c r="K286" s="50"/>
      <c r="L286" s="50"/>
      <c r="M286" s="48"/>
      <c r="N286" s="4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53">
        <v>44663.0</v>
      </c>
      <c r="B287" s="55"/>
      <c r="C287" s="55" t="s">
        <v>44</v>
      </c>
      <c r="D287" s="55" t="s">
        <v>1415</v>
      </c>
      <c r="E287" s="55">
        <v>4.0</v>
      </c>
      <c r="F287" s="56"/>
      <c r="G287" s="55" t="s">
        <v>1281</v>
      </c>
      <c r="H287" s="55"/>
      <c r="I287" s="56"/>
      <c r="J287" s="53"/>
      <c r="K287" s="55"/>
      <c r="L287" s="55"/>
      <c r="M287" s="53"/>
      <c r="N287" s="53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48">
        <v>44663.0</v>
      </c>
      <c r="B288" s="50"/>
      <c r="C288" s="50" t="s">
        <v>44</v>
      </c>
      <c r="D288" s="50" t="s">
        <v>1416</v>
      </c>
      <c r="E288" s="50">
        <v>2.0</v>
      </c>
      <c r="F288" s="51"/>
      <c r="G288" s="50" t="s">
        <v>1281</v>
      </c>
      <c r="H288" s="50"/>
      <c r="I288" s="51"/>
      <c r="J288" s="48"/>
      <c r="K288" s="50"/>
      <c r="L288" s="50"/>
      <c r="M288" s="48"/>
      <c r="N288" s="4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53">
        <v>44663.0</v>
      </c>
      <c r="B289" s="55"/>
      <c r="C289" s="55" t="s">
        <v>44</v>
      </c>
      <c r="D289" s="55" t="s">
        <v>1417</v>
      </c>
      <c r="E289" s="55">
        <v>4.0</v>
      </c>
      <c r="F289" s="56"/>
      <c r="G289" s="55" t="s">
        <v>1281</v>
      </c>
      <c r="H289" s="55"/>
      <c r="I289" s="56"/>
      <c r="J289" s="53"/>
      <c r="K289" s="55"/>
      <c r="L289" s="55"/>
      <c r="M289" s="53"/>
      <c r="N289" s="53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48">
        <v>44663.0</v>
      </c>
      <c r="B290" s="50"/>
      <c r="C290" s="50" t="s">
        <v>44</v>
      </c>
      <c r="D290" s="50" t="s">
        <v>1418</v>
      </c>
      <c r="E290" s="50">
        <v>2.0</v>
      </c>
      <c r="F290" s="51"/>
      <c r="G290" s="50" t="s">
        <v>1281</v>
      </c>
      <c r="H290" s="50"/>
      <c r="I290" s="51"/>
      <c r="J290" s="48"/>
      <c r="K290" s="50"/>
      <c r="L290" s="50"/>
      <c r="M290" s="48"/>
      <c r="N290" s="4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53">
        <v>44663.0</v>
      </c>
      <c r="B291" s="55"/>
      <c r="C291" s="55" t="s">
        <v>44</v>
      </c>
      <c r="D291" s="55" t="s">
        <v>1416</v>
      </c>
      <c r="E291" s="55">
        <v>2.0</v>
      </c>
      <c r="F291" s="56"/>
      <c r="G291" s="55" t="s">
        <v>1281</v>
      </c>
      <c r="H291" s="55"/>
      <c r="I291" s="56"/>
      <c r="J291" s="53"/>
      <c r="K291" s="55"/>
      <c r="L291" s="55"/>
      <c r="M291" s="53"/>
      <c r="N291" s="53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48">
        <v>44663.0</v>
      </c>
      <c r="B292" s="50"/>
      <c r="C292" s="50" t="s">
        <v>44</v>
      </c>
      <c r="D292" s="50" t="s">
        <v>1418</v>
      </c>
      <c r="E292" s="50">
        <v>4.0</v>
      </c>
      <c r="F292" s="51"/>
      <c r="G292" s="50" t="s">
        <v>1281</v>
      </c>
      <c r="H292" s="50"/>
      <c r="I292" s="51"/>
      <c r="J292" s="48"/>
      <c r="K292" s="50"/>
      <c r="L292" s="50"/>
      <c r="M292" s="48"/>
      <c r="N292" s="48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53">
        <v>44663.0</v>
      </c>
      <c r="B293" s="59">
        <v>1908.0</v>
      </c>
      <c r="C293" s="55" t="s">
        <v>44</v>
      </c>
      <c r="D293" s="55" t="s">
        <v>758</v>
      </c>
      <c r="E293" s="55">
        <v>1.0</v>
      </c>
      <c r="F293" s="56">
        <v>940.08</v>
      </c>
      <c r="G293" s="55" t="s">
        <v>167</v>
      </c>
      <c r="H293" s="55"/>
      <c r="I293" s="56"/>
      <c r="J293" s="53"/>
      <c r="K293" s="55"/>
      <c r="L293" s="55"/>
      <c r="M293" s="53"/>
      <c r="N293" s="53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48">
        <v>44663.0</v>
      </c>
      <c r="B294" s="60">
        <v>1908.0</v>
      </c>
      <c r="C294" s="50" t="s">
        <v>44</v>
      </c>
      <c r="D294" s="50" t="s">
        <v>1419</v>
      </c>
      <c r="E294" s="50">
        <v>1.0</v>
      </c>
      <c r="F294" s="51">
        <v>2108.2</v>
      </c>
      <c r="G294" s="50" t="s">
        <v>167</v>
      </c>
      <c r="H294" s="50"/>
      <c r="I294" s="51"/>
      <c r="J294" s="48"/>
      <c r="K294" s="50"/>
      <c r="L294" s="50"/>
      <c r="M294" s="48"/>
      <c r="N294" s="48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53">
        <v>44663.0</v>
      </c>
      <c r="B295" s="59">
        <v>1915.0</v>
      </c>
      <c r="C295" s="55" t="s">
        <v>77</v>
      </c>
      <c r="D295" s="55" t="s">
        <v>1420</v>
      </c>
      <c r="E295" s="55">
        <v>3.0</v>
      </c>
      <c r="F295" s="56">
        <v>4192.32</v>
      </c>
      <c r="G295" s="55" t="s">
        <v>167</v>
      </c>
      <c r="H295" s="62" t="s">
        <v>1421</v>
      </c>
      <c r="I295" s="56"/>
      <c r="J295" s="53"/>
      <c r="K295" s="55"/>
      <c r="L295" s="55"/>
      <c r="M295" s="53"/>
      <c r="N295" s="53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48">
        <v>44663.0</v>
      </c>
      <c r="B296" s="63">
        <v>1915.0</v>
      </c>
      <c r="C296" s="50" t="s">
        <v>77</v>
      </c>
      <c r="D296" s="50" t="s">
        <v>1422</v>
      </c>
      <c r="E296" s="50">
        <v>3.0</v>
      </c>
      <c r="F296" s="51">
        <v>1843.74</v>
      </c>
      <c r="G296" s="50" t="s">
        <v>167</v>
      </c>
      <c r="H296" s="50"/>
      <c r="I296" s="51"/>
      <c r="J296" s="48"/>
      <c r="K296" s="50"/>
      <c r="L296" s="50"/>
      <c r="M296" s="48"/>
      <c r="N296" s="48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53">
        <v>44663.0</v>
      </c>
      <c r="B297" s="61">
        <v>1915.0</v>
      </c>
      <c r="C297" s="55" t="s">
        <v>77</v>
      </c>
      <c r="D297" s="55" t="s">
        <v>354</v>
      </c>
      <c r="E297" s="55">
        <v>1.0</v>
      </c>
      <c r="F297" s="56">
        <v>810.97</v>
      </c>
      <c r="G297" s="55" t="s">
        <v>167</v>
      </c>
      <c r="H297" s="55"/>
      <c r="I297" s="56"/>
      <c r="J297" s="53"/>
      <c r="K297" s="55"/>
      <c r="L297" s="55"/>
      <c r="M297" s="53"/>
      <c r="N297" s="53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48">
        <v>44663.0</v>
      </c>
      <c r="B298" s="60">
        <v>1915.0</v>
      </c>
      <c r="C298" s="50" t="s">
        <v>77</v>
      </c>
      <c r="D298" s="50" t="s">
        <v>416</v>
      </c>
      <c r="E298" s="50">
        <v>1.0</v>
      </c>
      <c r="F298" s="51">
        <v>1818.66</v>
      </c>
      <c r="G298" s="50" t="s">
        <v>167</v>
      </c>
      <c r="H298" s="50"/>
      <c r="I298" s="51"/>
      <c r="J298" s="48"/>
      <c r="K298" s="50"/>
      <c r="L298" s="50"/>
      <c r="M298" s="48"/>
      <c r="N298" s="48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53">
        <v>44665.0</v>
      </c>
      <c r="B299" s="67">
        <v>1920.0</v>
      </c>
      <c r="C299" s="55" t="s">
        <v>170</v>
      </c>
      <c r="D299" s="55" t="s">
        <v>1423</v>
      </c>
      <c r="E299" s="55">
        <v>2.0</v>
      </c>
      <c r="F299" s="56">
        <v>10390.39</v>
      </c>
      <c r="G299" s="55" t="s">
        <v>167</v>
      </c>
      <c r="H299" s="62" t="s">
        <v>1424</v>
      </c>
      <c r="I299" s="56"/>
      <c r="J299" s="53"/>
      <c r="K299" s="55"/>
      <c r="L299" s="55"/>
      <c r="M299" s="53"/>
      <c r="N299" s="53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48">
        <v>44670.0</v>
      </c>
      <c r="B300" s="49">
        <v>1924.0</v>
      </c>
      <c r="C300" s="50" t="s">
        <v>1425</v>
      </c>
      <c r="D300" s="50" t="s">
        <v>1426</v>
      </c>
      <c r="E300" s="50">
        <v>2.0</v>
      </c>
      <c r="F300" s="51">
        <v>995.3</v>
      </c>
      <c r="G300" s="50" t="s">
        <v>167</v>
      </c>
      <c r="H300" s="50"/>
      <c r="I300" s="51"/>
      <c r="J300" s="48"/>
      <c r="K300" s="50"/>
      <c r="L300" s="50"/>
      <c r="M300" s="48"/>
      <c r="N300" s="48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53">
        <v>44670.0</v>
      </c>
      <c r="B301" s="61">
        <v>1924.0</v>
      </c>
      <c r="C301" s="55" t="s">
        <v>1425</v>
      </c>
      <c r="D301" s="55" t="s">
        <v>1284</v>
      </c>
      <c r="E301" s="55">
        <v>2.0</v>
      </c>
      <c r="F301" s="56">
        <v>3554.88</v>
      </c>
      <c r="G301" s="55" t="s">
        <v>167</v>
      </c>
      <c r="H301" s="55"/>
      <c r="I301" s="56"/>
      <c r="J301" s="53"/>
      <c r="K301" s="55"/>
      <c r="L301" s="55"/>
      <c r="M301" s="53"/>
      <c r="N301" s="53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48">
        <v>44670.0</v>
      </c>
      <c r="B302" s="63">
        <v>1924.0</v>
      </c>
      <c r="C302" s="50" t="s">
        <v>1425</v>
      </c>
      <c r="D302" s="50" t="s">
        <v>1427</v>
      </c>
      <c r="E302" s="50">
        <v>2.0</v>
      </c>
      <c r="F302" s="51">
        <v>2519.1</v>
      </c>
      <c r="G302" s="50" t="s">
        <v>167</v>
      </c>
      <c r="H302" s="50"/>
      <c r="I302" s="51"/>
      <c r="J302" s="48"/>
      <c r="K302" s="50"/>
      <c r="L302" s="50"/>
      <c r="M302" s="48"/>
      <c r="N302" s="48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53">
        <v>44670.0</v>
      </c>
      <c r="B303" s="54">
        <v>1924.0</v>
      </c>
      <c r="C303" s="55" t="s">
        <v>1425</v>
      </c>
      <c r="D303" s="55" t="s">
        <v>1428</v>
      </c>
      <c r="E303" s="55">
        <v>2.0</v>
      </c>
      <c r="F303" s="56">
        <v>2702.46</v>
      </c>
      <c r="G303" s="55" t="s">
        <v>167</v>
      </c>
      <c r="H303" s="55"/>
      <c r="I303" s="56"/>
      <c r="J303" s="53"/>
      <c r="K303" s="55"/>
      <c r="L303" s="55"/>
      <c r="M303" s="53"/>
      <c r="N303" s="53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48">
        <v>44673.0</v>
      </c>
      <c r="B304" s="49">
        <v>1925.0</v>
      </c>
      <c r="C304" s="50" t="s">
        <v>44</v>
      </c>
      <c r="D304" s="50" t="s">
        <v>1429</v>
      </c>
      <c r="E304" s="50">
        <v>2.0</v>
      </c>
      <c r="F304" s="51">
        <v>6739.9</v>
      </c>
      <c r="G304" s="50" t="s">
        <v>180</v>
      </c>
      <c r="H304" s="50"/>
      <c r="I304" s="51">
        <v>6739.9</v>
      </c>
      <c r="J304" s="48">
        <v>44683.0</v>
      </c>
      <c r="K304" s="50">
        <v>1790.0</v>
      </c>
      <c r="L304" s="50">
        <v>4.501536924E9</v>
      </c>
      <c r="M304" s="48">
        <v>44694.0</v>
      </c>
      <c r="N304" s="48">
        <v>44722.0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53">
        <v>44673.0</v>
      </c>
      <c r="B305" s="61">
        <v>1925.0</v>
      </c>
      <c r="C305" s="55" t="s">
        <v>44</v>
      </c>
      <c r="D305" s="55" t="s">
        <v>1430</v>
      </c>
      <c r="E305" s="55">
        <v>3.0</v>
      </c>
      <c r="F305" s="56">
        <v>7274.63</v>
      </c>
      <c r="G305" s="55" t="s">
        <v>180</v>
      </c>
      <c r="H305" s="55"/>
      <c r="I305" s="56">
        <f>F305-F306</f>
        <v>5528.72</v>
      </c>
      <c r="J305" s="53">
        <v>44748.0</v>
      </c>
      <c r="K305" s="55">
        <v>1860.0</v>
      </c>
      <c r="L305" s="55">
        <v>4.501536924E9</v>
      </c>
      <c r="M305" s="53">
        <v>44779.0</v>
      </c>
      <c r="N305" s="53">
        <v>44779.0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48">
        <v>44673.0</v>
      </c>
      <c r="B306" s="63">
        <v>1925.0</v>
      </c>
      <c r="C306" s="50" t="s">
        <v>44</v>
      </c>
      <c r="D306" s="50" t="s">
        <v>1430</v>
      </c>
      <c r="E306" s="50">
        <v>1.0</v>
      </c>
      <c r="F306" s="51">
        <v>1745.91</v>
      </c>
      <c r="G306" s="50" t="s">
        <v>180</v>
      </c>
      <c r="H306" s="50"/>
      <c r="I306" s="51">
        <v>1745.91</v>
      </c>
      <c r="J306" s="48">
        <v>44762.0</v>
      </c>
      <c r="K306" s="50">
        <v>1875.0</v>
      </c>
      <c r="L306" s="50">
        <v>4.501536924E9</v>
      </c>
      <c r="M306" s="48"/>
      <c r="N306" s="48">
        <v>44793.0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53">
        <v>44673.0</v>
      </c>
      <c r="B307" s="54">
        <v>1925.0</v>
      </c>
      <c r="C307" s="55" t="s">
        <v>44</v>
      </c>
      <c r="D307" s="55" t="s">
        <v>1431</v>
      </c>
      <c r="E307" s="55">
        <v>50.0</v>
      </c>
      <c r="F307" s="56">
        <v>795.31</v>
      </c>
      <c r="G307" s="55" t="s">
        <v>180</v>
      </c>
      <c r="H307" s="55"/>
      <c r="I307" s="56">
        <v>795.31</v>
      </c>
      <c r="J307" s="53">
        <v>44683.0</v>
      </c>
      <c r="K307" s="55">
        <v>1790.0</v>
      </c>
      <c r="L307" s="55">
        <v>4.501536924E9</v>
      </c>
      <c r="M307" s="53">
        <v>44694.0</v>
      </c>
      <c r="N307" s="53">
        <v>44722.0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48">
        <v>44673.0</v>
      </c>
      <c r="B308" s="50"/>
      <c r="C308" s="50" t="s">
        <v>44</v>
      </c>
      <c r="D308" s="50" t="s">
        <v>1432</v>
      </c>
      <c r="E308" s="50">
        <v>40.0</v>
      </c>
      <c r="F308" s="51"/>
      <c r="G308" s="50" t="s">
        <v>18</v>
      </c>
      <c r="H308" s="50"/>
      <c r="I308" s="51"/>
      <c r="J308" s="48"/>
      <c r="K308" s="50"/>
      <c r="L308" s="50"/>
      <c r="M308" s="48"/>
      <c r="N308" s="48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53">
        <v>44677.0</v>
      </c>
      <c r="B309" s="67">
        <v>1929.0</v>
      </c>
      <c r="C309" s="55" t="s">
        <v>19</v>
      </c>
      <c r="D309" s="55" t="s">
        <v>1433</v>
      </c>
      <c r="E309" s="55">
        <v>12.0</v>
      </c>
      <c r="F309" s="56">
        <v>311.52</v>
      </c>
      <c r="G309" s="55" t="s">
        <v>180</v>
      </c>
      <c r="H309" s="55"/>
      <c r="I309" s="56">
        <v>311.52</v>
      </c>
      <c r="J309" s="53">
        <v>44684.0</v>
      </c>
      <c r="K309" s="55">
        <v>1791.0</v>
      </c>
      <c r="L309" s="55">
        <v>4.500394032E9</v>
      </c>
      <c r="M309" s="53">
        <v>44687.0</v>
      </c>
      <c r="N309" s="53">
        <v>44715.0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48">
        <v>44677.0</v>
      </c>
      <c r="B310" s="57">
        <v>1930.0</v>
      </c>
      <c r="C310" s="50" t="s">
        <v>1434</v>
      </c>
      <c r="D310" s="50" t="s">
        <v>1435</v>
      </c>
      <c r="E310" s="50">
        <v>1.0</v>
      </c>
      <c r="F310" s="51">
        <v>1195.03</v>
      </c>
      <c r="G310" s="50" t="s">
        <v>167</v>
      </c>
      <c r="H310" s="52" t="s">
        <v>1436</v>
      </c>
      <c r="I310" s="51"/>
      <c r="J310" s="48"/>
      <c r="K310" s="50"/>
      <c r="L310" s="50"/>
      <c r="M310" s="48"/>
      <c r="N310" s="48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53">
        <v>44677.0</v>
      </c>
      <c r="B311" s="67" t="s">
        <v>1437</v>
      </c>
      <c r="C311" s="55" t="s">
        <v>1434</v>
      </c>
      <c r="D311" s="55" t="s">
        <v>1438</v>
      </c>
      <c r="E311" s="55">
        <v>1.0</v>
      </c>
      <c r="F311" s="56">
        <v>1830.59</v>
      </c>
      <c r="G311" s="55" t="s">
        <v>180</v>
      </c>
      <c r="H311" s="62"/>
      <c r="I311" s="56">
        <v>1830.59</v>
      </c>
      <c r="J311" s="53">
        <v>44699.0</v>
      </c>
      <c r="K311" s="55">
        <v>1806.0</v>
      </c>
      <c r="L311" s="55" t="s">
        <v>1439</v>
      </c>
      <c r="M311" s="53">
        <v>44699.0</v>
      </c>
      <c r="N311" s="53">
        <v>44730.0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48">
        <v>44677.0</v>
      </c>
      <c r="B312" s="57">
        <v>1931.0</v>
      </c>
      <c r="C312" s="50" t="s">
        <v>188</v>
      </c>
      <c r="D312" s="50" t="s">
        <v>1440</v>
      </c>
      <c r="E312" s="50">
        <v>9.0</v>
      </c>
      <c r="F312" s="51">
        <v>14738.13</v>
      </c>
      <c r="G312" s="50" t="s">
        <v>167</v>
      </c>
      <c r="H312" s="52" t="s">
        <v>1441</v>
      </c>
      <c r="I312" s="51"/>
      <c r="J312" s="48"/>
      <c r="K312" s="50"/>
      <c r="L312" s="50"/>
      <c r="M312" s="48"/>
      <c r="N312" s="48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53">
        <v>44677.0</v>
      </c>
      <c r="B313" s="59">
        <v>1928.0</v>
      </c>
      <c r="C313" s="55" t="s">
        <v>1442</v>
      </c>
      <c r="D313" s="55" t="s">
        <v>1443</v>
      </c>
      <c r="E313" s="55">
        <v>4.0</v>
      </c>
      <c r="F313" s="56">
        <v>665.24</v>
      </c>
      <c r="G313" s="55" t="s">
        <v>180</v>
      </c>
      <c r="H313" s="55"/>
      <c r="I313" s="56">
        <v>665.24</v>
      </c>
      <c r="J313" s="53">
        <v>44683.0</v>
      </c>
      <c r="K313" s="55">
        <v>1788.0</v>
      </c>
      <c r="L313" s="55">
        <v>61587.0</v>
      </c>
      <c r="M313" s="53">
        <v>44686.0</v>
      </c>
      <c r="N313" s="53">
        <v>44714.0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48">
        <v>44677.0</v>
      </c>
      <c r="B314" s="60">
        <v>1928.0</v>
      </c>
      <c r="C314" s="50" t="s">
        <v>1442</v>
      </c>
      <c r="D314" s="50" t="s">
        <v>1444</v>
      </c>
      <c r="E314" s="50">
        <v>6.0</v>
      </c>
      <c r="F314" s="51">
        <v>2283.86</v>
      </c>
      <c r="G314" s="50" t="s">
        <v>180</v>
      </c>
      <c r="H314" s="50"/>
      <c r="I314" s="51">
        <v>2283.86</v>
      </c>
      <c r="J314" s="48">
        <v>44719.0</v>
      </c>
      <c r="K314" s="50">
        <v>1836.0</v>
      </c>
      <c r="L314" s="50">
        <v>61587.0</v>
      </c>
      <c r="M314" s="48">
        <v>44708.0</v>
      </c>
      <c r="N314" s="48">
        <v>44749.0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53">
        <v>44678.0</v>
      </c>
      <c r="B315" s="67">
        <v>1932.0</v>
      </c>
      <c r="C315" s="55" t="s">
        <v>77</v>
      </c>
      <c r="D315" s="55" t="s">
        <v>1445</v>
      </c>
      <c r="E315" s="55">
        <v>20.0</v>
      </c>
      <c r="F315" s="56">
        <v>2824.0</v>
      </c>
      <c r="G315" s="55" t="str">
        <f>IF($K315&lt;&gt;"","FATURADO",IF($L315&lt;&gt;"","GANHOU"," "))</f>
        <v>FATURADO</v>
      </c>
      <c r="H315" s="55"/>
      <c r="I315" s="56">
        <v>2824.0</v>
      </c>
      <c r="J315" s="53">
        <v>44823.0</v>
      </c>
      <c r="K315" s="55">
        <v>1929.0</v>
      </c>
      <c r="L315" s="55">
        <v>166718.0</v>
      </c>
      <c r="M315" s="53">
        <v>44875.0</v>
      </c>
      <c r="N315" s="53">
        <v>44853.0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48">
        <v>44678.0</v>
      </c>
      <c r="B316" s="49">
        <v>1934.0</v>
      </c>
      <c r="C316" s="50" t="s">
        <v>1446</v>
      </c>
      <c r="D316" s="50" t="s">
        <v>1447</v>
      </c>
      <c r="E316" s="50">
        <v>5.0</v>
      </c>
      <c r="F316" s="51">
        <v>16.68</v>
      </c>
      <c r="G316" s="50" t="s">
        <v>167</v>
      </c>
      <c r="H316" s="52" t="s">
        <v>1448</v>
      </c>
      <c r="I316" s="51"/>
      <c r="J316" s="48"/>
      <c r="K316" s="50"/>
      <c r="L316" s="50"/>
      <c r="M316" s="48"/>
      <c r="N316" s="48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53">
        <v>44678.0</v>
      </c>
      <c r="B317" s="61">
        <v>1934.0</v>
      </c>
      <c r="C317" s="55" t="s">
        <v>1446</v>
      </c>
      <c r="D317" s="55" t="s">
        <v>1449</v>
      </c>
      <c r="E317" s="55">
        <v>5.0</v>
      </c>
      <c r="F317" s="56">
        <v>17.33</v>
      </c>
      <c r="G317" s="55" t="s">
        <v>167</v>
      </c>
      <c r="H317" s="55"/>
      <c r="I317" s="56"/>
      <c r="J317" s="53"/>
      <c r="K317" s="55"/>
      <c r="L317" s="55"/>
      <c r="M317" s="53"/>
      <c r="N317" s="53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48">
        <v>44678.0</v>
      </c>
      <c r="B318" s="63">
        <v>1934.0</v>
      </c>
      <c r="C318" s="50" t="s">
        <v>1446</v>
      </c>
      <c r="D318" s="50" t="s">
        <v>1450</v>
      </c>
      <c r="E318" s="50">
        <v>10.0</v>
      </c>
      <c r="F318" s="51">
        <v>33.58</v>
      </c>
      <c r="G318" s="50" t="s">
        <v>167</v>
      </c>
      <c r="H318" s="50"/>
      <c r="I318" s="51"/>
      <c r="J318" s="48"/>
      <c r="K318" s="50"/>
      <c r="L318" s="50"/>
      <c r="M318" s="48"/>
      <c r="N318" s="48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53">
        <v>44678.0</v>
      </c>
      <c r="B319" s="61">
        <v>1934.0</v>
      </c>
      <c r="C319" s="55" t="s">
        <v>1446</v>
      </c>
      <c r="D319" s="65" t="s">
        <v>1451</v>
      </c>
      <c r="E319" s="55">
        <v>2.0</v>
      </c>
      <c r="F319" s="56">
        <v>523.96</v>
      </c>
      <c r="G319" s="55" t="s">
        <v>167</v>
      </c>
      <c r="H319" s="55"/>
      <c r="I319" s="56"/>
      <c r="J319" s="53"/>
      <c r="K319" s="55"/>
      <c r="L319" s="55"/>
      <c r="M319" s="53"/>
      <c r="N319" s="53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48">
        <v>44678.0</v>
      </c>
      <c r="B320" s="63">
        <v>1934.0</v>
      </c>
      <c r="C320" s="50" t="s">
        <v>1446</v>
      </c>
      <c r="D320" s="64" t="s">
        <v>1452</v>
      </c>
      <c r="E320" s="50">
        <v>1.0</v>
      </c>
      <c r="F320" s="51">
        <v>523.96</v>
      </c>
      <c r="G320" s="50" t="s">
        <v>167</v>
      </c>
      <c r="H320" s="50"/>
      <c r="I320" s="51"/>
      <c r="J320" s="48"/>
      <c r="K320" s="50"/>
      <c r="L320" s="50"/>
      <c r="M320" s="48"/>
      <c r="N320" s="48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53">
        <v>44678.0</v>
      </c>
      <c r="B321" s="61">
        <v>1934.0</v>
      </c>
      <c r="C321" s="55" t="s">
        <v>1446</v>
      </c>
      <c r="D321" s="65" t="s">
        <v>1453</v>
      </c>
      <c r="E321" s="55">
        <v>1.0</v>
      </c>
      <c r="F321" s="56">
        <v>524.49</v>
      </c>
      <c r="G321" s="55" t="s">
        <v>167</v>
      </c>
      <c r="H321" s="55"/>
      <c r="I321" s="56"/>
      <c r="J321" s="53"/>
      <c r="K321" s="55"/>
      <c r="L321" s="55"/>
      <c r="M321" s="53"/>
      <c r="N321" s="53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48">
        <v>44678.0</v>
      </c>
      <c r="B322" s="63">
        <v>1934.0</v>
      </c>
      <c r="C322" s="50" t="s">
        <v>1446</v>
      </c>
      <c r="D322" s="64" t="s">
        <v>1454</v>
      </c>
      <c r="E322" s="50">
        <v>1.0</v>
      </c>
      <c r="F322" s="51">
        <v>524.49</v>
      </c>
      <c r="G322" s="50" t="s">
        <v>167</v>
      </c>
      <c r="H322" s="50"/>
      <c r="I322" s="51"/>
      <c r="J322" s="48"/>
      <c r="K322" s="50"/>
      <c r="L322" s="50"/>
      <c r="M322" s="48"/>
      <c r="N322" s="48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53">
        <v>44678.0</v>
      </c>
      <c r="B323" s="61">
        <v>1934.0</v>
      </c>
      <c r="C323" s="55" t="s">
        <v>1446</v>
      </c>
      <c r="D323" s="65" t="s">
        <v>1455</v>
      </c>
      <c r="E323" s="55">
        <v>2.0</v>
      </c>
      <c r="F323" s="56">
        <v>115.4</v>
      </c>
      <c r="G323" s="55" t="s">
        <v>167</v>
      </c>
      <c r="H323" s="55"/>
      <c r="I323" s="56"/>
      <c r="J323" s="53"/>
      <c r="K323" s="55"/>
      <c r="L323" s="55"/>
      <c r="M323" s="53"/>
      <c r="N323" s="53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48">
        <v>44678.0</v>
      </c>
      <c r="B324" s="63">
        <v>1934.0</v>
      </c>
      <c r="C324" s="50" t="s">
        <v>1446</v>
      </c>
      <c r="D324" s="64" t="s">
        <v>1456</v>
      </c>
      <c r="E324" s="50">
        <v>1.0</v>
      </c>
      <c r="F324" s="51">
        <v>57.7</v>
      </c>
      <c r="G324" s="50" t="s">
        <v>167</v>
      </c>
      <c r="H324" s="50"/>
      <c r="I324" s="51"/>
      <c r="J324" s="48"/>
      <c r="K324" s="50"/>
      <c r="L324" s="50"/>
      <c r="M324" s="48"/>
      <c r="N324" s="48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53">
        <v>44678.0</v>
      </c>
      <c r="B325" s="61">
        <v>1934.0</v>
      </c>
      <c r="C325" s="55" t="s">
        <v>1446</v>
      </c>
      <c r="D325" s="65" t="s">
        <v>1457</v>
      </c>
      <c r="E325" s="55">
        <v>1.0</v>
      </c>
      <c r="F325" s="56">
        <v>58.66</v>
      </c>
      <c r="G325" s="55" t="s">
        <v>167</v>
      </c>
      <c r="H325" s="55"/>
      <c r="I325" s="56"/>
      <c r="J325" s="53"/>
      <c r="K325" s="55"/>
      <c r="L325" s="55"/>
      <c r="M325" s="53"/>
      <c r="N325" s="53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48">
        <v>44678.0</v>
      </c>
      <c r="B326" s="60">
        <v>1934.0</v>
      </c>
      <c r="C326" s="50" t="s">
        <v>1446</v>
      </c>
      <c r="D326" s="64" t="s">
        <v>1458</v>
      </c>
      <c r="E326" s="50">
        <v>1.0</v>
      </c>
      <c r="F326" s="51">
        <v>55.49</v>
      </c>
      <c r="G326" s="50" t="s">
        <v>167</v>
      </c>
      <c r="H326" s="50"/>
      <c r="I326" s="51"/>
      <c r="J326" s="48"/>
      <c r="K326" s="50"/>
      <c r="L326" s="50"/>
      <c r="M326" s="48"/>
      <c r="N326" s="48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53">
        <v>44678.0</v>
      </c>
      <c r="B327" s="67">
        <v>1935.0</v>
      </c>
      <c r="C327" s="55" t="s">
        <v>1459</v>
      </c>
      <c r="D327" s="74" t="s">
        <v>1460</v>
      </c>
      <c r="E327" s="55">
        <v>1.0</v>
      </c>
      <c r="F327" s="56">
        <v>2605.78</v>
      </c>
      <c r="G327" s="55" t="s">
        <v>167</v>
      </c>
      <c r="H327" s="62" t="s">
        <v>1461</v>
      </c>
      <c r="I327" s="56"/>
      <c r="J327" s="53"/>
      <c r="K327" s="55"/>
      <c r="L327" s="55"/>
      <c r="M327" s="53"/>
      <c r="N327" s="53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48">
        <v>44678.0</v>
      </c>
      <c r="B328" s="49">
        <v>1936.0</v>
      </c>
      <c r="C328" s="50" t="s">
        <v>44</v>
      </c>
      <c r="D328" s="50" t="s">
        <v>1462</v>
      </c>
      <c r="E328" s="50">
        <v>1.0</v>
      </c>
      <c r="F328" s="51">
        <v>6064.23</v>
      </c>
      <c r="G328" s="50" t="s">
        <v>167</v>
      </c>
      <c r="H328" s="50"/>
      <c r="I328" s="51"/>
      <c r="J328" s="48"/>
      <c r="K328" s="50"/>
      <c r="L328" s="50"/>
      <c r="M328" s="48"/>
      <c r="N328" s="48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53">
        <v>44678.0</v>
      </c>
      <c r="B329" s="54">
        <v>1936.0</v>
      </c>
      <c r="C329" s="55" t="s">
        <v>44</v>
      </c>
      <c r="D329" s="55" t="s">
        <v>1463</v>
      </c>
      <c r="E329" s="55">
        <v>150.0</v>
      </c>
      <c r="F329" s="56">
        <v>1906.5</v>
      </c>
      <c r="G329" s="55" t="s">
        <v>167</v>
      </c>
      <c r="H329" s="55"/>
      <c r="I329" s="56"/>
      <c r="J329" s="53"/>
      <c r="K329" s="55"/>
      <c r="L329" s="55"/>
      <c r="M329" s="53"/>
      <c r="N329" s="53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48">
        <v>44679.0</v>
      </c>
      <c r="B330" s="57" t="s">
        <v>1464</v>
      </c>
      <c r="C330" s="50" t="s">
        <v>188</v>
      </c>
      <c r="D330" s="50" t="s">
        <v>1465</v>
      </c>
      <c r="E330" s="50">
        <v>15.0</v>
      </c>
      <c r="F330" s="51">
        <v>56100.31</v>
      </c>
      <c r="G330" s="50" t="s">
        <v>167</v>
      </c>
      <c r="H330" s="52" t="s">
        <v>1466</v>
      </c>
      <c r="I330" s="51"/>
      <c r="J330" s="48"/>
      <c r="K330" s="50"/>
      <c r="L330" s="50"/>
      <c r="M330" s="48"/>
      <c r="N330" s="48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53">
        <v>44679.0</v>
      </c>
      <c r="B331" s="55"/>
      <c r="C331" s="55" t="s">
        <v>1467</v>
      </c>
      <c r="D331" s="55" t="s">
        <v>1468</v>
      </c>
      <c r="E331" s="55">
        <v>1.0</v>
      </c>
      <c r="F331" s="56"/>
      <c r="G331" s="55" t="s">
        <v>1281</v>
      </c>
      <c r="H331" s="55"/>
      <c r="I331" s="56"/>
      <c r="J331" s="53"/>
      <c r="K331" s="55"/>
      <c r="L331" s="55"/>
      <c r="M331" s="53"/>
      <c r="N331" s="53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48">
        <v>44679.0</v>
      </c>
      <c r="B332" s="49">
        <v>1940.0</v>
      </c>
      <c r="C332" s="50" t="s">
        <v>1469</v>
      </c>
      <c r="D332" s="75" t="s">
        <v>1460</v>
      </c>
      <c r="E332" s="50">
        <v>1.0</v>
      </c>
      <c r="F332" s="51">
        <v>2408.24</v>
      </c>
      <c r="G332" s="50" t="s">
        <v>167</v>
      </c>
      <c r="H332" s="50"/>
      <c r="I332" s="51"/>
      <c r="J332" s="48"/>
      <c r="K332" s="50"/>
      <c r="L332" s="50"/>
      <c r="M332" s="48"/>
      <c r="N332" s="48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53">
        <v>44679.0</v>
      </c>
      <c r="B333" s="54">
        <v>1940.0</v>
      </c>
      <c r="C333" s="55" t="s">
        <v>1469</v>
      </c>
      <c r="D333" s="55" t="s">
        <v>1470</v>
      </c>
      <c r="E333" s="55">
        <v>1.0</v>
      </c>
      <c r="F333" s="56">
        <v>6689.28</v>
      </c>
      <c r="G333" s="55" t="s">
        <v>167</v>
      </c>
      <c r="H333" s="55"/>
      <c r="I333" s="56"/>
      <c r="J333" s="53"/>
      <c r="K333" s="55"/>
      <c r="L333" s="55"/>
      <c r="M333" s="53"/>
      <c r="N333" s="53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48">
        <v>44679.0</v>
      </c>
      <c r="B334" s="57">
        <v>1941.0</v>
      </c>
      <c r="C334" s="50" t="s">
        <v>1471</v>
      </c>
      <c r="D334" s="50" t="s">
        <v>1472</v>
      </c>
      <c r="E334" s="50">
        <v>20.0</v>
      </c>
      <c r="F334" s="51">
        <v>2263.32</v>
      </c>
      <c r="G334" s="50" t="s">
        <v>167</v>
      </c>
      <c r="H334" s="52" t="s">
        <v>1473</v>
      </c>
      <c r="I334" s="51"/>
      <c r="J334" s="48"/>
      <c r="K334" s="50"/>
      <c r="L334" s="50"/>
      <c r="M334" s="48"/>
      <c r="N334" s="48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53">
        <v>44680.0</v>
      </c>
      <c r="B335" s="67">
        <v>1942.0</v>
      </c>
      <c r="C335" s="55" t="s">
        <v>188</v>
      </c>
      <c r="D335" s="55" t="s">
        <v>1474</v>
      </c>
      <c r="E335" s="55">
        <v>11.0</v>
      </c>
      <c r="F335" s="56">
        <v>7199.83</v>
      </c>
      <c r="G335" s="55" t="s">
        <v>180</v>
      </c>
      <c r="H335" s="62"/>
      <c r="I335" s="56">
        <v>7199.83</v>
      </c>
      <c r="J335" s="53">
        <v>44757.0</v>
      </c>
      <c r="K335" s="55">
        <v>1866.0</v>
      </c>
      <c r="L335" s="55">
        <v>5.20203989E9</v>
      </c>
      <c r="M335" s="53">
        <v>44793.0</v>
      </c>
      <c r="N335" s="53">
        <v>44803.0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48">
        <v>44680.0</v>
      </c>
      <c r="B336" s="57">
        <v>1978.0</v>
      </c>
      <c r="C336" s="50" t="s">
        <v>1434</v>
      </c>
      <c r="D336" s="50" t="s">
        <v>1475</v>
      </c>
      <c r="E336" s="50">
        <v>14.0</v>
      </c>
      <c r="F336" s="51">
        <v>1706.24</v>
      </c>
      <c r="G336" s="50" t="s">
        <v>167</v>
      </c>
      <c r="H336" s="52" t="s">
        <v>1476</v>
      </c>
      <c r="I336" s="51"/>
      <c r="J336" s="48"/>
      <c r="K336" s="50"/>
      <c r="L336" s="50"/>
      <c r="M336" s="48"/>
      <c r="N336" s="48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53">
        <v>44680.0</v>
      </c>
      <c r="B337" s="67" t="s">
        <v>1477</v>
      </c>
      <c r="C337" s="55" t="s">
        <v>1478</v>
      </c>
      <c r="D337" s="55" t="s">
        <v>1479</v>
      </c>
      <c r="E337" s="55">
        <v>4.0</v>
      </c>
      <c r="F337" s="56">
        <v>2093.32</v>
      </c>
      <c r="G337" s="55" t="s">
        <v>180</v>
      </c>
      <c r="H337" s="55"/>
      <c r="I337" s="56">
        <v>2093.32</v>
      </c>
      <c r="J337" s="53">
        <v>44700.0</v>
      </c>
      <c r="K337" s="55">
        <v>1809.0</v>
      </c>
      <c r="L337" s="55">
        <v>4.511802983E9</v>
      </c>
      <c r="M337" s="53">
        <v>44701.0</v>
      </c>
      <c r="N337" s="53">
        <v>44731.0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48">
        <v>44681.0</v>
      </c>
      <c r="B338" s="50"/>
      <c r="C338" s="50" t="s">
        <v>19</v>
      </c>
      <c r="D338" s="50" t="s">
        <v>1480</v>
      </c>
      <c r="E338" s="50">
        <v>30.0</v>
      </c>
      <c r="F338" s="51"/>
      <c r="G338" s="50" t="s">
        <v>1281</v>
      </c>
      <c r="H338" s="50"/>
      <c r="I338" s="51"/>
      <c r="J338" s="48"/>
      <c r="K338" s="50"/>
      <c r="L338" s="50"/>
      <c r="M338" s="48"/>
      <c r="N338" s="48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53"/>
      <c r="B339" s="55"/>
      <c r="C339" s="55"/>
      <c r="D339" s="55"/>
      <c r="E339" s="55"/>
      <c r="F339" s="56"/>
      <c r="G339" s="55"/>
      <c r="H339" s="55"/>
      <c r="I339" s="56"/>
      <c r="J339" s="53"/>
      <c r="K339" s="55"/>
      <c r="L339" s="55"/>
      <c r="M339" s="53"/>
      <c r="N339" s="53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48">
        <v>44683.0</v>
      </c>
      <c r="B340" s="49">
        <v>1973.0</v>
      </c>
      <c r="C340" s="50" t="s">
        <v>1481</v>
      </c>
      <c r="D340" s="50" t="s">
        <v>1482</v>
      </c>
      <c r="E340" s="50">
        <v>1.0</v>
      </c>
      <c r="F340" s="51">
        <v>7905.89</v>
      </c>
      <c r="G340" s="50" t="s">
        <v>167</v>
      </c>
      <c r="H340" s="52" t="s">
        <v>1483</v>
      </c>
      <c r="I340" s="51"/>
      <c r="J340" s="48"/>
      <c r="K340" s="50"/>
      <c r="L340" s="50"/>
      <c r="M340" s="48"/>
      <c r="N340" s="48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53">
        <v>44683.0</v>
      </c>
      <c r="B341" s="54">
        <v>1973.0</v>
      </c>
      <c r="C341" s="55" t="s">
        <v>1481</v>
      </c>
      <c r="D341" s="55" t="s">
        <v>1484</v>
      </c>
      <c r="E341" s="55">
        <v>1.0</v>
      </c>
      <c r="F341" s="56">
        <v>7422.88</v>
      </c>
      <c r="G341" s="55" t="s">
        <v>167</v>
      </c>
      <c r="H341" s="62"/>
      <c r="I341" s="56"/>
      <c r="J341" s="53"/>
      <c r="K341" s="55"/>
      <c r="L341" s="55"/>
      <c r="M341" s="53"/>
      <c r="N341" s="53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48">
        <v>44683.0</v>
      </c>
      <c r="B342" s="49">
        <v>1944.0</v>
      </c>
      <c r="C342" s="50" t="s">
        <v>1004</v>
      </c>
      <c r="D342" s="50" t="s">
        <v>197</v>
      </c>
      <c r="E342" s="50">
        <v>1.0</v>
      </c>
      <c r="F342" s="51">
        <v>890.37</v>
      </c>
      <c r="G342" s="50" t="s">
        <v>167</v>
      </c>
      <c r="H342" s="50"/>
      <c r="I342" s="51"/>
      <c r="J342" s="48"/>
      <c r="K342" s="50"/>
      <c r="L342" s="50"/>
      <c r="M342" s="48"/>
      <c r="N342" s="48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53">
        <v>44683.0</v>
      </c>
      <c r="B343" s="54">
        <v>1944.0</v>
      </c>
      <c r="C343" s="55" t="s">
        <v>1004</v>
      </c>
      <c r="D343" s="55" t="s">
        <v>168</v>
      </c>
      <c r="E343" s="55">
        <v>3.0</v>
      </c>
      <c r="F343" s="56">
        <v>2491.4</v>
      </c>
      <c r="G343" s="55" t="s">
        <v>167</v>
      </c>
      <c r="H343" s="55"/>
      <c r="I343" s="56"/>
      <c r="J343" s="53"/>
      <c r="K343" s="55"/>
      <c r="L343" s="55"/>
      <c r="M343" s="53"/>
      <c r="N343" s="53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48">
        <v>44683.0</v>
      </c>
      <c r="B344" s="49">
        <v>1945.0</v>
      </c>
      <c r="C344" s="50" t="s">
        <v>1409</v>
      </c>
      <c r="D344" s="50" t="s">
        <v>1485</v>
      </c>
      <c r="E344" s="50">
        <v>1.0</v>
      </c>
      <c r="F344" s="51">
        <v>16467.25</v>
      </c>
      <c r="G344" s="50" t="s">
        <v>167</v>
      </c>
      <c r="H344" s="52" t="s">
        <v>1486</v>
      </c>
      <c r="I344" s="51"/>
      <c r="J344" s="48"/>
      <c r="K344" s="50"/>
      <c r="L344" s="50"/>
      <c r="M344" s="48"/>
      <c r="N344" s="48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53">
        <v>44683.0</v>
      </c>
      <c r="B345" s="54">
        <v>1945.0</v>
      </c>
      <c r="C345" s="55" t="s">
        <v>1409</v>
      </c>
      <c r="D345" s="55" t="s">
        <v>1487</v>
      </c>
      <c r="E345" s="55">
        <v>1.0</v>
      </c>
      <c r="F345" s="56">
        <v>6859.91</v>
      </c>
      <c r="G345" s="55" t="s">
        <v>167</v>
      </c>
      <c r="H345" s="55"/>
      <c r="I345" s="56"/>
      <c r="J345" s="53"/>
      <c r="K345" s="55"/>
      <c r="L345" s="55"/>
      <c r="M345" s="53"/>
      <c r="N345" s="53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48">
        <v>44683.0</v>
      </c>
      <c r="B346" s="57">
        <v>1946.0</v>
      </c>
      <c r="C346" s="50" t="s">
        <v>188</v>
      </c>
      <c r="D346" s="50" t="s">
        <v>1488</v>
      </c>
      <c r="E346" s="50">
        <v>5.0</v>
      </c>
      <c r="F346" s="51">
        <v>194.5</v>
      </c>
      <c r="G346" s="50" t="s">
        <v>167</v>
      </c>
      <c r="H346" s="50"/>
      <c r="I346" s="51"/>
      <c r="J346" s="48"/>
      <c r="K346" s="50"/>
      <c r="L346" s="50"/>
      <c r="M346" s="48"/>
      <c r="N346" s="48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53">
        <v>44683.0</v>
      </c>
      <c r="B347" s="59">
        <v>1950.0</v>
      </c>
      <c r="C347" s="55" t="s">
        <v>1489</v>
      </c>
      <c r="D347" s="55" t="s">
        <v>1490</v>
      </c>
      <c r="E347" s="55">
        <v>18.0</v>
      </c>
      <c r="F347" s="56">
        <v>18994.89</v>
      </c>
      <c r="G347" s="55" t="s">
        <v>167</v>
      </c>
      <c r="H347" s="55"/>
      <c r="I347" s="56"/>
      <c r="J347" s="53"/>
      <c r="K347" s="55"/>
      <c r="L347" s="55"/>
      <c r="M347" s="53"/>
      <c r="N347" s="53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48">
        <v>44684.0</v>
      </c>
      <c r="B348" s="60">
        <v>1950.0</v>
      </c>
      <c r="C348" s="50" t="s">
        <v>1489</v>
      </c>
      <c r="D348" s="50" t="s">
        <v>1491</v>
      </c>
      <c r="E348" s="50">
        <v>18.0</v>
      </c>
      <c r="F348" s="51">
        <v>51018.72</v>
      </c>
      <c r="G348" s="50" t="s">
        <v>167</v>
      </c>
      <c r="H348" s="52" t="s">
        <v>1492</v>
      </c>
      <c r="I348" s="51"/>
      <c r="J348" s="48"/>
      <c r="K348" s="50"/>
      <c r="L348" s="50"/>
      <c r="M348" s="48"/>
      <c r="N348" s="48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53">
        <v>44685.0</v>
      </c>
      <c r="B349" s="67">
        <v>1953.0</v>
      </c>
      <c r="C349" s="55" t="s">
        <v>19</v>
      </c>
      <c r="D349" s="55" t="s">
        <v>1493</v>
      </c>
      <c r="E349" s="55">
        <v>120.0</v>
      </c>
      <c r="F349" s="56">
        <v>384.0</v>
      </c>
      <c r="G349" s="55" t="str">
        <f>IF($K349&lt;&gt;"","FATURADO",IF($L349&lt;&gt;"","GANHOU"," "))</f>
        <v>FATURADO</v>
      </c>
      <c r="H349" s="55"/>
      <c r="I349" s="56">
        <v>384.0</v>
      </c>
      <c r="J349" s="53">
        <v>44692.0</v>
      </c>
      <c r="K349" s="55">
        <v>1800.0</v>
      </c>
      <c r="L349" s="55">
        <v>4.500394328E9</v>
      </c>
      <c r="M349" s="53">
        <v>44693.0</v>
      </c>
      <c r="N349" s="53">
        <v>44723.0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48">
        <v>44686.0</v>
      </c>
      <c r="B350" s="49">
        <v>1972.0</v>
      </c>
      <c r="C350" s="50" t="s">
        <v>44</v>
      </c>
      <c r="D350" s="50" t="s">
        <v>1494</v>
      </c>
      <c r="E350" s="50">
        <v>1.0</v>
      </c>
      <c r="F350" s="51"/>
      <c r="G350" s="50" t="s">
        <v>167</v>
      </c>
      <c r="H350" s="52" t="s">
        <v>1495</v>
      </c>
      <c r="I350" s="51"/>
      <c r="J350" s="48"/>
      <c r="K350" s="50"/>
      <c r="L350" s="50"/>
      <c r="M350" s="48"/>
      <c r="N350" s="48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53">
        <v>44686.0</v>
      </c>
      <c r="B351" s="61">
        <v>1972.0</v>
      </c>
      <c r="C351" s="55" t="s">
        <v>44</v>
      </c>
      <c r="D351" s="55" t="s">
        <v>1496</v>
      </c>
      <c r="E351" s="55">
        <v>1.0</v>
      </c>
      <c r="F351" s="56"/>
      <c r="G351" s="55" t="s">
        <v>167</v>
      </c>
      <c r="H351" s="55"/>
      <c r="I351" s="56"/>
      <c r="J351" s="53"/>
      <c r="K351" s="55"/>
      <c r="L351" s="55"/>
      <c r="M351" s="53"/>
      <c r="N351" s="53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48">
        <v>44686.0</v>
      </c>
      <c r="B352" s="63">
        <v>1972.0</v>
      </c>
      <c r="C352" s="50" t="s">
        <v>44</v>
      </c>
      <c r="D352" s="50" t="s">
        <v>1497</v>
      </c>
      <c r="E352" s="50">
        <v>4.0</v>
      </c>
      <c r="F352" s="51"/>
      <c r="G352" s="50" t="s">
        <v>167</v>
      </c>
      <c r="H352" s="50"/>
      <c r="I352" s="51"/>
      <c r="J352" s="48"/>
      <c r="K352" s="50"/>
      <c r="L352" s="50"/>
      <c r="M352" s="48"/>
      <c r="N352" s="48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53">
        <v>44686.0</v>
      </c>
      <c r="B353" s="61">
        <v>1972.0</v>
      </c>
      <c r="C353" s="55" t="s">
        <v>44</v>
      </c>
      <c r="D353" s="55" t="s">
        <v>1498</v>
      </c>
      <c r="E353" s="55">
        <v>1.0</v>
      </c>
      <c r="F353" s="56"/>
      <c r="G353" s="55" t="s">
        <v>167</v>
      </c>
      <c r="H353" s="55"/>
      <c r="I353" s="56"/>
      <c r="J353" s="53"/>
      <c r="K353" s="55"/>
      <c r="L353" s="55"/>
      <c r="M353" s="53"/>
      <c r="N353" s="53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48">
        <v>44686.0</v>
      </c>
      <c r="B354" s="63">
        <v>1972.0</v>
      </c>
      <c r="C354" s="50" t="s">
        <v>44</v>
      </c>
      <c r="D354" s="50" t="s">
        <v>1499</v>
      </c>
      <c r="E354" s="50">
        <v>3.0</v>
      </c>
      <c r="F354" s="51"/>
      <c r="G354" s="50" t="s">
        <v>167</v>
      </c>
      <c r="H354" s="50"/>
      <c r="I354" s="51"/>
      <c r="J354" s="48"/>
      <c r="K354" s="50"/>
      <c r="L354" s="50"/>
      <c r="M354" s="48"/>
      <c r="N354" s="48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53">
        <v>44686.0</v>
      </c>
      <c r="B355" s="61">
        <v>1972.0</v>
      </c>
      <c r="C355" s="55" t="s">
        <v>44</v>
      </c>
      <c r="D355" s="55" t="s">
        <v>1500</v>
      </c>
      <c r="E355" s="55">
        <v>3.0</v>
      </c>
      <c r="F355" s="56"/>
      <c r="G355" s="55" t="s">
        <v>167</v>
      </c>
      <c r="H355" s="55"/>
      <c r="I355" s="56"/>
      <c r="J355" s="53"/>
      <c r="K355" s="55"/>
      <c r="L355" s="55"/>
      <c r="M355" s="53"/>
      <c r="N355" s="53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48">
        <v>44686.0</v>
      </c>
      <c r="B356" s="60">
        <v>1972.0</v>
      </c>
      <c r="C356" s="50" t="s">
        <v>44</v>
      </c>
      <c r="D356" s="50" t="s">
        <v>1501</v>
      </c>
      <c r="E356" s="50">
        <v>1.0</v>
      </c>
      <c r="F356" s="51"/>
      <c r="G356" s="50" t="s">
        <v>167</v>
      </c>
      <c r="H356" s="50"/>
      <c r="I356" s="51"/>
      <c r="J356" s="48"/>
      <c r="K356" s="50"/>
      <c r="L356" s="50"/>
      <c r="M356" s="48"/>
      <c r="N356" s="48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53">
        <v>44686.0</v>
      </c>
      <c r="B357" s="59">
        <v>1965.0</v>
      </c>
      <c r="C357" s="55" t="s">
        <v>188</v>
      </c>
      <c r="D357" s="55" t="s">
        <v>1502</v>
      </c>
      <c r="E357" s="55">
        <v>1.0</v>
      </c>
      <c r="F357" s="56">
        <v>38900.0</v>
      </c>
      <c r="G357" s="55" t="s">
        <v>167</v>
      </c>
      <c r="H357" s="55"/>
      <c r="I357" s="56"/>
      <c r="J357" s="53"/>
      <c r="K357" s="55"/>
      <c r="L357" s="55"/>
      <c r="M357" s="53"/>
      <c r="N357" s="53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48">
        <v>44686.0</v>
      </c>
      <c r="B358" s="49" t="s">
        <v>1503</v>
      </c>
      <c r="C358" s="50" t="s">
        <v>188</v>
      </c>
      <c r="D358" s="50" t="s">
        <v>1504</v>
      </c>
      <c r="E358" s="50">
        <v>1.0</v>
      </c>
      <c r="F358" s="51">
        <v>3916.78</v>
      </c>
      <c r="G358" s="50" t="str">
        <f t="shared" ref="G358:G359" si="1">IF($K358&lt;&gt;"","FATURADO",IF($L358&lt;&gt;"","GANHOU"," "))</f>
        <v>FATURADO</v>
      </c>
      <c r="H358" s="50"/>
      <c r="I358" s="51">
        <v>3916.78</v>
      </c>
      <c r="J358" s="48">
        <v>44944.0</v>
      </c>
      <c r="K358" s="50">
        <v>2042.0</v>
      </c>
      <c r="L358" s="50">
        <v>4.40541904E8</v>
      </c>
      <c r="M358" s="48">
        <v>44831.0</v>
      </c>
      <c r="N358" s="48">
        <v>44991.0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53">
        <v>44686.0</v>
      </c>
      <c r="B359" s="54" t="s">
        <v>1503</v>
      </c>
      <c r="C359" s="55" t="s">
        <v>188</v>
      </c>
      <c r="D359" s="55" t="s">
        <v>1504</v>
      </c>
      <c r="E359" s="55">
        <v>5.0</v>
      </c>
      <c r="F359" s="56">
        <v>23500.67</v>
      </c>
      <c r="G359" s="55" t="str">
        <f t="shared" si="1"/>
        <v>FATURADO</v>
      </c>
      <c r="H359" s="55"/>
      <c r="I359" s="56">
        <f>F359-F358</f>
        <v>19583.89</v>
      </c>
      <c r="J359" s="53">
        <v>44748.0</v>
      </c>
      <c r="K359" s="55">
        <v>1861.0</v>
      </c>
      <c r="L359" s="55">
        <v>4.40541904E8</v>
      </c>
      <c r="M359" s="53">
        <v>44831.0</v>
      </c>
      <c r="N359" s="53">
        <v>44794.0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48">
        <v>44686.0</v>
      </c>
      <c r="B360" s="60">
        <v>1961.0</v>
      </c>
      <c r="C360" s="50" t="s">
        <v>44</v>
      </c>
      <c r="D360" s="50" t="s">
        <v>1505</v>
      </c>
      <c r="E360" s="50">
        <v>1.0</v>
      </c>
      <c r="F360" s="51">
        <v>1740.21</v>
      </c>
      <c r="G360" s="50" t="s">
        <v>167</v>
      </c>
      <c r="H360" s="50"/>
      <c r="I360" s="51"/>
      <c r="J360" s="48"/>
      <c r="K360" s="50"/>
      <c r="L360" s="50"/>
      <c r="M360" s="48"/>
      <c r="N360" s="48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53">
        <v>44686.0</v>
      </c>
      <c r="B361" s="55"/>
      <c r="C361" s="55" t="s">
        <v>44</v>
      </c>
      <c r="D361" s="55" t="s">
        <v>1506</v>
      </c>
      <c r="E361" s="55">
        <v>1.0</v>
      </c>
      <c r="F361" s="56"/>
      <c r="G361" s="55" t="s">
        <v>1281</v>
      </c>
      <c r="H361" s="55"/>
      <c r="I361" s="56"/>
      <c r="J361" s="53"/>
      <c r="K361" s="55"/>
      <c r="L361" s="55"/>
      <c r="M361" s="53"/>
      <c r="N361" s="53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48">
        <v>44686.0</v>
      </c>
      <c r="B362" s="50"/>
      <c r="C362" s="50" t="s">
        <v>44</v>
      </c>
      <c r="D362" s="50" t="s">
        <v>1507</v>
      </c>
      <c r="E362" s="50">
        <v>2.0</v>
      </c>
      <c r="F362" s="51"/>
      <c r="G362" s="50" t="s">
        <v>1281</v>
      </c>
      <c r="H362" s="50"/>
      <c r="I362" s="51"/>
      <c r="J362" s="48"/>
      <c r="K362" s="50"/>
      <c r="L362" s="50"/>
      <c r="M362" s="48"/>
      <c r="N362" s="48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53">
        <v>44686.0</v>
      </c>
      <c r="B363" s="55"/>
      <c r="C363" s="55" t="s">
        <v>44</v>
      </c>
      <c r="D363" s="55" t="s">
        <v>1508</v>
      </c>
      <c r="E363" s="55">
        <v>20.0</v>
      </c>
      <c r="F363" s="56"/>
      <c r="G363" s="55" t="s">
        <v>1281</v>
      </c>
      <c r="H363" s="55"/>
      <c r="I363" s="56"/>
      <c r="J363" s="53"/>
      <c r="K363" s="55"/>
      <c r="L363" s="55"/>
      <c r="M363" s="53"/>
      <c r="N363" s="53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48">
        <v>44687.0</v>
      </c>
      <c r="B364" s="57">
        <v>1960.0</v>
      </c>
      <c r="C364" s="50" t="s">
        <v>44</v>
      </c>
      <c r="D364" s="50" t="s">
        <v>825</v>
      </c>
      <c r="E364" s="50">
        <v>1.0</v>
      </c>
      <c r="F364" s="51">
        <v>1362.35</v>
      </c>
      <c r="G364" s="50" t="s">
        <v>167</v>
      </c>
      <c r="H364" s="50"/>
      <c r="I364" s="51"/>
      <c r="J364" s="48"/>
      <c r="K364" s="50"/>
      <c r="L364" s="50"/>
      <c r="M364" s="48"/>
      <c r="N364" s="48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53">
        <v>44687.0</v>
      </c>
      <c r="B365" s="55"/>
      <c r="C365" s="55" t="s">
        <v>44</v>
      </c>
      <c r="D365" s="55" t="s">
        <v>1509</v>
      </c>
      <c r="E365" s="55">
        <v>1.0</v>
      </c>
      <c r="F365" s="56"/>
      <c r="G365" s="55" t="s">
        <v>1281</v>
      </c>
      <c r="H365" s="55"/>
      <c r="I365" s="56"/>
      <c r="J365" s="53"/>
      <c r="K365" s="55"/>
      <c r="L365" s="55"/>
      <c r="M365" s="53"/>
      <c r="N365" s="53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48">
        <v>44687.0</v>
      </c>
      <c r="B366" s="50"/>
      <c r="C366" s="50" t="s">
        <v>44</v>
      </c>
      <c r="D366" s="50" t="s">
        <v>1509</v>
      </c>
      <c r="E366" s="50">
        <v>1.0</v>
      </c>
      <c r="F366" s="51"/>
      <c r="G366" s="50" t="s">
        <v>1281</v>
      </c>
      <c r="H366" s="50"/>
      <c r="I366" s="51"/>
      <c r="J366" s="48"/>
      <c r="K366" s="50"/>
      <c r="L366" s="50"/>
      <c r="M366" s="48"/>
      <c r="N366" s="48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53">
        <v>44687.0</v>
      </c>
      <c r="B367" s="55"/>
      <c r="C367" s="55" t="s">
        <v>1510</v>
      </c>
      <c r="D367" s="55" t="s">
        <v>1511</v>
      </c>
      <c r="E367" s="55">
        <v>1.0</v>
      </c>
      <c r="F367" s="56"/>
      <c r="G367" s="55" t="s">
        <v>241</v>
      </c>
      <c r="H367" s="55"/>
      <c r="I367" s="56"/>
      <c r="J367" s="53"/>
      <c r="K367" s="55"/>
      <c r="L367" s="55"/>
      <c r="M367" s="53"/>
      <c r="N367" s="53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48">
        <v>44687.0</v>
      </c>
      <c r="B368" s="49">
        <v>1958.0</v>
      </c>
      <c r="C368" s="50" t="s">
        <v>44</v>
      </c>
      <c r="D368" s="50" t="s">
        <v>1512</v>
      </c>
      <c r="E368" s="50">
        <v>1.0</v>
      </c>
      <c r="F368" s="51">
        <v>3456.66</v>
      </c>
      <c r="G368" s="50" t="s">
        <v>167</v>
      </c>
      <c r="H368" s="50"/>
      <c r="I368" s="51"/>
      <c r="J368" s="48"/>
      <c r="K368" s="50"/>
      <c r="L368" s="50"/>
      <c r="M368" s="48"/>
      <c r="N368" s="48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53">
        <v>44687.0</v>
      </c>
      <c r="B369" s="61">
        <v>1958.0</v>
      </c>
      <c r="C369" s="55" t="s">
        <v>44</v>
      </c>
      <c r="D369" s="55" t="s">
        <v>1513</v>
      </c>
      <c r="E369" s="55">
        <v>1.0</v>
      </c>
      <c r="F369" s="56">
        <v>3097.29</v>
      </c>
      <c r="G369" s="55" t="s">
        <v>167</v>
      </c>
      <c r="H369" s="55"/>
      <c r="I369" s="56"/>
      <c r="J369" s="53"/>
      <c r="K369" s="55"/>
      <c r="L369" s="55"/>
      <c r="M369" s="53"/>
      <c r="N369" s="53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48">
        <v>44687.0</v>
      </c>
      <c r="B370" s="63">
        <v>1958.0</v>
      </c>
      <c r="C370" s="50" t="s">
        <v>44</v>
      </c>
      <c r="D370" s="50" t="s">
        <v>1514</v>
      </c>
      <c r="E370" s="50">
        <v>1.0</v>
      </c>
      <c r="F370" s="51">
        <v>9623.12</v>
      </c>
      <c r="G370" s="50" t="s">
        <v>167</v>
      </c>
      <c r="H370" s="50"/>
      <c r="I370" s="51"/>
      <c r="J370" s="48"/>
      <c r="K370" s="50"/>
      <c r="L370" s="50"/>
      <c r="M370" s="48"/>
      <c r="N370" s="48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53">
        <v>44687.0</v>
      </c>
      <c r="B371" s="61">
        <v>1958.0</v>
      </c>
      <c r="C371" s="55" t="s">
        <v>44</v>
      </c>
      <c r="D371" s="55" t="s">
        <v>1515</v>
      </c>
      <c r="E371" s="55">
        <v>1.0</v>
      </c>
      <c r="F371" s="56">
        <v>2722.5</v>
      </c>
      <c r="G371" s="55" t="s">
        <v>167</v>
      </c>
      <c r="H371" s="55"/>
      <c r="I371" s="56"/>
      <c r="J371" s="53"/>
      <c r="K371" s="55"/>
      <c r="L371" s="55"/>
      <c r="M371" s="53"/>
      <c r="N371" s="53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48">
        <v>44687.0</v>
      </c>
      <c r="B372" s="63">
        <v>1958.0</v>
      </c>
      <c r="C372" s="50" t="s">
        <v>44</v>
      </c>
      <c r="D372" s="50" t="s">
        <v>1516</v>
      </c>
      <c r="E372" s="50">
        <v>1.0</v>
      </c>
      <c r="F372" s="51">
        <v>8998.44</v>
      </c>
      <c r="G372" s="50" t="s">
        <v>167</v>
      </c>
      <c r="H372" s="50"/>
      <c r="I372" s="51"/>
      <c r="J372" s="48"/>
      <c r="K372" s="50"/>
      <c r="L372" s="50"/>
      <c r="M372" s="48"/>
      <c r="N372" s="48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53">
        <v>44687.0</v>
      </c>
      <c r="B373" s="61">
        <v>1958.0</v>
      </c>
      <c r="C373" s="55" t="s">
        <v>44</v>
      </c>
      <c r="D373" s="55" t="s">
        <v>1517</v>
      </c>
      <c r="E373" s="55">
        <v>1.0</v>
      </c>
      <c r="F373" s="56">
        <v>16900.0</v>
      </c>
      <c r="G373" s="55" t="s">
        <v>167</v>
      </c>
      <c r="H373" s="55"/>
      <c r="I373" s="56"/>
      <c r="J373" s="53"/>
      <c r="K373" s="55"/>
      <c r="L373" s="55"/>
      <c r="M373" s="53"/>
      <c r="N373" s="53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48">
        <v>44687.0</v>
      </c>
      <c r="B374" s="60">
        <v>1958.0</v>
      </c>
      <c r="C374" s="50" t="s">
        <v>44</v>
      </c>
      <c r="D374" s="50" t="s">
        <v>1517</v>
      </c>
      <c r="E374" s="50">
        <v>1.0</v>
      </c>
      <c r="F374" s="51">
        <v>5060.89</v>
      </c>
      <c r="G374" s="50" t="s">
        <v>167</v>
      </c>
      <c r="H374" s="50"/>
      <c r="I374" s="51"/>
      <c r="J374" s="48"/>
      <c r="K374" s="50"/>
      <c r="L374" s="50"/>
      <c r="M374" s="48"/>
      <c r="N374" s="48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53">
        <v>44690.0</v>
      </c>
      <c r="B375" s="59">
        <v>1959.0</v>
      </c>
      <c r="C375" s="55" t="s">
        <v>39</v>
      </c>
      <c r="D375" s="68" t="s">
        <v>1518</v>
      </c>
      <c r="E375" s="55">
        <v>1.0</v>
      </c>
      <c r="F375" s="56">
        <v>131.38</v>
      </c>
      <c r="G375" s="55" t="s">
        <v>167</v>
      </c>
      <c r="H375" s="55"/>
      <c r="I375" s="56"/>
      <c r="J375" s="53"/>
      <c r="K375" s="55"/>
      <c r="L375" s="55"/>
      <c r="M375" s="53"/>
      <c r="N375" s="53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48">
        <v>44690.0</v>
      </c>
      <c r="B376" s="60">
        <v>1959.0</v>
      </c>
      <c r="C376" s="50" t="s">
        <v>39</v>
      </c>
      <c r="D376" s="50" t="s">
        <v>1519</v>
      </c>
      <c r="E376" s="50">
        <v>1.0</v>
      </c>
      <c r="F376" s="51">
        <v>52.7</v>
      </c>
      <c r="G376" s="50" t="s">
        <v>167</v>
      </c>
      <c r="H376" s="50"/>
      <c r="I376" s="51"/>
      <c r="J376" s="48"/>
      <c r="K376" s="50"/>
      <c r="L376" s="50"/>
      <c r="M376" s="48"/>
      <c r="N376" s="48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53">
        <v>44690.0</v>
      </c>
      <c r="B377" s="54">
        <v>1963.0</v>
      </c>
      <c r="C377" s="55" t="s">
        <v>188</v>
      </c>
      <c r="D377" s="55" t="s">
        <v>1520</v>
      </c>
      <c r="E377" s="55">
        <v>1.0</v>
      </c>
      <c r="F377" s="56">
        <v>91135.47</v>
      </c>
      <c r="G377" s="55" t="s">
        <v>167</v>
      </c>
      <c r="H377" s="55"/>
      <c r="I377" s="56"/>
      <c r="J377" s="53"/>
      <c r="K377" s="55"/>
      <c r="L377" s="55"/>
      <c r="M377" s="53"/>
      <c r="N377" s="53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48">
        <v>44690.0</v>
      </c>
      <c r="B378" s="60">
        <v>2293.0</v>
      </c>
      <c r="C378" s="50" t="s">
        <v>44</v>
      </c>
      <c r="D378" s="50" t="s">
        <v>1521</v>
      </c>
      <c r="E378" s="50">
        <v>2.0</v>
      </c>
      <c r="F378" s="51">
        <v>11627.98</v>
      </c>
      <c r="G378" s="50" t="s">
        <v>180</v>
      </c>
      <c r="H378" s="50"/>
      <c r="I378" s="51">
        <v>11627.98</v>
      </c>
      <c r="J378" s="48">
        <v>44834.0</v>
      </c>
      <c r="K378" s="50">
        <v>1944.0</v>
      </c>
      <c r="L378" s="50">
        <v>4.501554441E9</v>
      </c>
      <c r="M378" s="48">
        <v>44834.0</v>
      </c>
      <c r="N378" s="48">
        <v>44866.0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53">
        <v>44690.0</v>
      </c>
      <c r="B379" s="67">
        <v>1966.0</v>
      </c>
      <c r="C379" s="55" t="s">
        <v>44</v>
      </c>
      <c r="D379" s="55" t="s">
        <v>1521</v>
      </c>
      <c r="E379" s="55">
        <v>2.0</v>
      </c>
      <c r="F379" s="56">
        <v>11627.98</v>
      </c>
      <c r="G379" s="55" t="s">
        <v>167</v>
      </c>
      <c r="H379" s="62" t="s">
        <v>1522</v>
      </c>
      <c r="I379" s="56"/>
      <c r="J379" s="53"/>
      <c r="K379" s="55"/>
      <c r="L379" s="55">
        <v>4.501554441E9</v>
      </c>
      <c r="M379" s="53">
        <v>44904.0</v>
      </c>
      <c r="N379" s="53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48">
        <v>44690.0</v>
      </c>
      <c r="B380" s="50"/>
      <c r="C380" s="50" t="s">
        <v>44</v>
      </c>
      <c r="D380" s="50" t="s">
        <v>1007</v>
      </c>
      <c r="E380" s="50">
        <v>200.0</v>
      </c>
      <c r="F380" s="51"/>
      <c r="G380" s="50" t="s">
        <v>1281</v>
      </c>
      <c r="H380" s="50"/>
      <c r="I380" s="51"/>
      <c r="J380" s="48"/>
      <c r="K380" s="50"/>
      <c r="L380" s="50"/>
      <c r="M380" s="48"/>
      <c r="N380" s="4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53">
        <v>44690.0</v>
      </c>
      <c r="B381" s="59">
        <v>1967.0</v>
      </c>
      <c r="C381" s="55" t="s">
        <v>44</v>
      </c>
      <c r="D381" s="55" t="s">
        <v>1523</v>
      </c>
      <c r="E381" s="55">
        <v>1.0</v>
      </c>
      <c r="F381" s="56">
        <v>41700.0</v>
      </c>
      <c r="G381" s="55" t="s">
        <v>167</v>
      </c>
      <c r="H381" s="62" t="s">
        <v>1524</v>
      </c>
      <c r="I381" s="56"/>
      <c r="J381" s="53"/>
      <c r="K381" s="55"/>
      <c r="L381" s="55"/>
      <c r="M381" s="53"/>
      <c r="N381" s="53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48">
        <v>44690.0</v>
      </c>
      <c r="B382" s="57" t="s">
        <v>1525</v>
      </c>
      <c r="C382" s="50" t="s">
        <v>44</v>
      </c>
      <c r="D382" s="50" t="s">
        <v>1427</v>
      </c>
      <c r="E382" s="50">
        <v>1.0</v>
      </c>
      <c r="F382" s="51">
        <v>1362.35</v>
      </c>
      <c r="G382" s="50" t="str">
        <f>IF($K382&lt;&gt;"","FATURADO",IF($L382&lt;&gt;"","GANHOU"," "))</f>
        <v>FATURADO</v>
      </c>
      <c r="H382" s="50"/>
      <c r="I382" s="51">
        <v>1362.35</v>
      </c>
      <c r="J382" s="48">
        <v>44743.0</v>
      </c>
      <c r="K382" s="50">
        <v>1855.0</v>
      </c>
      <c r="L382" s="50">
        <v>4.501564756E9</v>
      </c>
      <c r="M382" s="48">
        <v>44751.0</v>
      </c>
      <c r="N382" s="48">
        <v>44774.0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53">
        <v>44690.0</v>
      </c>
      <c r="B383" s="59">
        <v>1971.0</v>
      </c>
      <c r="C383" s="55" t="s">
        <v>44</v>
      </c>
      <c r="D383" s="55" t="s">
        <v>586</v>
      </c>
      <c r="E383" s="55">
        <v>1.0</v>
      </c>
      <c r="F383" s="56">
        <v>638.8</v>
      </c>
      <c r="G383" s="55" t="s">
        <v>167</v>
      </c>
      <c r="H383" s="55"/>
      <c r="I383" s="56"/>
      <c r="J383" s="53"/>
      <c r="K383" s="55"/>
      <c r="L383" s="55"/>
      <c r="M383" s="53"/>
      <c r="N383" s="53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48">
        <v>44690.0</v>
      </c>
      <c r="B384" s="63">
        <v>1971.0</v>
      </c>
      <c r="C384" s="50" t="s">
        <v>44</v>
      </c>
      <c r="D384" s="50" t="s">
        <v>1526</v>
      </c>
      <c r="E384" s="50">
        <v>1.0</v>
      </c>
      <c r="F384" s="51">
        <v>1432.25</v>
      </c>
      <c r="G384" s="50" t="s">
        <v>167</v>
      </c>
      <c r="H384" s="50"/>
      <c r="I384" s="51"/>
      <c r="J384" s="48"/>
      <c r="K384" s="50"/>
      <c r="L384" s="50"/>
      <c r="M384" s="48"/>
      <c r="N384" s="4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53">
        <v>44690.0</v>
      </c>
      <c r="B385" s="67" t="s">
        <v>1527</v>
      </c>
      <c r="C385" s="55" t="s">
        <v>44</v>
      </c>
      <c r="D385" s="55" t="s">
        <v>1528</v>
      </c>
      <c r="E385" s="55">
        <v>1.0</v>
      </c>
      <c r="F385" s="56">
        <v>8817.42</v>
      </c>
      <c r="G385" s="55" t="str">
        <f t="shared" ref="G385:G386" si="2">IF($K385&lt;&gt;"","FATURADO",IF($L385&lt;&gt;"","GANHOU"," "))</f>
        <v>FATURADO</v>
      </c>
      <c r="H385" s="62" t="s">
        <v>1529</v>
      </c>
      <c r="I385" s="56">
        <v>8817.42</v>
      </c>
      <c r="J385" s="53">
        <v>44936.0</v>
      </c>
      <c r="K385" s="55">
        <v>2036.0</v>
      </c>
      <c r="L385" s="55">
        <v>4.501557104E9</v>
      </c>
      <c r="M385" s="53">
        <v>44900.0</v>
      </c>
      <c r="N385" s="53">
        <v>44967.0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48">
        <v>44690.0</v>
      </c>
      <c r="B386" s="57">
        <v>1968.0</v>
      </c>
      <c r="C386" s="50" t="s">
        <v>164</v>
      </c>
      <c r="D386" s="50" t="s">
        <v>525</v>
      </c>
      <c r="E386" s="50">
        <v>150.0</v>
      </c>
      <c r="F386" s="51">
        <v>2229.0</v>
      </c>
      <c r="G386" s="50" t="str">
        <f t="shared" si="2"/>
        <v>FATURADO</v>
      </c>
      <c r="H386" s="50"/>
      <c r="I386" s="51">
        <v>2229.0</v>
      </c>
      <c r="J386" s="48">
        <v>44713.0</v>
      </c>
      <c r="K386" s="50">
        <v>1830.0</v>
      </c>
      <c r="L386" s="50">
        <v>4.500397163E9</v>
      </c>
      <c r="M386" s="48"/>
      <c r="N386" s="48">
        <v>44743.0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53">
        <v>44691.0</v>
      </c>
      <c r="B387" s="67">
        <v>1969.0</v>
      </c>
      <c r="C387" s="55" t="s">
        <v>188</v>
      </c>
      <c r="D387" s="55" t="s">
        <v>1530</v>
      </c>
      <c r="E387" s="55">
        <v>2.0</v>
      </c>
      <c r="F387" s="56">
        <v>6923.53</v>
      </c>
      <c r="G387" s="55" t="s">
        <v>167</v>
      </c>
      <c r="H387" s="55"/>
      <c r="I387" s="56"/>
      <c r="J387" s="53"/>
      <c r="K387" s="55"/>
      <c r="L387" s="55"/>
      <c r="M387" s="53"/>
      <c r="N387" s="53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48">
        <v>44692.0</v>
      </c>
      <c r="B388" s="49">
        <v>1974.0</v>
      </c>
      <c r="C388" s="50" t="s">
        <v>1531</v>
      </c>
      <c r="D388" s="50" t="s">
        <v>1532</v>
      </c>
      <c r="E388" s="50">
        <v>4.0</v>
      </c>
      <c r="F388" s="51">
        <v>643.16</v>
      </c>
      <c r="G388" s="50" t="s">
        <v>167</v>
      </c>
      <c r="H388" s="50"/>
      <c r="I388" s="51"/>
      <c r="J388" s="48"/>
      <c r="K388" s="50"/>
      <c r="L388" s="50"/>
      <c r="M388" s="48"/>
      <c r="N388" s="4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53">
        <v>44692.0</v>
      </c>
      <c r="B389" s="54">
        <v>1974.0</v>
      </c>
      <c r="C389" s="55" t="s">
        <v>1531</v>
      </c>
      <c r="D389" s="55" t="s">
        <v>1533</v>
      </c>
      <c r="E389" s="55">
        <v>2.0</v>
      </c>
      <c r="F389" s="56">
        <v>519.26</v>
      </c>
      <c r="G389" s="55" t="s">
        <v>167</v>
      </c>
      <c r="H389" s="55"/>
      <c r="I389" s="56"/>
      <c r="J389" s="53"/>
      <c r="K389" s="55"/>
      <c r="L389" s="55"/>
      <c r="M389" s="53"/>
      <c r="N389" s="53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48">
        <v>44693.0</v>
      </c>
      <c r="B390" s="49">
        <v>1916.0</v>
      </c>
      <c r="C390" s="50" t="s">
        <v>44</v>
      </c>
      <c r="D390" s="50" t="s">
        <v>1300</v>
      </c>
      <c r="E390" s="50">
        <v>1.0</v>
      </c>
      <c r="F390" s="51">
        <v>579.54</v>
      </c>
      <c r="G390" s="50" t="str">
        <f t="shared" ref="G390:G394" si="3">IF($K390&lt;&gt;"","FATURADO",IF($L390&lt;&gt;"","GANHOU"," "))</f>
        <v>FATURADO</v>
      </c>
      <c r="H390" s="50"/>
      <c r="I390" s="51">
        <v>579.54</v>
      </c>
      <c r="J390" s="48">
        <v>44694.0</v>
      </c>
      <c r="K390" s="50">
        <v>1802.0</v>
      </c>
      <c r="L390" s="50">
        <v>4.501522653E9</v>
      </c>
      <c r="M390" s="48"/>
      <c r="N390" s="48">
        <v>44732.0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53">
        <v>44693.0</v>
      </c>
      <c r="B391" s="61">
        <v>1916.0</v>
      </c>
      <c r="C391" s="55" t="s">
        <v>44</v>
      </c>
      <c r="D391" s="55" t="s">
        <v>1335</v>
      </c>
      <c r="E391" s="55">
        <v>1.0</v>
      </c>
      <c r="F391" s="56">
        <v>991.24</v>
      </c>
      <c r="G391" s="55" t="str">
        <f t="shared" si="3"/>
        <v>FATURADO</v>
      </c>
      <c r="H391" s="56"/>
      <c r="I391" s="56">
        <v>991.24</v>
      </c>
      <c r="J391" s="53">
        <v>44762.0</v>
      </c>
      <c r="K391" s="55">
        <v>1870.0</v>
      </c>
      <c r="L391" s="55">
        <v>4.501522653E9</v>
      </c>
      <c r="M391" s="53">
        <v>44747.0</v>
      </c>
      <c r="N391" s="53">
        <v>44762.0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48">
        <v>44693.0</v>
      </c>
      <c r="B392" s="63">
        <v>1916.0</v>
      </c>
      <c r="C392" s="50" t="s">
        <v>44</v>
      </c>
      <c r="D392" s="50" t="s">
        <v>1336</v>
      </c>
      <c r="E392" s="50">
        <v>1.0</v>
      </c>
      <c r="F392" s="51">
        <v>1130.49</v>
      </c>
      <c r="G392" s="50" t="str">
        <f t="shared" si="3"/>
        <v>FATURADO</v>
      </c>
      <c r="H392" s="50"/>
      <c r="I392" s="51">
        <v>1130.49</v>
      </c>
      <c r="J392" s="48">
        <v>44694.0</v>
      </c>
      <c r="K392" s="50">
        <v>1802.0</v>
      </c>
      <c r="L392" s="50">
        <v>4.501522653E9</v>
      </c>
      <c r="M392" s="48"/>
      <c r="N392" s="48">
        <v>44732.0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53">
        <v>44693.0</v>
      </c>
      <c r="B393" s="61">
        <v>1916.0</v>
      </c>
      <c r="C393" s="55" t="s">
        <v>44</v>
      </c>
      <c r="D393" s="55" t="s">
        <v>1337</v>
      </c>
      <c r="E393" s="55">
        <v>1.0</v>
      </c>
      <c r="F393" s="56">
        <v>1852.81</v>
      </c>
      <c r="G393" s="55" t="str">
        <f t="shared" si="3"/>
        <v>FATURADO</v>
      </c>
      <c r="H393" s="55"/>
      <c r="I393" s="56">
        <v>1852.81</v>
      </c>
      <c r="J393" s="53">
        <v>44776.0</v>
      </c>
      <c r="K393" s="55">
        <v>1893.0</v>
      </c>
      <c r="L393" s="55">
        <v>4.501522653E9</v>
      </c>
      <c r="M393" s="53">
        <v>44761.0</v>
      </c>
      <c r="N393" s="53">
        <v>44814.0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48">
        <v>44693.0</v>
      </c>
      <c r="B394" s="60">
        <v>1916.0</v>
      </c>
      <c r="C394" s="50" t="s">
        <v>44</v>
      </c>
      <c r="D394" s="50" t="s">
        <v>1338</v>
      </c>
      <c r="E394" s="50">
        <v>1.0</v>
      </c>
      <c r="F394" s="51">
        <v>2584.73</v>
      </c>
      <c r="G394" s="50" t="str">
        <f t="shared" si="3"/>
        <v>FATURADO</v>
      </c>
      <c r="H394" s="50"/>
      <c r="I394" s="51">
        <v>2584.73</v>
      </c>
      <c r="J394" s="48">
        <v>44776.0</v>
      </c>
      <c r="K394" s="50">
        <v>1893.0</v>
      </c>
      <c r="L394" s="50">
        <v>4.501522653E9</v>
      </c>
      <c r="M394" s="48">
        <v>44754.0</v>
      </c>
      <c r="N394" s="48">
        <v>44814.0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53">
        <v>44694.0</v>
      </c>
      <c r="B395" s="67">
        <v>1976.0</v>
      </c>
      <c r="C395" s="55" t="s">
        <v>44</v>
      </c>
      <c r="D395" s="55" t="s">
        <v>825</v>
      </c>
      <c r="E395" s="55">
        <v>1.0</v>
      </c>
      <c r="F395" s="56">
        <v>1362.35</v>
      </c>
      <c r="G395" s="55" t="s">
        <v>167</v>
      </c>
      <c r="H395" s="55"/>
      <c r="I395" s="56"/>
      <c r="J395" s="53"/>
      <c r="K395" s="55"/>
      <c r="L395" s="55"/>
      <c r="M395" s="53"/>
      <c r="N395" s="53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48">
        <v>44694.0</v>
      </c>
      <c r="B396" s="57">
        <v>1981.0</v>
      </c>
      <c r="C396" s="50" t="s">
        <v>77</v>
      </c>
      <c r="D396" s="50" t="s">
        <v>1534</v>
      </c>
      <c r="E396" s="50">
        <v>1.0</v>
      </c>
      <c r="F396" s="51">
        <v>9445.96</v>
      </c>
      <c r="G396" s="50" t="s">
        <v>167</v>
      </c>
      <c r="H396" s="52" t="s">
        <v>1535</v>
      </c>
      <c r="I396" s="51"/>
      <c r="J396" s="48"/>
      <c r="K396" s="50"/>
      <c r="L396" s="50"/>
      <c r="M396" s="48"/>
      <c r="N396" s="4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53">
        <v>44697.0</v>
      </c>
      <c r="B397" s="67">
        <v>1980.0</v>
      </c>
      <c r="C397" s="55" t="s">
        <v>44</v>
      </c>
      <c r="D397" s="55" t="s">
        <v>1536</v>
      </c>
      <c r="E397" s="55">
        <v>2.0</v>
      </c>
      <c r="F397" s="56">
        <v>11298.18</v>
      </c>
      <c r="G397" s="55" t="s">
        <v>167</v>
      </c>
      <c r="H397" s="62" t="s">
        <v>1537</v>
      </c>
      <c r="I397" s="56"/>
      <c r="J397" s="53"/>
      <c r="K397" s="55"/>
      <c r="L397" s="55"/>
      <c r="M397" s="53"/>
      <c r="N397" s="53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48">
        <v>44698.0</v>
      </c>
      <c r="B398" s="57">
        <v>1985.0</v>
      </c>
      <c r="C398" s="50" t="s">
        <v>1538</v>
      </c>
      <c r="D398" s="64" t="s">
        <v>1539</v>
      </c>
      <c r="E398" s="50">
        <v>1.0</v>
      </c>
      <c r="F398" s="51">
        <v>5908.77</v>
      </c>
      <c r="G398" s="50" t="s">
        <v>167</v>
      </c>
      <c r="H398" s="52" t="s">
        <v>1540</v>
      </c>
      <c r="I398" s="51"/>
      <c r="J398" s="48"/>
      <c r="K398" s="50"/>
      <c r="L398" s="50"/>
      <c r="M398" s="48"/>
      <c r="N398" s="4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53">
        <v>44698.0</v>
      </c>
      <c r="B399" s="59">
        <v>1984.0</v>
      </c>
      <c r="C399" s="55" t="s">
        <v>44</v>
      </c>
      <c r="D399" s="55" t="s">
        <v>1541</v>
      </c>
      <c r="E399" s="55">
        <v>1.0</v>
      </c>
      <c r="F399" s="56">
        <v>6729.42</v>
      </c>
      <c r="G399" s="55" t="s">
        <v>167</v>
      </c>
      <c r="H399" s="55"/>
      <c r="I399" s="56"/>
      <c r="J399" s="53"/>
      <c r="K399" s="55"/>
      <c r="L399" s="55"/>
      <c r="M399" s="53"/>
      <c r="N399" s="53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48">
        <v>44698.0</v>
      </c>
      <c r="B400" s="60">
        <v>1984.0</v>
      </c>
      <c r="C400" s="50" t="s">
        <v>44</v>
      </c>
      <c r="D400" s="50" t="s">
        <v>1542</v>
      </c>
      <c r="E400" s="50">
        <v>1.0</v>
      </c>
      <c r="F400" s="51">
        <v>5336.33</v>
      </c>
      <c r="G400" s="50" t="s">
        <v>167</v>
      </c>
      <c r="H400" s="50"/>
      <c r="I400" s="51"/>
      <c r="J400" s="48"/>
      <c r="K400" s="50"/>
      <c r="L400" s="50"/>
      <c r="M400" s="48"/>
      <c r="N400" s="4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53">
        <v>44699.0</v>
      </c>
      <c r="B401" s="67">
        <v>1989.0</v>
      </c>
      <c r="C401" s="55" t="s">
        <v>1543</v>
      </c>
      <c r="D401" s="55" t="s">
        <v>1544</v>
      </c>
      <c r="E401" s="55">
        <v>1.0</v>
      </c>
      <c r="F401" s="56">
        <v>11040.65</v>
      </c>
      <c r="G401" s="55" t="s">
        <v>167</v>
      </c>
      <c r="H401" s="62" t="s">
        <v>1545</v>
      </c>
      <c r="I401" s="56"/>
      <c r="J401" s="53"/>
      <c r="K401" s="55"/>
      <c r="L401" s="55"/>
      <c r="M401" s="53"/>
      <c r="N401" s="53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48">
        <v>44701.0</v>
      </c>
      <c r="B402" s="57">
        <v>1994.0</v>
      </c>
      <c r="C402" s="50" t="s">
        <v>44</v>
      </c>
      <c r="D402" s="50" t="s">
        <v>807</v>
      </c>
      <c r="E402" s="50">
        <v>1.0</v>
      </c>
      <c r="F402" s="51">
        <v>41400.0</v>
      </c>
      <c r="G402" s="50" t="str">
        <f>IF($K402&lt;&gt;"","FATURADO",IF($L402&lt;&gt;"","GANHOU"," "))</f>
        <v>FATURADO</v>
      </c>
      <c r="H402" s="50"/>
      <c r="I402" s="51">
        <v>41400.0</v>
      </c>
      <c r="J402" s="48">
        <v>44813.0</v>
      </c>
      <c r="K402" s="50">
        <v>1923.0</v>
      </c>
      <c r="L402" s="50">
        <v>4.501541594E9</v>
      </c>
      <c r="M402" s="48">
        <v>44742.0</v>
      </c>
      <c r="N402" s="48">
        <v>44844.0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53">
        <v>44704.0</v>
      </c>
      <c r="B403" s="67">
        <v>1995.0</v>
      </c>
      <c r="C403" s="55" t="s">
        <v>188</v>
      </c>
      <c r="D403" s="55" t="s">
        <v>1465</v>
      </c>
      <c r="E403" s="55">
        <v>20.0</v>
      </c>
      <c r="F403" s="56">
        <v>73296.88</v>
      </c>
      <c r="G403" s="55" t="s">
        <v>167</v>
      </c>
      <c r="H403" s="55"/>
      <c r="I403" s="56"/>
      <c r="J403" s="53"/>
      <c r="K403" s="55"/>
      <c r="L403" s="55"/>
      <c r="M403" s="53"/>
      <c r="N403" s="53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48">
        <v>44704.0</v>
      </c>
      <c r="B404" s="49">
        <v>1997.0</v>
      </c>
      <c r="C404" s="50" t="s">
        <v>1546</v>
      </c>
      <c r="D404" s="50" t="s">
        <v>1547</v>
      </c>
      <c r="E404" s="50">
        <v>1.0</v>
      </c>
      <c r="F404" s="51">
        <v>3529.76</v>
      </c>
      <c r="G404" s="50" t="s">
        <v>167</v>
      </c>
      <c r="H404" s="50"/>
      <c r="I404" s="51"/>
      <c r="J404" s="48"/>
      <c r="K404" s="50"/>
      <c r="L404" s="50"/>
      <c r="M404" s="48"/>
      <c r="N404" s="4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53">
        <v>44704.0</v>
      </c>
      <c r="B405" s="61">
        <v>1997.0</v>
      </c>
      <c r="C405" s="55" t="s">
        <v>1546</v>
      </c>
      <c r="D405" s="55" t="s">
        <v>1548</v>
      </c>
      <c r="E405" s="55">
        <v>1.0</v>
      </c>
      <c r="F405" s="56">
        <v>19784.26</v>
      </c>
      <c r="G405" s="55" t="s">
        <v>167</v>
      </c>
      <c r="H405" s="55"/>
      <c r="I405" s="56"/>
      <c r="J405" s="53"/>
      <c r="K405" s="55"/>
      <c r="L405" s="55"/>
      <c r="M405" s="53"/>
      <c r="N405" s="53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48">
        <v>44704.0</v>
      </c>
      <c r="B406" s="49">
        <v>1996.0</v>
      </c>
      <c r="C406" s="50" t="s">
        <v>1549</v>
      </c>
      <c r="D406" s="50" t="s">
        <v>1550</v>
      </c>
      <c r="E406" s="50">
        <v>1.0</v>
      </c>
      <c r="F406" s="51">
        <v>1339.63</v>
      </c>
      <c r="G406" s="50" t="s">
        <v>167</v>
      </c>
      <c r="H406" s="50"/>
      <c r="I406" s="51"/>
      <c r="J406" s="48"/>
      <c r="K406" s="50"/>
      <c r="L406" s="50"/>
      <c r="M406" s="48"/>
      <c r="N406" s="4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53">
        <v>44704.0</v>
      </c>
      <c r="B407" s="61">
        <v>1996.0</v>
      </c>
      <c r="C407" s="55" t="s">
        <v>1549</v>
      </c>
      <c r="D407" s="55" t="s">
        <v>1551</v>
      </c>
      <c r="E407" s="55">
        <v>1.0</v>
      </c>
      <c r="F407" s="56">
        <v>1978.51</v>
      </c>
      <c r="G407" s="55" t="s">
        <v>167</v>
      </c>
      <c r="H407" s="55"/>
      <c r="I407" s="56"/>
      <c r="J407" s="53"/>
      <c r="K407" s="55"/>
      <c r="L407" s="55"/>
      <c r="M407" s="53"/>
      <c r="N407" s="53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48">
        <v>44704.0</v>
      </c>
      <c r="B408" s="63">
        <v>1996.0</v>
      </c>
      <c r="C408" s="50" t="s">
        <v>1549</v>
      </c>
      <c r="D408" s="50" t="s">
        <v>1552</v>
      </c>
      <c r="E408" s="50">
        <v>1.0</v>
      </c>
      <c r="F408" s="51">
        <v>3360.42</v>
      </c>
      <c r="G408" s="50" t="s">
        <v>167</v>
      </c>
      <c r="H408" s="50"/>
      <c r="I408" s="51"/>
      <c r="J408" s="48"/>
      <c r="K408" s="50"/>
      <c r="L408" s="50"/>
      <c r="M408" s="48"/>
      <c r="N408" s="4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53">
        <v>44704.0</v>
      </c>
      <c r="B409" s="54">
        <v>1996.0</v>
      </c>
      <c r="C409" s="55" t="s">
        <v>1549</v>
      </c>
      <c r="D409" s="55" t="s">
        <v>1553</v>
      </c>
      <c r="E409" s="55">
        <v>1.0</v>
      </c>
      <c r="F409" s="56">
        <v>1297.14</v>
      </c>
      <c r="G409" s="55" t="s">
        <v>167</v>
      </c>
      <c r="H409" s="55"/>
      <c r="I409" s="56"/>
      <c r="J409" s="53"/>
      <c r="K409" s="55"/>
      <c r="L409" s="55"/>
      <c r="M409" s="53"/>
      <c r="N409" s="53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48">
        <v>44704.0</v>
      </c>
      <c r="B410" s="57" t="s">
        <v>1554</v>
      </c>
      <c r="C410" s="50" t="s">
        <v>1549</v>
      </c>
      <c r="D410" s="50" t="s">
        <v>1555</v>
      </c>
      <c r="E410" s="50">
        <v>4.0</v>
      </c>
      <c r="F410" s="51">
        <v>3478.12</v>
      </c>
      <c r="G410" s="50" t="s">
        <v>167</v>
      </c>
      <c r="H410" s="50"/>
      <c r="I410" s="51"/>
      <c r="J410" s="48"/>
      <c r="K410" s="50"/>
      <c r="L410" s="50"/>
      <c r="M410" s="48"/>
      <c r="N410" s="4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53">
        <v>44705.0</v>
      </c>
      <c r="B411" s="67">
        <v>2003.0</v>
      </c>
      <c r="C411" s="55" t="s">
        <v>44</v>
      </c>
      <c r="D411" s="55" t="s">
        <v>1556</v>
      </c>
      <c r="E411" s="55">
        <v>1.0</v>
      </c>
      <c r="F411" s="56">
        <v>782.46</v>
      </c>
      <c r="G411" s="55" t="s">
        <v>167</v>
      </c>
      <c r="H411" s="62" t="s">
        <v>1557</v>
      </c>
      <c r="I411" s="56"/>
      <c r="J411" s="53"/>
      <c r="K411" s="55"/>
      <c r="L411" s="55"/>
      <c r="M411" s="53"/>
      <c r="N411" s="53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48">
        <v>44705.0</v>
      </c>
      <c r="B412" s="49">
        <v>2002.0</v>
      </c>
      <c r="C412" s="50" t="s">
        <v>44</v>
      </c>
      <c r="D412" s="50" t="s">
        <v>1558</v>
      </c>
      <c r="E412" s="50">
        <v>100.0</v>
      </c>
      <c r="F412" s="51">
        <v>1683.13</v>
      </c>
      <c r="G412" s="50" t="s">
        <v>180</v>
      </c>
      <c r="H412" s="50"/>
      <c r="I412" s="51">
        <v>1683.13</v>
      </c>
      <c r="J412" s="48">
        <v>44838.0</v>
      </c>
      <c r="K412" s="50">
        <v>1947.0</v>
      </c>
      <c r="L412" s="50">
        <v>4.501611231E9</v>
      </c>
      <c r="M412" s="48"/>
      <c r="N412" s="48">
        <v>44875.0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53">
        <v>44705.0</v>
      </c>
      <c r="B413" s="61">
        <v>2002.0</v>
      </c>
      <c r="C413" s="55" t="s">
        <v>44</v>
      </c>
      <c r="D413" s="55" t="s">
        <v>1559</v>
      </c>
      <c r="E413" s="55">
        <v>100.0</v>
      </c>
      <c r="F413" s="56">
        <v>3724.1</v>
      </c>
      <c r="G413" s="55" t="s">
        <v>180</v>
      </c>
      <c r="H413" s="55"/>
      <c r="I413" s="56">
        <v>3724.1</v>
      </c>
      <c r="J413" s="53">
        <v>44838.0</v>
      </c>
      <c r="K413" s="55">
        <v>1947.0</v>
      </c>
      <c r="L413" s="55">
        <v>4.501611231E9</v>
      </c>
      <c r="M413" s="53"/>
      <c r="N413" s="53">
        <v>44875.0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48">
        <v>44705.0</v>
      </c>
      <c r="B414" s="60">
        <v>2002.0</v>
      </c>
      <c r="C414" s="50" t="s">
        <v>44</v>
      </c>
      <c r="D414" s="50" t="s">
        <v>1273</v>
      </c>
      <c r="E414" s="50">
        <v>430.0</v>
      </c>
      <c r="F414" s="51">
        <v>13640.85</v>
      </c>
      <c r="G414" s="50" t="s">
        <v>180</v>
      </c>
      <c r="H414" s="50"/>
      <c r="I414" s="51">
        <v>13640.85</v>
      </c>
      <c r="J414" s="48">
        <v>44838.0</v>
      </c>
      <c r="K414" s="50">
        <v>1947.0</v>
      </c>
      <c r="L414" s="50">
        <v>4.501611231E9</v>
      </c>
      <c r="M414" s="48"/>
      <c r="N414" s="48">
        <v>44875.0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53">
        <v>44705.0</v>
      </c>
      <c r="B415" s="54">
        <v>2002.0</v>
      </c>
      <c r="C415" s="55" t="s">
        <v>44</v>
      </c>
      <c r="D415" s="55" t="s">
        <v>1273</v>
      </c>
      <c r="E415" s="55">
        <v>10.0</v>
      </c>
      <c r="F415" s="56">
        <v>317.22</v>
      </c>
      <c r="G415" s="55" t="s">
        <v>1560</v>
      </c>
      <c r="H415" s="55"/>
      <c r="I415" s="56">
        <v>317.23</v>
      </c>
      <c r="J415" s="53">
        <v>45005.0</v>
      </c>
      <c r="K415" s="55">
        <v>2083.0</v>
      </c>
      <c r="L415" s="55">
        <v>4.501611231E9</v>
      </c>
      <c r="M415" s="53"/>
      <c r="N415" s="53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48">
        <v>44706.0</v>
      </c>
      <c r="B416" s="57">
        <v>2006.0</v>
      </c>
      <c r="C416" s="50" t="s">
        <v>188</v>
      </c>
      <c r="D416" s="50" t="s">
        <v>1561</v>
      </c>
      <c r="E416" s="50">
        <v>10.0</v>
      </c>
      <c r="F416" s="51">
        <v>352.7</v>
      </c>
      <c r="G416" s="50" t="s">
        <v>167</v>
      </c>
      <c r="H416" s="50"/>
      <c r="I416" s="51"/>
      <c r="J416" s="48"/>
      <c r="K416" s="50"/>
      <c r="L416" s="50"/>
      <c r="M416" s="48"/>
      <c r="N416" s="4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53">
        <v>44711.0</v>
      </c>
      <c r="B417" s="67">
        <v>2014.0</v>
      </c>
      <c r="C417" s="55" t="s">
        <v>44</v>
      </c>
      <c r="D417" s="55" t="s">
        <v>1562</v>
      </c>
      <c r="E417" s="55">
        <v>1.0</v>
      </c>
      <c r="F417" s="56"/>
      <c r="G417" s="55" t="s">
        <v>241</v>
      </c>
      <c r="H417" s="62" t="s">
        <v>1563</v>
      </c>
      <c r="I417" s="56"/>
      <c r="J417" s="53"/>
      <c r="K417" s="55"/>
      <c r="L417" s="55"/>
      <c r="M417" s="53"/>
      <c r="N417" s="53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48">
        <v>44711.0</v>
      </c>
      <c r="B418" s="57">
        <v>2015.0</v>
      </c>
      <c r="C418" s="50" t="s">
        <v>44</v>
      </c>
      <c r="D418" s="50" t="s">
        <v>1562</v>
      </c>
      <c r="E418" s="50">
        <v>1.0</v>
      </c>
      <c r="F418" s="51"/>
      <c r="G418" s="50" t="s">
        <v>241</v>
      </c>
      <c r="H418" s="50"/>
      <c r="I418" s="51"/>
      <c r="J418" s="48"/>
      <c r="K418" s="50"/>
      <c r="L418" s="50"/>
      <c r="M418" s="48"/>
      <c r="N418" s="4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53">
        <v>44711.0</v>
      </c>
      <c r="B419" s="67">
        <v>2016.0</v>
      </c>
      <c r="C419" s="55" t="s">
        <v>44</v>
      </c>
      <c r="D419" s="55" t="s">
        <v>1564</v>
      </c>
      <c r="E419" s="55">
        <v>1.0</v>
      </c>
      <c r="F419" s="56"/>
      <c r="G419" s="55" t="s">
        <v>241</v>
      </c>
      <c r="H419" s="55"/>
      <c r="I419" s="56"/>
      <c r="J419" s="53"/>
      <c r="K419" s="55"/>
      <c r="L419" s="55"/>
      <c r="M419" s="53"/>
      <c r="N419" s="53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48">
        <v>44711.0</v>
      </c>
      <c r="B420" s="57">
        <v>2017.0</v>
      </c>
      <c r="C420" s="50" t="s">
        <v>44</v>
      </c>
      <c r="D420" s="50" t="s">
        <v>1564</v>
      </c>
      <c r="E420" s="50">
        <v>2.0</v>
      </c>
      <c r="F420" s="51"/>
      <c r="G420" s="50" t="s">
        <v>241</v>
      </c>
      <c r="H420" s="50"/>
      <c r="I420" s="51"/>
      <c r="J420" s="48"/>
      <c r="K420" s="50"/>
      <c r="L420" s="50"/>
      <c r="M420" s="48"/>
      <c r="N420" s="4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53">
        <v>44711.0</v>
      </c>
      <c r="B421" s="67">
        <v>2018.0</v>
      </c>
      <c r="C421" s="55" t="s">
        <v>19</v>
      </c>
      <c r="D421" s="55" t="s">
        <v>1565</v>
      </c>
      <c r="E421" s="55">
        <v>36.0</v>
      </c>
      <c r="F421" s="56">
        <v>342.0</v>
      </c>
      <c r="G421" s="55" t="s">
        <v>167</v>
      </c>
      <c r="H421" s="55"/>
      <c r="I421" s="56"/>
      <c r="J421" s="53"/>
      <c r="K421" s="55"/>
      <c r="L421" s="55"/>
      <c r="M421" s="53"/>
      <c r="N421" s="53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48">
        <v>44711.0</v>
      </c>
      <c r="B422" s="57">
        <v>2023.0</v>
      </c>
      <c r="C422" s="50" t="s">
        <v>19</v>
      </c>
      <c r="D422" s="50" t="s">
        <v>1565</v>
      </c>
      <c r="E422" s="50">
        <v>36.0</v>
      </c>
      <c r="F422" s="51">
        <v>702.0</v>
      </c>
      <c r="G422" s="50" t="str">
        <f>IF($K422&lt;&gt;"","FATURADO",IF($L422&lt;&gt;"","GANHOU"," "))</f>
        <v>FATURADO</v>
      </c>
      <c r="H422" s="50"/>
      <c r="I422" s="51">
        <v>702.0</v>
      </c>
      <c r="J422" s="48">
        <v>44714.0</v>
      </c>
      <c r="K422" s="50">
        <v>1832.0</v>
      </c>
      <c r="L422" s="50">
        <v>4.500397387E9</v>
      </c>
      <c r="M422" s="48"/>
      <c r="N422" s="48">
        <v>44744.0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53">
        <v>44711.0</v>
      </c>
      <c r="B423" s="67">
        <v>2020.0</v>
      </c>
      <c r="C423" s="55" t="s">
        <v>1566</v>
      </c>
      <c r="D423" s="55" t="s">
        <v>1567</v>
      </c>
      <c r="E423" s="55">
        <v>1.0</v>
      </c>
      <c r="F423" s="56">
        <v>3340.0</v>
      </c>
      <c r="G423" s="55" t="s">
        <v>167</v>
      </c>
      <c r="H423" s="55"/>
      <c r="I423" s="56"/>
      <c r="J423" s="53"/>
      <c r="K423" s="55"/>
      <c r="L423" s="55"/>
      <c r="M423" s="53"/>
      <c r="N423" s="53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48">
        <v>44712.0</v>
      </c>
      <c r="B424" s="57">
        <v>2019.0</v>
      </c>
      <c r="C424" s="50" t="s">
        <v>77</v>
      </c>
      <c r="D424" s="50" t="s">
        <v>88</v>
      </c>
      <c r="E424" s="50">
        <v>1.0</v>
      </c>
      <c r="F424" s="51">
        <v>20170.19</v>
      </c>
      <c r="G424" s="50" t="s">
        <v>167</v>
      </c>
      <c r="H424" s="52" t="s">
        <v>1568</v>
      </c>
      <c r="I424" s="51"/>
      <c r="J424" s="48"/>
      <c r="K424" s="50"/>
      <c r="L424" s="50"/>
      <c r="M424" s="48"/>
      <c r="N424" s="4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53">
        <v>44712.0</v>
      </c>
      <c r="B425" s="67">
        <v>2021.0</v>
      </c>
      <c r="C425" s="55" t="s">
        <v>44</v>
      </c>
      <c r="D425" s="55" t="s">
        <v>88</v>
      </c>
      <c r="E425" s="55">
        <v>1.0</v>
      </c>
      <c r="F425" s="56">
        <v>21793.86</v>
      </c>
      <c r="G425" s="55" t="s">
        <v>167</v>
      </c>
      <c r="H425" s="55"/>
      <c r="I425" s="56"/>
      <c r="J425" s="53"/>
      <c r="K425" s="55"/>
      <c r="L425" s="55"/>
      <c r="M425" s="53"/>
      <c r="N425" s="53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48"/>
      <c r="B426" s="50"/>
      <c r="C426" s="50"/>
      <c r="D426" s="50"/>
      <c r="E426" s="50"/>
      <c r="F426" s="51"/>
      <c r="G426" s="50"/>
      <c r="H426" s="50"/>
      <c r="I426" s="51"/>
      <c r="J426" s="48"/>
      <c r="K426" s="50"/>
      <c r="L426" s="50"/>
      <c r="M426" s="48"/>
      <c r="N426" s="4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53">
        <v>44713.0</v>
      </c>
      <c r="B427" s="59">
        <v>2022.0</v>
      </c>
      <c r="C427" s="55" t="s">
        <v>1569</v>
      </c>
      <c r="D427" s="55" t="s">
        <v>1570</v>
      </c>
      <c r="E427" s="55">
        <v>3.0</v>
      </c>
      <c r="F427" s="56">
        <v>24931.82</v>
      </c>
      <c r="G427" s="55" t="s">
        <v>167</v>
      </c>
      <c r="H427" s="55"/>
      <c r="I427" s="56"/>
      <c r="J427" s="53"/>
      <c r="K427" s="55"/>
      <c r="L427" s="55"/>
      <c r="M427" s="53"/>
      <c r="N427" s="53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48">
        <v>44713.0</v>
      </c>
      <c r="B428" s="63">
        <v>2022.0</v>
      </c>
      <c r="C428" s="50" t="s">
        <v>1569</v>
      </c>
      <c r="D428" s="50" t="s">
        <v>1571</v>
      </c>
      <c r="E428" s="50">
        <v>31.0</v>
      </c>
      <c r="F428" s="51">
        <v>8719.48</v>
      </c>
      <c r="G428" s="50" t="s">
        <v>167</v>
      </c>
      <c r="H428" s="50"/>
      <c r="I428" s="51"/>
      <c r="J428" s="48"/>
      <c r="K428" s="50"/>
      <c r="L428" s="50"/>
      <c r="M428" s="48"/>
      <c r="N428" s="4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53">
        <v>44713.0</v>
      </c>
      <c r="B429" s="59">
        <v>2034.0</v>
      </c>
      <c r="C429" s="55" t="s">
        <v>1569</v>
      </c>
      <c r="D429" s="55" t="s">
        <v>1571</v>
      </c>
      <c r="E429" s="55">
        <v>13.0</v>
      </c>
      <c r="F429" s="56">
        <v>3656.55</v>
      </c>
      <c r="G429" s="55" t="str">
        <f t="shared" ref="G429:G432" si="4">IF($K429&lt;&gt;"","FATURADO",IF($L429&lt;&gt;"","GANHOU"," "))</f>
        <v>FATURADO</v>
      </c>
      <c r="H429" s="55"/>
      <c r="I429" s="56">
        <v>3656.55</v>
      </c>
      <c r="J429" s="53">
        <v>44722.0</v>
      </c>
      <c r="K429" s="55">
        <v>1839.0</v>
      </c>
      <c r="L429" s="55"/>
      <c r="M429" s="53"/>
      <c r="N429" s="53">
        <v>44752.0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48">
        <v>44713.0</v>
      </c>
      <c r="B430" s="60">
        <v>2034.0</v>
      </c>
      <c r="C430" s="50" t="s">
        <v>1569</v>
      </c>
      <c r="D430" s="50" t="s">
        <v>1571</v>
      </c>
      <c r="E430" s="50">
        <v>2.0</v>
      </c>
      <c r="F430" s="51"/>
      <c r="G430" s="50" t="str">
        <f t="shared" si="4"/>
        <v>FATURADO</v>
      </c>
      <c r="H430" s="50"/>
      <c r="I430" s="51">
        <v>562.55</v>
      </c>
      <c r="J430" s="48">
        <v>44732.0</v>
      </c>
      <c r="K430" s="50">
        <v>1843.0</v>
      </c>
      <c r="L430" s="50"/>
      <c r="M430" s="48"/>
      <c r="N430" s="4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53">
        <v>44713.0</v>
      </c>
      <c r="B431" s="54">
        <v>2035.0</v>
      </c>
      <c r="C431" s="55" t="s">
        <v>1569</v>
      </c>
      <c r="D431" s="55" t="s">
        <v>1571</v>
      </c>
      <c r="E431" s="55">
        <v>16.0</v>
      </c>
      <c r="F431" s="56">
        <v>4500.37</v>
      </c>
      <c r="G431" s="55" t="str">
        <f t="shared" si="4"/>
        <v>FATURADO</v>
      </c>
      <c r="H431" s="55"/>
      <c r="I431" s="56">
        <v>4500.37</v>
      </c>
      <c r="J431" s="53">
        <v>44742.0</v>
      </c>
      <c r="K431" s="55">
        <v>1852.0</v>
      </c>
      <c r="L431" s="55"/>
      <c r="M431" s="53"/>
      <c r="N431" s="53">
        <v>44772.0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48">
        <v>44714.0</v>
      </c>
      <c r="B432" s="57">
        <v>2024.0</v>
      </c>
      <c r="C432" s="50" t="s">
        <v>1434</v>
      </c>
      <c r="D432" s="50" t="s">
        <v>1572</v>
      </c>
      <c r="E432" s="50">
        <v>1.0</v>
      </c>
      <c r="F432" s="51">
        <v>1830.59</v>
      </c>
      <c r="G432" s="50" t="str">
        <f t="shared" si="4"/>
        <v>FATURADO</v>
      </c>
      <c r="H432" s="50"/>
      <c r="I432" s="51">
        <v>1830.59</v>
      </c>
      <c r="J432" s="48">
        <v>44715.0</v>
      </c>
      <c r="K432" s="50">
        <v>1833.0</v>
      </c>
      <c r="L432" s="50" t="s">
        <v>1573</v>
      </c>
      <c r="M432" s="48"/>
      <c r="N432" s="48">
        <v>44745.0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53">
        <v>44714.0</v>
      </c>
      <c r="B433" s="67">
        <v>2025.0</v>
      </c>
      <c r="C433" s="55" t="s">
        <v>725</v>
      </c>
      <c r="D433" s="55" t="s">
        <v>1574</v>
      </c>
      <c r="E433" s="55">
        <v>1.0</v>
      </c>
      <c r="F433" s="56">
        <v>24335.57</v>
      </c>
      <c r="G433" s="55" t="s">
        <v>167</v>
      </c>
      <c r="H433" s="55"/>
      <c r="I433" s="56"/>
      <c r="J433" s="53"/>
      <c r="K433" s="55"/>
      <c r="L433" s="55"/>
      <c r="M433" s="53"/>
      <c r="N433" s="53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48">
        <v>44715.0</v>
      </c>
      <c r="B434" s="57">
        <v>2026.0</v>
      </c>
      <c r="C434" s="50" t="s">
        <v>77</v>
      </c>
      <c r="D434" s="50" t="s">
        <v>1575</v>
      </c>
      <c r="E434" s="50">
        <v>1.0</v>
      </c>
      <c r="F434" s="51"/>
      <c r="G434" s="50" t="s">
        <v>167</v>
      </c>
      <c r="H434" s="52" t="s">
        <v>1576</v>
      </c>
      <c r="I434" s="51"/>
      <c r="J434" s="48"/>
      <c r="K434" s="50"/>
      <c r="L434" s="50"/>
      <c r="M434" s="48"/>
      <c r="N434" s="4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53">
        <v>44715.0</v>
      </c>
      <c r="B435" s="67">
        <v>2061.0</v>
      </c>
      <c r="C435" s="55" t="s">
        <v>1442</v>
      </c>
      <c r="D435" s="55" t="s">
        <v>1577</v>
      </c>
      <c r="E435" s="55">
        <v>5.0</v>
      </c>
      <c r="F435" s="56">
        <v>831.55</v>
      </c>
      <c r="G435" s="55" t="str">
        <f>IF($K435&lt;&gt;"","FATURADO",IF($L435&lt;&gt;"","GANHOU"," "))</f>
        <v>FATURADO</v>
      </c>
      <c r="H435" s="55"/>
      <c r="I435" s="56">
        <v>831.55</v>
      </c>
      <c r="J435" s="53">
        <v>44725.0</v>
      </c>
      <c r="K435" s="55">
        <v>1840.0</v>
      </c>
      <c r="L435" s="55" t="s">
        <v>1578</v>
      </c>
      <c r="M435" s="53">
        <v>44729.0</v>
      </c>
      <c r="N435" s="53">
        <v>44755.0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48">
        <v>44715.0</v>
      </c>
      <c r="B436" s="57">
        <v>2036.0</v>
      </c>
      <c r="C436" s="50" t="s">
        <v>170</v>
      </c>
      <c r="D436" s="50" t="s">
        <v>1579</v>
      </c>
      <c r="E436" s="50">
        <v>2.0</v>
      </c>
      <c r="F436" s="51">
        <v>365.5</v>
      </c>
      <c r="G436" s="50" t="s">
        <v>167</v>
      </c>
      <c r="H436" s="50"/>
      <c r="I436" s="51"/>
      <c r="J436" s="48"/>
      <c r="K436" s="50"/>
      <c r="L436" s="50"/>
      <c r="M436" s="48"/>
      <c r="N436" s="4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53">
        <v>44718.0</v>
      </c>
      <c r="B437" s="54">
        <v>2037.0</v>
      </c>
      <c r="C437" s="55" t="s">
        <v>1580</v>
      </c>
      <c r="D437" s="55" t="s">
        <v>179</v>
      </c>
      <c r="E437" s="55">
        <v>1.0</v>
      </c>
      <c r="F437" s="56">
        <v>322.58</v>
      </c>
      <c r="G437" s="55" t="str">
        <f t="shared" ref="G437:G438" si="5">IF($K437&lt;&gt;"","FATURADO",IF($L437&lt;&gt;"","GANHOU"," "))</f>
        <v>FATURADO</v>
      </c>
      <c r="H437" s="55"/>
      <c r="I437" s="56">
        <v>322.58</v>
      </c>
      <c r="J437" s="53">
        <v>44718.0</v>
      </c>
      <c r="K437" s="55">
        <v>1834.0</v>
      </c>
      <c r="L437" s="55">
        <v>2037.0</v>
      </c>
      <c r="M437" s="53"/>
      <c r="N437" s="53">
        <v>44748.0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48">
        <v>44720.0</v>
      </c>
      <c r="B438" s="57">
        <v>1864.0</v>
      </c>
      <c r="C438" s="50" t="s">
        <v>44</v>
      </c>
      <c r="D438" s="50" t="s">
        <v>1581</v>
      </c>
      <c r="E438" s="50">
        <v>5.0</v>
      </c>
      <c r="F438" s="51">
        <v>6146.98</v>
      </c>
      <c r="G438" s="50" t="str">
        <f t="shared" si="5"/>
        <v>FATURADO</v>
      </c>
      <c r="H438" s="50"/>
      <c r="I438" s="51">
        <v>6146.98</v>
      </c>
      <c r="J438" s="48">
        <v>44743.0</v>
      </c>
      <c r="K438" s="50">
        <v>1853.0</v>
      </c>
      <c r="L438" s="50">
        <v>4.501511951E9</v>
      </c>
      <c r="M438" s="48">
        <v>44781.0</v>
      </c>
      <c r="N438" s="48">
        <v>44774.0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53">
        <v>44721.0</v>
      </c>
      <c r="B439" s="67">
        <v>2055.0</v>
      </c>
      <c r="C439" s="55" t="s">
        <v>188</v>
      </c>
      <c r="D439" s="55" t="s">
        <v>1582</v>
      </c>
      <c r="E439" s="55">
        <v>60.0</v>
      </c>
      <c r="F439" s="56"/>
      <c r="G439" s="55" t="s">
        <v>167</v>
      </c>
      <c r="H439" s="62" t="s">
        <v>1583</v>
      </c>
      <c r="I439" s="56"/>
      <c r="J439" s="53"/>
      <c r="K439" s="55"/>
      <c r="L439" s="55"/>
      <c r="M439" s="53"/>
      <c r="N439" s="53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48">
        <v>44721.0</v>
      </c>
      <c r="B440" s="49">
        <v>2056.0</v>
      </c>
      <c r="C440" s="50" t="s">
        <v>77</v>
      </c>
      <c r="D440" s="50" t="s">
        <v>1584</v>
      </c>
      <c r="E440" s="50">
        <v>2.0</v>
      </c>
      <c r="F440" s="51">
        <v>1878.48</v>
      </c>
      <c r="G440" s="50" t="s">
        <v>167</v>
      </c>
      <c r="H440" s="50"/>
      <c r="I440" s="51"/>
      <c r="J440" s="48"/>
      <c r="K440" s="50"/>
      <c r="L440" s="50"/>
      <c r="M440" s="48"/>
      <c r="N440" s="4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53">
        <v>44721.0</v>
      </c>
      <c r="B441" s="61">
        <v>2056.0</v>
      </c>
      <c r="C441" s="55" t="s">
        <v>77</v>
      </c>
      <c r="D441" s="55" t="s">
        <v>1284</v>
      </c>
      <c r="E441" s="55">
        <v>1.0</v>
      </c>
      <c r="F441" s="56">
        <v>1922.55</v>
      </c>
      <c r="G441" s="55" t="s">
        <v>167</v>
      </c>
      <c r="H441" s="55"/>
      <c r="I441" s="56"/>
      <c r="J441" s="53"/>
      <c r="K441" s="55"/>
      <c r="L441" s="55"/>
      <c r="M441" s="53"/>
      <c r="N441" s="53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48">
        <v>44721.0</v>
      </c>
      <c r="B442" s="60">
        <v>2056.0</v>
      </c>
      <c r="C442" s="50" t="s">
        <v>77</v>
      </c>
      <c r="D442" s="50" t="s">
        <v>1585</v>
      </c>
      <c r="E442" s="50">
        <v>1.0</v>
      </c>
      <c r="F442" s="51">
        <v>1364.63</v>
      </c>
      <c r="G442" s="50" t="s">
        <v>167</v>
      </c>
      <c r="H442" s="50"/>
      <c r="I442" s="51"/>
      <c r="J442" s="48"/>
      <c r="K442" s="50"/>
      <c r="L442" s="50"/>
      <c r="M442" s="48"/>
      <c r="N442" s="4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53">
        <v>44721.0</v>
      </c>
      <c r="B443" s="67" t="s">
        <v>1586</v>
      </c>
      <c r="C443" s="55" t="s">
        <v>164</v>
      </c>
      <c r="D443" s="55" t="s">
        <v>1587</v>
      </c>
      <c r="E443" s="55">
        <v>1.0</v>
      </c>
      <c r="F443" s="56">
        <v>3526.93</v>
      </c>
      <c r="G443" s="55" t="str">
        <f>IF($K443&lt;&gt;"","FATURADO",IF($L443&lt;&gt;"","GANHOU"," "))</f>
        <v>FATURADO</v>
      </c>
      <c r="H443" s="55"/>
      <c r="I443" s="56">
        <v>3526.93</v>
      </c>
      <c r="J443" s="53">
        <v>44816.0</v>
      </c>
      <c r="K443" s="55">
        <v>1925.0</v>
      </c>
      <c r="L443" s="55">
        <v>4.500398541E9</v>
      </c>
      <c r="M443" s="53">
        <v>44827.0</v>
      </c>
      <c r="N443" s="53">
        <v>44853.0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48">
        <v>44725.0</v>
      </c>
      <c r="B444" s="49">
        <v>2062.0</v>
      </c>
      <c r="C444" s="50" t="s">
        <v>44</v>
      </c>
      <c r="D444" s="50" t="s">
        <v>1588</v>
      </c>
      <c r="E444" s="50">
        <v>1.0</v>
      </c>
      <c r="F444" s="51">
        <v>7556.68</v>
      </c>
      <c r="G444" s="50" t="s">
        <v>167</v>
      </c>
      <c r="H444" s="52" t="s">
        <v>1589</v>
      </c>
      <c r="I444" s="51"/>
      <c r="J444" s="48"/>
      <c r="K444" s="50"/>
      <c r="L444" s="50"/>
      <c r="M444" s="48"/>
      <c r="N444" s="4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53">
        <v>44725.0</v>
      </c>
      <c r="B445" s="59" t="s">
        <v>1590</v>
      </c>
      <c r="C445" s="55" t="s">
        <v>44</v>
      </c>
      <c r="D445" s="55" t="s">
        <v>1591</v>
      </c>
      <c r="E445" s="55">
        <v>1.0</v>
      </c>
      <c r="F445" s="56">
        <v>39069.06</v>
      </c>
      <c r="G445" s="55" t="s">
        <v>167</v>
      </c>
      <c r="H445" s="62"/>
      <c r="I445" s="56"/>
      <c r="J445" s="53"/>
      <c r="K445" s="55"/>
      <c r="L445" s="55"/>
      <c r="M445" s="53"/>
      <c r="N445" s="53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48">
        <v>44725.0</v>
      </c>
      <c r="B446" s="60" t="s">
        <v>1590</v>
      </c>
      <c r="C446" s="50" t="s">
        <v>44</v>
      </c>
      <c r="D446" s="50" t="s">
        <v>1592</v>
      </c>
      <c r="E446" s="50">
        <v>1.0</v>
      </c>
      <c r="F446" s="51">
        <v>13618.04</v>
      </c>
      <c r="G446" s="50" t="s">
        <v>167</v>
      </c>
      <c r="H446" s="52" t="s">
        <v>1593</v>
      </c>
      <c r="I446" s="51"/>
      <c r="J446" s="48"/>
      <c r="K446" s="50"/>
      <c r="L446" s="50"/>
      <c r="M446" s="48"/>
      <c r="N446" s="4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53">
        <v>44725.0</v>
      </c>
      <c r="B447" s="67">
        <v>2063.0</v>
      </c>
      <c r="C447" s="55" t="s">
        <v>1594</v>
      </c>
      <c r="D447" s="55" t="s">
        <v>1595</v>
      </c>
      <c r="E447" s="55">
        <v>1.0</v>
      </c>
      <c r="F447" s="56">
        <v>10713.04</v>
      </c>
      <c r="G447" s="55" t="s">
        <v>167</v>
      </c>
      <c r="H447" s="62" t="s">
        <v>1596</v>
      </c>
      <c r="I447" s="56"/>
      <c r="J447" s="53"/>
      <c r="K447" s="55"/>
      <c r="L447" s="55"/>
      <c r="M447" s="53"/>
      <c r="N447" s="53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48">
        <v>44725.0</v>
      </c>
      <c r="B448" s="57">
        <v>2064.0</v>
      </c>
      <c r="C448" s="50" t="s">
        <v>164</v>
      </c>
      <c r="D448" s="50" t="s">
        <v>1597</v>
      </c>
      <c r="E448" s="50">
        <v>1.0</v>
      </c>
      <c r="F448" s="51"/>
      <c r="G448" s="50" t="s">
        <v>167</v>
      </c>
      <c r="H448" s="52" t="s">
        <v>1598</v>
      </c>
      <c r="I448" s="51"/>
      <c r="J448" s="48"/>
      <c r="K448" s="50"/>
      <c r="L448" s="50"/>
      <c r="M448" s="48"/>
      <c r="N448" s="4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53">
        <v>44726.0</v>
      </c>
      <c r="B449" s="55"/>
      <c r="C449" s="55" t="s">
        <v>188</v>
      </c>
      <c r="D449" s="55" t="s">
        <v>1599</v>
      </c>
      <c r="E449" s="55">
        <v>1.0</v>
      </c>
      <c r="F449" s="56"/>
      <c r="G449" s="55" t="str">
        <f>IF($K449&lt;&gt;"","FATURADO",IF($L449&lt;&gt;"","GANHOU"," "))</f>
        <v> </v>
      </c>
      <c r="H449" s="55"/>
      <c r="I449" s="56"/>
      <c r="J449" s="53"/>
      <c r="K449" s="55"/>
      <c r="L449" s="55"/>
      <c r="M449" s="53"/>
      <c r="N449" s="53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48">
        <v>44726.0</v>
      </c>
      <c r="B450" s="57">
        <v>2065.0</v>
      </c>
      <c r="C450" s="50" t="s">
        <v>1600</v>
      </c>
      <c r="D450" s="50" t="s">
        <v>1592</v>
      </c>
      <c r="E450" s="50">
        <v>3.0</v>
      </c>
      <c r="F450" s="51">
        <v>24314.78</v>
      </c>
      <c r="G450" s="50" t="s">
        <v>167</v>
      </c>
      <c r="H450" s="52" t="s">
        <v>1601</v>
      </c>
      <c r="I450" s="51"/>
      <c r="J450" s="48"/>
      <c r="K450" s="50"/>
      <c r="L450" s="50"/>
      <c r="M450" s="48"/>
      <c r="N450" s="4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53">
        <v>44727.0</v>
      </c>
      <c r="B451" s="67">
        <v>2066.0</v>
      </c>
      <c r="C451" s="55" t="s">
        <v>1602</v>
      </c>
      <c r="D451" s="55" t="s">
        <v>156</v>
      </c>
      <c r="E451" s="55">
        <v>1.0</v>
      </c>
      <c r="F451" s="56">
        <v>17884.13</v>
      </c>
      <c r="G451" s="55" t="s">
        <v>167</v>
      </c>
      <c r="H451" s="55"/>
      <c r="I451" s="56"/>
      <c r="J451" s="53"/>
      <c r="K451" s="55"/>
      <c r="L451" s="55"/>
      <c r="M451" s="53"/>
      <c r="N451" s="53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48">
        <v>44727.0</v>
      </c>
      <c r="B452" s="50"/>
      <c r="C452" s="50" t="s">
        <v>44</v>
      </c>
      <c r="D452" s="50" t="s">
        <v>1603</v>
      </c>
      <c r="E452" s="50">
        <v>33.0</v>
      </c>
      <c r="F452" s="51"/>
      <c r="G452" s="50" t="s">
        <v>1281</v>
      </c>
      <c r="H452" s="50"/>
      <c r="I452" s="51"/>
      <c r="J452" s="48"/>
      <c r="K452" s="50"/>
      <c r="L452" s="50"/>
      <c r="M452" s="48"/>
      <c r="N452" s="4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53">
        <v>44727.0</v>
      </c>
      <c r="B453" s="59">
        <v>2067.0</v>
      </c>
      <c r="C453" s="55" t="s">
        <v>44</v>
      </c>
      <c r="D453" s="55" t="s">
        <v>826</v>
      </c>
      <c r="E453" s="55">
        <v>3.0</v>
      </c>
      <c r="F453" s="56">
        <v>5767.64</v>
      </c>
      <c r="G453" s="55" t="str">
        <f>IF($K453&lt;&gt;"","FATURADO",IF($L453&lt;&gt;"","GANHOU"," "))</f>
        <v>FATURADO</v>
      </c>
      <c r="H453" s="55"/>
      <c r="I453" s="56">
        <v>5767.64</v>
      </c>
      <c r="J453" s="53">
        <v>44743.0</v>
      </c>
      <c r="K453" s="55">
        <v>1854.0</v>
      </c>
      <c r="L453" s="55">
        <v>4.501565387E9</v>
      </c>
      <c r="M453" s="53">
        <v>44754.0</v>
      </c>
      <c r="N453" s="53">
        <v>44774.0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48">
        <v>44727.0</v>
      </c>
      <c r="B454" s="49">
        <v>2068.0</v>
      </c>
      <c r="C454" s="50" t="s">
        <v>44</v>
      </c>
      <c r="D454" s="50" t="s">
        <v>1604</v>
      </c>
      <c r="E454" s="50">
        <v>1710.0</v>
      </c>
      <c r="F454" s="51">
        <v>423203.67</v>
      </c>
      <c r="G454" s="50" t="s">
        <v>167</v>
      </c>
      <c r="H454" s="50"/>
      <c r="I454" s="51"/>
      <c r="J454" s="48"/>
      <c r="K454" s="50"/>
      <c r="L454" s="50"/>
      <c r="M454" s="48"/>
      <c r="N454" s="4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53">
        <v>44727.0</v>
      </c>
      <c r="B455" s="61">
        <v>2068.0</v>
      </c>
      <c r="C455" s="55" t="s">
        <v>44</v>
      </c>
      <c r="D455" s="55" t="s">
        <v>1605</v>
      </c>
      <c r="E455" s="55">
        <v>18.0</v>
      </c>
      <c r="F455" s="56">
        <v>2264.1</v>
      </c>
      <c r="G455" s="55" t="s">
        <v>167</v>
      </c>
      <c r="H455" s="62" t="s">
        <v>1606</v>
      </c>
      <c r="I455" s="56"/>
      <c r="J455" s="53"/>
      <c r="K455" s="55"/>
      <c r="L455" s="55"/>
      <c r="M455" s="53"/>
      <c r="N455" s="53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48">
        <v>44727.0</v>
      </c>
      <c r="B456" s="60">
        <v>2068.0</v>
      </c>
      <c r="C456" s="50" t="s">
        <v>44</v>
      </c>
      <c r="D456" s="50" t="s">
        <v>1607</v>
      </c>
      <c r="E456" s="50">
        <v>3.0</v>
      </c>
      <c r="F456" s="51">
        <v>4087.05</v>
      </c>
      <c r="G456" s="50" t="s">
        <v>167</v>
      </c>
      <c r="H456" s="50"/>
      <c r="I456" s="51"/>
      <c r="J456" s="48"/>
      <c r="K456" s="50"/>
      <c r="L456" s="50"/>
      <c r="M456" s="48"/>
      <c r="N456" s="4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53">
        <v>44727.0</v>
      </c>
      <c r="B457" s="55"/>
      <c r="C457" s="55" t="s">
        <v>44</v>
      </c>
      <c r="D457" s="55" t="s">
        <v>1608</v>
      </c>
      <c r="E457" s="55">
        <v>1.0</v>
      </c>
      <c r="F457" s="56"/>
      <c r="G457" s="55" t="s">
        <v>1281</v>
      </c>
      <c r="H457" s="55"/>
      <c r="I457" s="56"/>
      <c r="J457" s="53"/>
      <c r="K457" s="55"/>
      <c r="L457" s="55"/>
      <c r="M457" s="53"/>
      <c r="N457" s="53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48">
        <v>44727.0</v>
      </c>
      <c r="B458" s="50"/>
      <c r="C458" s="50" t="s">
        <v>44</v>
      </c>
      <c r="D458" s="50" t="s">
        <v>1609</v>
      </c>
      <c r="E458" s="50">
        <v>6.0</v>
      </c>
      <c r="F458" s="51"/>
      <c r="G458" s="50" t="s">
        <v>1281</v>
      </c>
      <c r="H458" s="50"/>
      <c r="I458" s="51"/>
      <c r="J458" s="48"/>
      <c r="K458" s="50"/>
      <c r="L458" s="50"/>
      <c r="M458" s="48"/>
      <c r="N458" s="4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53">
        <v>44727.0</v>
      </c>
      <c r="B459" s="55"/>
      <c r="C459" s="55" t="s">
        <v>44</v>
      </c>
      <c r="D459" s="55" t="s">
        <v>1610</v>
      </c>
      <c r="E459" s="55">
        <v>50.0</v>
      </c>
      <c r="F459" s="56"/>
      <c r="G459" s="55" t="s">
        <v>1281</v>
      </c>
      <c r="H459" s="55"/>
      <c r="I459" s="56"/>
      <c r="J459" s="53"/>
      <c r="K459" s="55"/>
      <c r="L459" s="55"/>
      <c r="M459" s="53"/>
      <c r="N459" s="53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48">
        <v>44727.0</v>
      </c>
      <c r="B460" s="50"/>
      <c r="C460" s="50" t="s">
        <v>44</v>
      </c>
      <c r="D460" s="50" t="s">
        <v>1611</v>
      </c>
      <c r="E460" s="50">
        <v>1.0</v>
      </c>
      <c r="F460" s="51"/>
      <c r="G460" s="50" t="s">
        <v>1281</v>
      </c>
      <c r="H460" s="50"/>
      <c r="I460" s="51"/>
      <c r="J460" s="48"/>
      <c r="K460" s="50"/>
      <c r="L460" s="50"/>
      <c r="M460" s="48"/>
      <c r="N460" s="4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53">
        <v>44727.0</v>
      </c>
      <c r="B461" s="67">
        <v>2070.0</v>
      </c>
      <c r="C461" s="55" t="s">
        <v>44</v>
      </c>
      <c r="D461" s="55" t="s">
        <v>1612</v>
      </c>
      <c r="E461" s="55">
        <v>4.0</v>
      </c>
      <c r="F461" s="56">
        <v>45310.01</v>
      </c>
      <c r="G461" s="55" t="s">
        <v>167</v>
      </c>
      <c r="H461" s="55"/>
      <c r="I461" s="56"/>
      <c r="J461" s="53"/>
      <c r="K461" s="55"/>
      <c r="L461" s="55"/>
      <c r="M461" s="53"/>
      <c r="N461" s="53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48">
        <v>44727.0</v>
      </c>
      <c r="B462" s="57">
        <v>2069.0</v>
      </c>
      <c r="C462" s="50" t="s">
        <v>1409</v>
      </c>
      <c r="D462" s="50" t="s">
        <v>1613</v>
      </c>
      <c r="E462" s="50">
        <v>1.0</v>
      </c>
      <c r="F462" s="51">
        <v>6729.42</v>
      </c>
      <c r="G462" s="50" t="s">
        <v>167</v>
      </c>
      <c r="H462" s="50"/>
      <c r="I462" s="51"/>
      <c r="J462" s="48"/>
      <c r="K462" s="50"/>
      <c r="L462" s="50"/>
      <c r="M462" s="48"/>
      <c r="N462" s="4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53">
        <v>44732.0</v>
      </c>
      <c r="B463" s="67">
        <v>2073.0</v>
      </c>
      <c r="C463" s="55" t="s">
        <v>1614</v>
      </c>
      <c r="D463" s="65" t="s">
        <v>1615</v>
      </c>
      <c r="E463" s="55">
        <v>2.0</v>
      </c>
      <c r="F463" s="56">
        <v>1853.77</v>
      </c>
      <c r="G463" s="55" t="str">
        <f t="shared" ref="G463:G471" si="6">IF($K463&lt;&gt;"","FATURADO",IF($L463&lt;&gt;"","GANHOU"," "))</f>
        <v>FATURADO</v>
      </c>
      <c r="H463" s="55"/>
      <c r="I463" s="56">
        <v>1853.77</v>
      </c>
      <c r="J463" s="53">
        <v>44735.0</v>
      </c>
      <c r="K463" s="55">
        <v>1846.0</v>
      </c>
      <c r="L463" s="55">
        <v>9.0</v>
      </c>
      <c r="M463" s="53">
        <v>44734.0</v>
      </c>
      <c r="N463" s="53">
        <v>44750.0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48">
        <v>44732.0</v>
      </c>
      <c r="B464" s="50"/>
      <c r="C464" s="50" t="s">
        <v>1614</v>
      </c>
      <c r="D464" s="64" t="s">
        <v>1616</v>
      </c>
      <c r="E464" s="50">
        <v>1.0</v>
      </c>
      <c r="F464" s="51"/>
      <c r="G464" s="50" t="str">
        <f t="shared" si="6"/>
        <v> </v>
      </c>
      <c r="H464" s="50"/>
      <c r="I464" s="51"/>
      <c r="J464" s="48"/>
      <c r="K464" s="50"/>
      <c r="L464" s="50"/>
      <c r="M464" s="48"/>
      <c r="N464" s="4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53">
        <v>44732.0</v>
      </c>
      <c r="B465" s="55"/>
      <c r="C465" s="55" t="s">
        <v>1614</v>
      </c>
      <c r="D465" s="65" t="s">
        <v>1617</v>
      </c>
      <c r="E465" s="55">
        <v>1.0</v>
      </c>
      <c r="F465" s="56"/>
      <c r="G465" s="55" t="str">
        <f t="shared" si="6"/>
        <v> </v>
      </c>
      <c r="H465" s="62" t="s">
        <v>1618</v>
      </c>
      <c r="I465" s="56"/>
      <c r="J465" s="53"/>
      <c r="K465" s="55"/>
      <c r="L465" s="55"/>
      <c r="M465" s="53"/>
      <c r="N465" s="53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48">
        <v>44732.0</v>
      </c>
      <c r="B466" s="50"/>
      <c r="C466" s="50" t="s">
        <v>1614</v>
      </c>
      <c r="D466" s="64" t="s">
        <v>1619</v>
      </c>
      <c r="E466" s="50">
        <v>20.0</v>
      </c>
      <c r="F466" s="51"/>
      <c r="G466" s="50" t="str">
        <f t="shared" si="6"/>
        <v> </v>
      </c>
      <c r="H466" s="50"/>
      <c r="I466" s="51"/>
      <c r="J466" s="48"/>
      <c r="K466" s="50"/>
      <c r="L466" s="50"/>
      <c r="M466" s="48"/>
      <c r="N466" s="4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53">
        <v>44732.0</v>
      </c>
      <c r="B467" s="55"/>
      <c r="C467" s="55" t="s">
        <v>1614</v>
      </c>
      <c r="D467" s="65" t="s">
        <v>1620</v>
      </c>
      <c r="E467" s="55">
        <v>50.0</v>
      </c>
      <c r="F467" s="56"/>
      <c r="G467" s="55" t="str">
        <f t="shared" si="6"/>
        <v> </v>
      </c>
      <c r="H467" s="55"/>
      <c r="I467" s="56"/>
      <c r="J467" s="53"/>
      <c r="K467" s="55"/>
      <c r="L467" s="55"/>
      <c r="M467" s="53"/>
      <c r="N467" s="53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48">
        <v>44732.0</v>
      </c>
      <c r="B468" s="50"/>
      <c r="C468" s="50" t="s">
        <v>1621</v>
      </c>
      <c r="D468" s="50" t="s">
        <v>1622</v>
      </c>
      <c r="E468" s="50">
        <v>1.0</v>
      </c>
      <c r="F468" s="51"/>
      <c r="G468" s="50" t="str">
        <f t="shared" si="6"/>
        <v> </v>
      </c>
      <c r="H468" s="50"/>
      <c r="I468" s="51"/>
      <c r="J468" s="48"/>
      <c r="K468" s="50"/>
      <c r="L468" s="50"/>
      <c r="M468" s="48"/>
      <c r="N468" s="4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53">
        <v>44733.0</v>
      </c>
      <c r="B469" s="55"/>
      <c r="C469" s="55" t="s">
        <v>44</v>
      </c>
      <c r="D469" s="55" t="s">
        <v>1623</v>
      </c>
      <c r="E469" s="55">
        <v>1.0</v>
      </c>
      <c r="F469" s="56"/>
      <c r="G469" s="55" t="str">
        <f t="shared" si="6"/>
        <v> </v>
      </c>
      <c r="H469" s="55"/>
      <c r="I469" s="56"/>
      <c r="J469" s="53"/>
      <c r="K469" s="55"/>
      <c r="L469" s="55"/>
      <c r="M469" s="53"/>
      <c r="N469" s="53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48">
        <v>44733.0</v>
      </c>
      <c r="B470" s="50"/>
      <c r="C470" s="50" t="s">
        <v>44</v>
      </c>
      <c r="D470" s="50" t="s">
        <v>1624</v>
      </c>
      <c r="E470" s="50">
        <v>4.0</v>
      </c>
      <c r="F470" s="51"/>
      <c r="G470" s="50" t="str">
        <f t="shared" si="6"/>
        <v> </v>
      </c>
      <c r="H470" s="50"/>
      <c r="I470" s="51"/>
      <c r="J470" s="48"/>
      <c r="K470" s="50"/>
      <c r="L470" s="50"/>
      <c r="M470" s="48"/>
      <c r="N470" s="4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53">
        <v>44733.0</v>
      </c>
      <c r="B471" s="55"/>
      <c r="C471" s="55" t="s">
        <v>44</v>
      </c>
      <c r="D471" s="55" t="s">
        <v>1625</v>
      </c>
      <c r="E471" s="55">
        <v>1.0</v>
      </c>
      <c r="F471" s="56"/>
      <c r="G471" s="55" t="str">
        <f t="shared" si="6"/>
        <v> </v>
      </c>
      <c r="H471" s="55"/>
      <c r="I471" s="56"/>
      <c r="J471" s="53"/>
      <c r="K471" s="55"/>
      <c r="L471" s="55"/>
      <c r="M471" s="53"/>
      <c r="N471" s="53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48">
        <v>44733.0</v>
      </c>
      <c r="B472" s="57">
        <v>2075.0</v>
      </c>
      <c r="C472" s="50" t="s">
        <v>44</v>
      </c>
      <c r="D472" s="50" t="s">
        <v>1109</v>
      </c>
      <c r="E472" s="50">
        <v>1.0</v>
      </c>
      <c r="F472" s="51">
        <v>1075.16</v>
      </c>
      <c r="G472" s="50" t="s">
        <v>167</v>
      </c>
      <c r="H472" s="50"/>
      <c r="I472" s="51"/>
      <c r="J472" s="48"/>
      <c r="K472" s="50"/>
      <c r="L472" s="50"/>
      <c r="M472" s="48"/>
      <c r="N472" s="4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53">
        <v>44733.0</v>
      </c>
      <c r="B473" s="67">
        <v>2078.0</v>
      </c>
      <c r="C473" s="55" t="s">
        <v>164</v>
      </c>
      <c r="D473" s="55" t="s">
        <v>1626</v>
      </c>
      <c r="E473" s="55">
        <v>1.0</v>
      </c>
      <c r="F473" s="56">
        <v>51656.08</v>
      </c>
      <c r="G473" s="55" t="s">
        <v>167</v>
      </c>
      <c r="H473" s="55"/>
      <c r="I473" s="56"/>
      <c r="J473" s="53"/>
      <c r="K473" s="55"/>
      <c r="L473" s="55"/>
      <c r="M473" s="53"/>
      <c r="N473" s="53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48">
        <v>44733.0</v>
      </c>
      <c r="B474" s="49">
        <v>2072.0</v>
      </c>
      <c r="C474" s="50" t="s">
        <v>188</v>
      </c>
      <c r="D474" s="50" t="s">
        <v>1627</v>
      </c>
      <c r="E474" s="50">
        <v>3.0</v>
      </c>
      <c r="F474" s="51">
        <v>600.0</v>
      </c>
      <c r="G474" s="50" t="s">
        <v>167</v>
      </c>
      <c r="H474" s="50"/>
      <c r="I474" s="51"/>
      <c r="J474" s="48"/>
      <c r="K474" s="50"/>
      <c r="L474" s="50"/>
      <c r="M474" s="48"/>
      <c r="N474" s="4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53">
        <v>44733.0</v>
      </c>
      <c r="B475" s="54">
        <v>2072.0</v>
      </c>
      <c r="C475" s="55" t="s">
        <v>188</v>
      </c>
      <c r="D475" s="55" t="s">
        <v>1628</v>
      </c>
      <c r="E475" s="55">
        <v>3.0</v>
      </c>
      <c r="F475" s="56">
        <v>2449.36</v>
      </c>
      <c r="G475" s="55" t="s">
        <v>167</v>
      </c>
      <c r="H475" s="55"/>
      <c r="I475" s="56"/>
      <c r="J475" s="53"/>
      <c r="K475" s="55"/>
      <c r="L475" s="55"/>
      <c r="M475" s="53"/>
      <c r="N475" s="53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48">
        <v>44734.0</v>
      </c>
      <c r="B476" s="57">
        <v>2076.0</v>
      </c>
      <c r="C476" s="50" t="s">
        <v>1629</v>
      </c>
      <c r="D476" s="50" t="s">
        <v>1630</v>
      </c>
      <c r="E476" s="50">
        <v>1.0</v>
      </c>
      <c r="F476" s="51">
        <v>3641.4</v>
      </c>
      <c r="G476" s="50" t="s">
        <v>167</v>
      </c>
      <c r="H476" s="50"/>
      <c r="I476" s="51"/>
      <c r="J476" s="48"/>
      <c r="K476" s="50"/>
      <c r="L476" s="50"/>
      <c r="M476" s="48"/>
      <c r="N476" s="4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53">
        <v>44734.0</v>
      </c>
      <c r="B477" s="59">
        <v>2077.0</v>
      </c>
      <c r="C477" s="55" t="s">
        <v>77</v>
      </c>
      <c r="D477" s="55" t="s">
        <v>1631</v>
      </c>
      <c r="E477" s="55">
        <v>1.0</v>
      </c>
      <c r="F477" s="56">
        <v>12475.58</v>
      </c>
      <c r="G477" s="55" t="s">
        <v>167</v>
      </c>
      <c r="H477" s="55"/>
      <c r="I477" s="56"/>
      <c r="J477" s="53"/>
      <c r="K477" s="55"/>
      <c r="L477" s="55"/>
      <c r="M477" s="53"/>
      <c r="N477" s="53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48">
        <v>44734.0</v>
      </c>
      <c r="B478" s="63">
        <v>2077.0</v>
      </c>
      <c r="C478" s="50" t="s">
        <v>77</v>
      </c>
      <c r="D478" s="50" t="s">
        <v>1632</v>
      </c>
      <c r="E478" s="50">
        <v>1.0</v>
      </c>
      <c r="F478" s="51">
        <v>1330.01</v>
      </c>
      <c r="G478" s="50" t="s">
        <v>167</v>
      </c>
      <c r="H478" s="50"/>
      <c r="I478" s="51"/>
      <c r="J478" s="48"/>
      <c r="K478" s="50"/>
      <c r="L478" s="50"/>
      <c r="M478" s="48"/>
      <c r="N478" s="4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53">
        <v>44734.0</v>
      </c>
      <c r="B479" s="54">
        <v>2077.0</v>
      </c>
      <c r="C479" s="55" t="s">
        <v>77</v>
      </c>
      <c r="D479" s="55" t="s">
        <v>1633</v>
      </c>
      <c r="E479" s="55">
        <v>1.0</v>
      </c>
      <c r="F479" s="56">
        <v>1338.0</v>
      </c>
      <c r="G479" s="55" t="s">
        <v>167</v>
      </c>
      <c r="H479" s="55"/>
      <c r="I479" s="56"/>
      <c r="J479" s="53"/>
      <c r="K479" s="55"/>
      <c r="L479" s="55"/>
      <c r="M479" s="53"/>
      <c r="N479" s="53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48">
        <v>44736.0</v>
      </c>
      <c r="B480" s="50"/>
      <c r="C480" s="50" t="s">
        <v>188</v>
      </c>
      <c r="D480" s="50" t="s">
        <v>1634</v>
      </c>
      <c r="E480" s="50">
        <v>50.0</v>
      </c>
      <c r="F480" s="51"/>
      <c r="G480" s="50" t="str">
        <f t="shared" ref="G480:G484" si="7">IF($K480&lt;&gt;"","FATURADO",IF($L480&lt;&gt;"","GANHOU"," "))</f>
        <v> </v>
      </c>
      <c r="H480" s="50"/>
      <c r="I480" s="51"/>
      <c r="J480" s="48"/>
      <c r="K480" s="50"/>
      <c r="L480" s="50"/>
      <c r="M480" s="48"/>
      <c r="N480" s="4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53">
        <v>44736.0</v>
      </c>
      <c r="B481" s="55"/>
      <c r="C481" s="55" t="s">
        <v>188</v>
      </c>
      <c r="D481" s="55" t="s">
        <v>1635</v>
      </c>
      <c r="E481" s="55">
        <v>30.0</v>
      </c>
      <c r="F481" s="56"/>
      <c r="G481" s="55" t="str">
        <f t="shared" si="7"/>
        <v> </v>
      </c>
      <c r="H481" s="55"/>
      <c r="I481" s="56"/>
      <c r="J481" s="53"/>
      <c r="K481" s="55"/>
      <c r="L481" s="55"/>
      <c r="M481" s="53"/>
      <c r="N481" s="53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48">
        <v>44736.0</v>
      </c>
      <c r="B482" s="50"/>
      <c r="C482" s="50" t="s">
        <v>188</v>
      </c>
      <c r="D482" s="50" t="s">
        <v>1636</v>
      </c>
      <c r="E482" s="50">
        <v>50.0</v>
      </c>
      <c r="F482" s="51"/>
      <c r="G482" s="50" t="str">
        <f t="shared" si="7"/>
        <v> </v>
      </c>
      <c r="H482" s="50"/>
      <c r="I482" s="51"/>
      <c r="J482" s="48"/>
      <c r="K482" s="50"/>
      <c r="L482" s="50"/>
      <c r="M482" s="48"/>
      <c r="N482" s="4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53">
        <v>44736.0</v>
      </c>
      <c r="B483" s="55"/>
      <c r="C483" s="55" t="s">
        <v>1637</v>
      </c>
      <c r="D483" s="55" t="s">
        <v>1638</v>
      </c>
      <c r="E483" s="55">
        <v>1.0</v>
      </c>
      <c r="F483" s="56"/>
      <c r="G483" s="55" t="str">
        <f t="shared" si="7"/>
        <v> </v>
      </c>
      <c r="H483" s="62" t="s">
        <v>1639</v>
      </c>
      <c r="I483" s="56"/>
      <c r="J483" s="53"/>
      <c r="K483" s="55"/>
      <c r="L483" s="55"/>
      <c r="M483" s="53"/>
      <c r="N483" s="53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48">
        <v>44736.0</v>
      </c>
      <c r="B484" s="57">
        <v>2083.0</v>
      </c>
      <c r="C484" s="50" t="s">
        <v>1640</v>
      </c>
      <c r="D484" s="50" t="s">
        <v>1641</v>
      </c>
      <c r="E484" s="50">
        <v>1.0</v>
      </c>
      <c r="F484" s="51">
        <v>62736.99</v>
      </c>
      <c r="G484" s="50" t="str">
        <f t="shared" si="7"/>
        <v> </v>
      </c>
      <c r="H484" s="50"/>
      <c r="I484" s="51"/>
      <c r="J484" s="48"/>
      <c r="K484" s="50"/>
      <c r="L484" s="50"/>
      <c r="M484" s="48"/>
      <c r="N484" s="4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53">
        <v>44739.0</v>
      </c>
      <c r="B485" s="59">
        <v>2090.0</v>
      </c>
      <c r="C485" s="55" t="s">
        <v>1642</v>
      </c>
      <c r="D485" s="55" t="s">
        <v>1643</v>
      </c>
      <c r="E485" s="55">
        <v>1.0</v>
      </c>
      <c r="F485" s="56">
        <v>9592.93</v>
      </c>
      <c r="G485" s="55" t="s">
        <v>167</v>
      </c>
      <c r="H485" s="62" t="s">
        <v>1644</v>
      </c>
      <c r="I485" s="56"/>
      <c r="J485" s="53"/>
      <c r="K485" s="55"/>
      <c r="L485" s="55"/>
      <c r="M485" s="53"/>
      <c r="N485" s="53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48">
        <v>44739.0</v>
      </c>
      <c r="B486" s="49">
        <v>2091.0</v>
      </c>
      <c r="C486" s="50" t="s">
        <v>164</v>
      </c>
      <c r="D486" s="50" t="s">
        <v>1645</v>
      </c>
      <c r="E486" s="50">
        <v>49.0</v>
      </c>
      <c r="F486" s="51">
        <v>272.93</v>
      </c>
      <c r="G486" s="50" t="str">
        <f t="shared" ref="G486:G488" si="8">IF($K486&lt;&gt;"","FATURADO",IF($L486&lt;&gt;"","GANHOU"," "))</f>
        <v>FATURADO</v>
      </c>
      <c r="H486" s="52" t="s">
        <v>1646</v>
      </c>
      <c r="I486" s="51">
        <v>272.93</v>
      </c>
      <c r="J486" s="48">
        <v>44748.0</v>
      </c>
      <c r="K486" s="50">
        <v>1862.0</v>
      </c>
      <c r="L486" s="50">
        <v>4.500400723E9</v>
      </c>
      <c r="M486" s="48">
        <v>44750.0</v>
      </c>
      <c r="N486" s="48">
        <v>44779.0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53">
        <v>44739.0</v>
      </c>
      <c r="B487" s="54">
        <v>2091.0</v>
      </c>
      <c r="C487" s="55" t="s">
        <v>164</v>
      </c>
      <c r="D487" s="55" t="s">
        <v>1645</v>
      </c>
      <c r="E487" s="55">
        <v>3.0</v>
      </c>
      <c r="F487" s="56">
        <v>16.71</v>
      </c>
      <c r="G487" s="55" t="str">
        <f t="shared" si="8"/>
        <v>FATURADO</v>
      </c>
      <c r="H487" s="62"/>
      <c r="I487" s="56">
        <v>16.71</v>
      </c>
      <c r="J487" s="53">
        <v>44936.0</v>
      </c>
      <c r="K487" s="55">
        <v>2032.0</v>
      </c>
      <c r="L487" s="55">
        <v>4.500400723E9</v>
      </c>
      <c r="M487" s="53">
        <v>44819.0</v>
      </c>
      <c r="N487" s="53">
        <v>44967.0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48">
        <v>44739.0</v>
      </c>
      <c r="B488" s="50"/>
      <c r="C488" s="50" t="s">
        <v>44</v>
      </c>
      <c r="D488" s="50" t="s">
        <v>1647</v>
      </c>
      <c r="E488" s="50">
        <v>52.0</v>
      </c>
      <c r="F488" s="51"/>
      <c r="G488" s="50" t="str">
        <f t="shared" si="8"/>
        <v> </v>
      </c>
      <c r="H488" s="50"/>
      <c r="I488" s="51"/>
      <c r="J488" s="48"/>
      <c r="K488" s="50"/>
      <c r="L488" s="50"/>
      <c r="M488" s="48"/>
      <c r="N488" s="4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53">
        <v>44740.0</v>
      </c>
      <c r="B489" s="67">
        <v>2094.0</v>
      </c>
      <c r="C489" s="55" t="s">
        <v>188</v>
      </c>
      <c r="D489" s="55" t="s">
        <v>1648</v>
      </c>
      <c r="E489" s="55">
        <v>3.0</v>
      </c>
      <c r="F489" s="56">
        <v>69020.71</v>
      </c>
      <c r="G489" s="55" t="s">
        <v>167</v>
      </c>
      <c r="H489" s="55"/>
      <c r="I489" s="56"/>
      <c r="J489" s="53"/>
      <c r="K489" s="55"/>
      <c r="L489" s="55"/>
      <c r="M489" s="53"/>
      <c r="N489" s="53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48">
        <v>44741.0</v>
      </c>
      <c r="B490" s="57">
        <v>2097.0</v>
      </c>
      <c r="C490" s="50" t="s">
        <v>44</v>
      </c>
      <c r="D490" s="50" t="s">
        <v>450</v>
      </c>
      <c r="E490" s="50">
        <v>3.0</v>
      </c>
      <c r="F490" s="51">
        <v>17280.0</v>
      </c>
      <c r="G490" s="50" t="str">
        <f t="shared" ref="G490:G501" si="9">IF($K490&lt;&gt;"","FATURADO",IF($L490&lt;&gt;"","GANHOU"," "))</f>
        <v>FATURADO</v>
      </c>
      <c r="H490" s="52" t="s">
        <v>1649</v>
      </c>
      <c r="I490" s="51">
        <v>17280.0</v>
      </c>
      <c r="J490" s="48">
        <v>44824.0</v>
      </c>
      <c r="K490" s="50">
        <v>1934.0</v>
      </c>
      <c r="L490" s="50">
        <v>4.501567324E9</v>
      </c>
      <c r="M490" s="48">
        <v>44862.0</v>
      </c>
      <c r="N490" s="48">
        <v>44854.0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53">
        <v>44741.0</v>
      </c>
      <c r="B491" s="55"/>
      <c r="C491" s="55" t="s">
        <v>44</v>
      </c>
      <c r="D491" s="55" t="s">
        <v>1650</v>
      </c>
      <c r="E491" s="55">
        <v>6.0</v>
      </c>
      <c r="F491" s="56"/>
      <c r="G491" s="55" t="str">
        <f t="shared" si="9"/>
        <v> </v>
      </c>
      <c r="H491" s="55"/>
      <c r="I491" s="56"/>
      <c r="J491" s="53"/>
      <c r="K491" s="55"/>
      <c r="L491" s="55"/>
      <c r="M491" s="53"/>
      <c r="N491" s="53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48">
        <v>44742.0</v>
      </c>
      <c r="B492" s="50"/>
      <c r="C492" s="50" t="s">
        <v>1651</v>
      </c>
      <c r="D492" s="64" t="s">
        <v>1652</v>
      </c>
      <c r="E492" s="50">
        <v>2.0</v>
      </c>
      <c r="F492" s="51"/>
      <c r="G492" s="50" t="str">
        <f t="shared" si="9"/>
        <v> </v>
      </c>
      <c r="H492" s="50"/>
      <c r="I492" s="51"/>
      <c r="J492" s="48"/>
      <c r="K492" s="50"/>
      <c r="L492" s="50"/>
      <c r="M492" s="48"/>
      <c r="N492" s="4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53"/>
      <c r="B493" s="55"/>
      <c r="C493" s="55"/>
      <c r="D493" s="55"/>
      <c r="E493" s="55"/>
      <c r="F493" s="56"/>
      <c r="G493" s="55" t="str">
        <f t="shared" si="9"/>
        <v> </v>
      </c>
      <c r="H493" s="55"/>
      <c r="I493" s="56"/>
      <c r="J493" s="53"/>
      <c r="K493" s="55"/>
      <c r="L493" s="55"/>
      <c r="M493" s="53"/>
      <c r="N493" s="53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48">
        <v>44746.0</v>
      </c>
      <c r="B494" s="50"/>
      <c r="C494" s="50" t="s">
        <v>39</v>
      </c>
      <c r="D494" s="50" t="s">
        <v>1653</v>
      </c>
      <c r="E494" s="50">
        <v>1.0</v>
      </c>
      <c r="F494" s="51"/>
      <c r="G494" s="50" t="str">
        <f t="shared" si="9"/>
        <v> </v>
      </c>
      <c r="H494" s="50"/>
      <c r="I494" s="51"/>
      <c r="J494" s="48"/>
      <c r="K494" s="50"/>
      <c r="L494" s="50"/>
      <c r="M494" s="48"/>
      <c r="N494" s="4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53">
        <v>44746.0</v>
      </c>
      <c r="B495" s="55"/>
      <c r="C495" s="55" t="s">
        <v>39</v>
      </c>
      <c r="D495" s="55" t="s">
        <v>1625</v>
      </c>
      <c r="E495" s="55">
        <v>1.0</v>
      </c>
      <c r="F495" s="56"/>
      <c r="G495" s="55" t="str">
        <f t="shared" si="9"/>
        <v> </v>
      </c>
      <c r="H495" s="55"/>
      <c r="I495" s="56"/>
      <c r="J495" s="53"/>
      <c r="K495" s="55"/>
      <c r="L495" s="55"/>
      <c r="M495" s="53"/>
      <c r="N495" s="53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48">
        <v>44746.0</v>
      </c>
      <c r="B496" s="50"/>
      <c r="C496" s="50" t="s">
        <v>39</v>
      </c>
      <c r="D496" s="50" t="s">
        <v>1654</v>
      </c>
      <c r="E496" s="50">
        <v>1.0</v>
      </c>
      <c r="F496" s="51"/>
      <c r="G496" s="50" t="str">
        <f t="shared" si="9"/>
        <v> </v>
      </c>
      <c r="H496" s="50"/>
      <c r="I496" s="51"/>
      <c r="J496" s="48"/>
      <c r="K496" s="50"/>
      <c r="L496" s="50"/>
      <c r="M496" s="48"/>
      <c r="N496" s="4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53">
        <v>44746.0</v>
      </c>
      <c r="B497" s="67">
        <v>2122.0</v>
      </c>
      <c r="C497" s="55" t="s">
        <v>39</v>
      </c>
      <c r="D497" s="55" t="s">
        <v>1611</v>
      </c>
      <c r="E497" s="55">
        <v>1.0</v>
      </c>
      <c r="F497" s="56">
        <v>1126.76</v>
      </c>
      <c r="G497" s="55" t="str">
        <f t="shared" si="9"/>
        <v> </v>
      </c>
      <c r="H497" s="55"/>
      <c r="I497" s="56"/>
      <c r="J497" s="53"/>
      <c r="K497" s="55"/>
      <c r="L497" s="55"/>
      <c r="M497" s="53"/>
      <c r="N497" s="53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48">
        <v>44746.0</v>
      </c>
      <c r="B498" s="50"/>
      <c r="C498" s="50" t="s">
        <v>39</v>
      </c>
      <c r="D498" s="50" t="s">
        <v>1647</v>
      </c>
      <c r="E498" s="50">
        <v>52.0</v>
      </c>
      <c r="F498" s="51"/>
      <c r="G498" s="50" t="str">
        <f t="shared" si="9"/>
        <v> </v>
      </c>
      <c r="H498" s="50"/>
      <c r="I498" s="51"/>
      <c r="J498" s="48"/>
      <c r="K498" s="50"/>
      <c r="L498" s="50"/>
      <c r="M498" s="48"/>
      <c r="N498" s="4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53">
        <v>44746.0</v>
      </c>
      <c r="B499" s="55"/>
      <c r="C499" s="55" t="s">
        <v>39</v>
      </c>
      <c r="D499" s="55" t="s">
        <v>1655</v>
      </c>
      <c r="E499" s="55">
        <v>4.0</v>
      </c>
      <c r="F499" s="56"/>
      <c r="G499" s="55" t="str">
        <f t="shared" si="9"/>
        <v> </v>
      </c>
      <c r="H499" s="55"/>
      <c r="I499" s="56"/>
      <c r="J499" s="53"/>
      <c r="K499" s="55"/>
      <c r="L499" s="55"/>
      <c r="M499" s="53"/>
      <c r="N499" s="53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48">
        <v>44746.0</v>
      </c>
      <c r="B500" s="50"/>
      <c r="C500" s="50" t="s">
        <v>39</v>
      </c>
      <c r="D500" s="50" t="s">
        <v>1656</v>
      </c>
      <c r="E500" s="50">
        <v>4.0</v>
      </c>
      <c r="F500" s="51"/>
      <c r="G500" s="50" t="str">
        <f t="shared" si="9"/>
        <v> </v>
      </c>
      <c r="H500" s="50"/>
      <c r="I500" s="51"/>
      <c r="J500" s="48"/>
      <c r="K500" s="50"/>
      <c r="L500" s="50"/>
      <c r="M500" s="48"/>
      <c r="N500" s="4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53">
        <v>44746.0</v>
      </c>
      <c r="B501" s="55"/>
      <c r="C501" s="55" t="s">
        <v>39</v>
      </c>
      <c r="D501" s="55" t="s">
        <v>1612</v>
      </c>
      <c r="E501" s="55">
        <v>4.0</v>
      </c>
      <c r="F501" s="56"/>
      <c r="G501" s="55" t="str">
        <f t="shared" si="9"/>
        <v> </v>
      </c>
      <c r="H501" s="55"/>
      <c r="I501" s="76"/>
      <c r="J501" s="53"/>
      <c r="K501" s="55"/>
      <c r="L501" s="55"/>
      <c r="M501" s="53"/>
      <c r="N501" s="53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48">
        <v>44746.0</v>
      </c>
      <c r="B502" s="57"/>
      <c r="C502" s="50" t="s">
        <v>1657</v>
      </c>
      <c r="D502" s="50" t="s">
        <v>1658</v>
      </c>
      <c r="E502" s="50">
        <v>1.0</v>
      </c>
      <c r="F502" s="51">
        <v>34342.57</v>
      </c>
      <c r="G502" s="50" t="s">
        <v>167</v>
      </c>
      <c r="H502" s="52" t="s">
        <v>1659</v>
      </c>
      <c r="I502" s="51"/>
      <c r="J502" s="48"/>
      <c r="K502" s="50"/>
      <c r="L502" s="50"/>
      <c r="M502" s="48"/>
      <c r="N502" s="4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53">
        <v>44748.0</v>
      </c>
      <c r="B503" s="55"/>
      <c r="C503" s="55" t="s">
        <v>1660</v>
      </c>
      <c r="D503" s="65" t="s">
        <v>1661</v>
      </c>
      <c r="E503" s="55">
        <v>1.0</v>
      </c>
      <c r="F503" s="56"/>
      <c r="G503" s="55" t="str">
        <f>IF($K503&lt;&gt;"","FATURADO",IF($L503&lt;&gt;"","GANHOU"," "))</f>
        <v> </v>
      </c>
      <c r="H503" s="62" t="s">
        <v>1662</v>
      </c>
      <c r="I503" s="56"/>
      <c r="J503" s="53"/>
      <c r="K503" s="55"/>
      <c r="L503" s="55"/>
      <c r="M503" s="53"/>
      <c r="N503" s="53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48">
        <v>44749.0</v>
      </c>
      <c r="B504" s="57">
        <v>2104.0</v>
      </c>
      <c r="C504" s="50" t="s">
        <v>44</v>
      </c>
      <c r="D504" s="50" t="s">
        <v>1663</v>
      </c>
      <c r="E504" s="50">
        <v>4.0</v>
      </c>
      <c r="F504" s="51">
        <v>40000.0</v>
      </c>
      <c r="G504" s="50" t="s">
        <v>167</v>
      </c>
      <c r="H504" s="50"/>
      <c r="I504" s="51"/>
      <c r="J504" s="48"/>
      <c r="K504" s="50"/>
      <c r="L504" s="50"/>
      <c r="M504" s="48"/>
      <c r="N504" s="4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53">
        <v>44749.0</v>
      </c>
      <c r="B505" s="67">
        <v>2106.0</v>
      </c>
      <c r="C505" s="55" t="s">
        <v>44</v>
      </c>
      <c r="D505" s="55" t="s">
        <v>1664</v>
      </c>
      <c r="E505" s="55">
        <v>1.0</v>
      </c>
      <c r="F505" s="56">
        <v>6038.99</v>
      </c>
      <c r="G505" s="55" t="s">
        <v>167</v>
      </c>
      <c r="H505" s="55"/>
      <c r="I505" s="56"/>
      <c r="J505" s="53"/>
      <c r="K505" s="55"/>
      <c r="L505" s="55"/>
      <c r="M505" s="53"/>
      <c r="N505" s="53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48">
        <v>44749.0</v>
      </c>
      <c r="B506" s="49">
        <v>2107.0</v>
      </c>
      <c r="C506" s="50" t="s">
        <v>1665</v>
      </c>
      <c r="D506" s="50" t="s">
        <v>1666</v>
      </c>
      <c r="E506" s="50">
        <v>6.0</v>
      </c>
      <c r="F506" s="51">
        <v>4080.79</v>
      </c>
      <c r="G506" s="50" t="s">
        <v>180</v>
      </c>
      <c r="H506" s="50"/>
      <c r="I506" s="51">
        <v>4080.79</v>
      </c>
      <c r="J506" s="48">
        <v>45139.0</v>
      </c>
      <c r="K506" s="50">
        <v>1883.0</v>
      </c>
      <c r="L506" s="50">
        <v>5076.0</v>
      </c>
      <c r="M506" s="48">
        <v>44802.0</v>
      </c>
      <c r="N506" s="4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53">
        <v>44749.0</v>
      </c>
      <c r="B507" s="59">
        <v>2108.0</v>
      </c>
      <c r="C507" s="55" t="s">
        <v>75</v>
      </c>
      <c r="D507" s="55" t="s">
        <v>147</v>
      </c>
      <c r="E507" s="55">
        <v>50.0</v>
      </c>
      <c r="F507" s="56"/>
      <c r="G507" s="55" t="s">
        <v>167</v>
      </c>
      <c r="H507" s="62" t="s">
        <v>1667</v>
      </c>
      <c r="I507" s="56"/>
      <c r="J507" s="53"/>
      <c r="K507" s="55"/>
      <c r="L507" s="55"/>
      <c r="M507" s="53"/>
      <c r="N507" s="53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48">
        <v>44749.0</v>
      </c>
      <c r="B508" s="63">
        <v>2108.0</v>
      </c>
      <c r="C508" s="50" t="s">
        <v>75</v>
      </c>
      <c r="D508" s="50" t="s">
        <v>257</v>
      </c>
      <c r="E508" s="50">
        <v>2.0</v>
      </c>
      <c r="F508" s="51"/>
      <c r="G508" s="50" t="s">
        <v>167</v>
      </c>
      <c r="H508" s="50" t="str">
        <f>IF($K508&lt;&gt;"","FATURADO",IF($L508&lt;&gt;"","GANHOU"," "))</f>
        <v> </v>
      </c>
      <c r="I508" s="51"/>
      <c r="J508" s="48"/>
      <c r="K508" s="50"/>
      <c r="L508" s="50"/>
      <c r="M508" s="48"/>
      <c r="N508" s="4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53">
        <v>44749.0</v>
      </c>
      <c r="B509" s="61">
        <v>2108.0</v>
      </c>
      <c r="C509" s="55" t="s">
        <v>75</v>
      </c>
      <c r="D509" s="55" t="s">
        <v>1668</v>
      </c>
      <c r="E509" s="55">
        <v>1.0</v>
      </c>
      <c r="F509" s="56"/>
      <c r="G509" s="55" t="s">
        <v>167</v>
      </c>
      <c r="H509" s="55"/>
      <c r="I509" s="55" t="str">
        <f>IF($K508&lt;&gt;"","FATURADO",IF($L508&lt;&gt;"","GANHOU"," "))</f>
        <v> </v>
      </c>
      <c r="J509" s="53"/>
      <c r="K509" s="55"/>
      <c r="L509" s="55"/>
      <c r="M509" s="53"/>
      <c r="N509" s="53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48">
        <v>44749.0</v>
      </c>
      <c r="B510" s="63">
        <v>2108.0</v>
      </c>
      <c r="C510" s="50" t="s">
        <v>75</v>
      </c>
      <c r="D510" s="50" t="s">
        <v>168</v>
      </c>
      <c r="E510" s="50">
        <v>1.0</v>
      </c>
      <c r="F510" s="51"/>
      <c r="G510" s="50" t="s">
        <v>167</v>
      </c>
      <c r="H510" s="50"/>
      <c r="I510" s="51"/>
      <c r="J510" s="48"/>
      <c r="K510" s="50"/>
      <c r="L510" s="50"/>
      <c r="M510" s="48"/>
      <c r="N510" s="4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53">
        <v>44749.0</v>
      </c>
      <c r="B511" s="61">
        <v>2108.0</v>
      </c>
      <c r="C511" s="55" t="s">
        <v>75</v>
      </c>
      <c r="D511" s="55" t="s">
        <v>1337</v>
      </c>
      <c r="E511" s="55">
        <v>2.0</v>
      </c>
      <c r="F511" s="56"/>
      <c r="G511" s="55" t="s">
        <v>167</v>
      </c>
      <c r="H511" s="55"/>
      <c r="I511" s="56"/>
      <c r="J511" s="53"/>
      <c r="K511" s="55"/>
      <c r="L511" s="55"/>
      <c r="M511" s="53"/>
      <c r="N511" s="53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48">
        <v>44749.0</v>
      </c>
      <c r="B512" s="63">
        <v>2108.0</v>
      </c>
      <c r="C512" s="50" t="s">
        <v>75</v>
      </c>
      <c r="D512" s="50" t="s">
        <v>1669</v>
      </c>
      <c r="E512" s="50">
        <v>12.0</v>
      </c>
      <c r="F512" s="51"/>
      <c r="G512" s="50" t="s">
        <v>167</v>
      </c>
      <c r="H512" s="50"/>
      <c r="I512" s="51"/>
      <c r="J512" s="48"/>
      <c r="K512" s="50"/>
      <c r="L512" s="50"/>
      <c r="M512" s="48"/>
      <c r="N512" s="4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53">
        <v>44749.0</v>
      </c>
      <c r="B513" s="61">
        <v>2108.0</v>
      </c>
      <c r="C513" s="55" t="s">
        <v>75</v>
      </c>
      <c r="D513" s="55" t="s">
        <v>1670</v>
      </c>
      <c r="E513" s="55">
        <v>4.0</v>
      </c>
      <c r="F513" s="56"/>
      <c r="G513" s="55" t="s">
        <v>167</v>
      </c>
      <c r="H513" s="55"/>
      <c r="I513" s="56"/>
      <c r="J513" s="53"/>
      <c r="K513" s="55"/>
      <c r="L513" s="55"/>
      <c r="M513" s="53"/>
      <c r="N513" s="53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48">
        <v>44749.0</v>
      </c>
      <c r="B514" s="63">
        <v>2108.0</v>
      </c>
      <c r="C514" s="50" t="s">
        <v>75</v>
      </c>
      <c r="D514" s="50" t="s">
        <v>1671</v>
      </c>
      <c r="E514" s="50">
        <v>1.0</v>
      </c>
      <c r="F514" s="51"/>
      <c r="G514" s="50" t="s">
        <v>167</v>
      </c>
      <c r="H514" s="50"/>
      <c r="I514" s="51"/>
      <c r="J514" s="48"/>
      <c r="K514" s="50"/>
      <c r="L514" s="50"/>
      <c r="M514" s="48"/>
      <c r="N514" s="4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53">
        <v>44749.0</v>
      </c>
      <c r="B515" s="61">
        <v>2108.0</v>
      </c>
      <c r="C515" s="55" t="s">
        <v>75</v>
      </c>
      <c r="D515" s="55" t="s">
        <v>826</v>
      </c>
      <c r="E515" s="55">
        <v>2.0</v>
      </c>
      <c r="F515" s="56"/>
      <c r="G515" s="55" t="s">
        <v>167</v>
      </c>
      <c r="H515" s="55"/>
      <c r="I515" s="56"/>
      <c r="J515" s="53"/>
      <c r="K515" s="55"/>
      <c r="L515" s="55"/>
      <c r="M515" s="53"/>
      <c r="N515" s="53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48">
        <v>44749.0</v>
      </c>
      <c r="B516" s="63">
        <v>2108.0</v>
      </c>
      <c r="C516" s="50" t="s">
        <v>75</v>
      </c>
      <c r="D516" s="50" t="s">
        <v>826</v>
      </c>
      <c r="E516" s="50">
        <v>1.0</v>
      </c>
      <c r="F516" s="51"/>
      <c r="G516" s="50" t="s">
        <v>167</v>
      </c>
      <c r="H516" s="50"/>
      <c r="I516" s="51"/>
      <c r="J516" s="48"/>
      <c r="K516" s="50"/>
      <c r="L516" s="50"/>
      <c r="M516" s="48"/>
      <c r="N516" s="4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53">
        <v>44749.0</v>
      </c>
      <c r="B517" s="61">
        <v>2108.0</v>
      </c>
      <c r="C517" s="55" t="s">
        <v>75</v>
      </c>
      <c r="D517" s="55" t="s">
        <v>257</v>
      </c>
      <c r="E517" s="55">
        <v>62.0</v>
      </c>
      <c r="F517" s="56"/>
      <c r="G517" s="55" t="s">
        <v>167</v>
      </c>
      <c r="H517" s="55"/>
      <c r="I517" s="56"/>
      <c r="J517" s="53"/>
      <c r="K517" s="55"/>
      <c r="L517" s="55"/>
      <c r="M517" s="53"/>
      <c r="N517" s="53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48">
        <v>44749.0</v>
      </c>
      <c r="B518" s="63">
        <v>2108.0</v>
      </c>
      <c r="C518" s="50" t="s">
        <v>75</v>
      </c>
      <c r="D518" s="50" t="s">
        <v>45</v>
      </c>
      <c r="E518" s="50">
        <v>12.0</v>
      </c>
      <c r="F518" s="51"/>
      <c r="G518" s="50" t="s">
        <v>167</v>
      </c>
      <c r="H518" s="50"/>
      <c r="I518" s="51"/>
      <c r="J518" s="48"/>
      <c r="K518" s="50"/>
      <c r="L518" s="50"/>
      <c r="M518" s="48"/>
      <c r="N518" s="4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53">
        <v>44749.0</v>
      </c>
      <c r="B519" s="61">
        <v>2108.0</v>
      </c>
      <c r="C519" s="55" t="s">
        <v>75</v>
      </c>
      <c r="D519" s="55" t="s">
        <v>221</v>
      </c>
      <c r="E519" s="55">
        <v>6.0</v>
      </c>
      <c r="F519" s="56"/>
      <c r="G519" s="55" t="s">
        <v>167</v>
      </c>
      <c r="H519" s="55"/>
      <c r="I519" s="56"/>
      <c r="J519" s="53"/>
      <c r="K519" s="55"/>
      <c r="L519" s="55"/>
      <c r="M519" s="53"/>
      <c r="N519" s="53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48">
        <v>44749.0</v>
      </c>
      <c r="B520" s="63">
        <v>2108.0</v>
      </c>
      <c r="C520" s="50" t="s">
        <v>75</v>
      </c>
      <c r="D520" s="50" t="s">
        <v>542</v>
      </c>
      <c r="E520" s="50">
        <v>1.0</v>
      </c>
      <c r="F520" s="51"/>
      <c r="G520" s="50" t="s">
        <v>167</v>
      </c>
      <c r="H520" s="50"/>
      <c r="I520" s="51"/>
      <c r="J520" s="48"/>
      <c r="K520" s="50"/>
      <c r="L520" s="50"/>
      <c r="M520" s="48"/>
      <c r="N520" s="4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53">
        <v>44749.0</v>
      </c>
      <c r="B521" s="61">
        <v>2108.0</v>
      </c>
      <c r="C521" s="55" t="s">
        <v>75</v>
      </c>
      <c r="D521" s="55" t="s">
        <v>1672</v>
      </c>
      <c r="E521" s="55">
        <v>100.0</v>
      </c>
      <c r="F521" s="56"/>
      <c r="G521" s="55" t="s">
        <v>167</v>
      </c>
      <c r="H521" s="55"/>
      <c r="I521" s="56"/>
      <c r="J521" s="53"/>
      <c r="K521" s="55"/>
      <c r="L521" s="55"/>
      <c r="M521" s="53"/>
      <c r="N521" s="53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48">
        <v>44749.0</v>
      </c>
      <c r="B522" s="60">
        <v>2108.0</v>
      </c>
      <c r="C522" s="50" t="s">
        <v>75</v>
      </c>
      <c r="D522" s="50" t="s">
        <v>1169</v>
      </c>
      <c r="E522" s="50">
        <v>150.0</v>
      </c>
      <c r="F522" s="51"/>
      <c r="G522" s="50" t="s">
        <v>167</v>
      </c>
      <c r="H522" s="50"/>
      <c r="I522" s="51"/>
      <c r="J522" s="48"/>
      <c r="K522" s="50"/>
      <c r="L522" s="50"/>
      <c r="M522" s="48"/>
      <c r="N522" s="4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53">
        <v>44749.0</v>
      </c>
      <c r="B523" s="54">
        <v>2110.0</v>
      </c>
      <c r="C523" s="55" t="s">
        <v>164</v>
      </c>
      <c r="D523" s="55" t="s">
        <v>1673</v>
      </c>
      <c r="E523" s="55">
        <v>50.0</v>
      </c>
      <c r="F523" s="56">
        <v>1976.5</v>
      </c>
      <c r="G523" s="55" t="str">
        <f t="shared" ref="G523:G528" si="10">IF($K523&lt;&gt;"","FATURADO",IF($L523&lt;&gt;"","GANHOU"," "))</f>
        <v>FATURADO</v>
      </c>
      <c r="H523" s="55"/>
      <c r="I523" s="56">
        <v>1976.5</v>
      </c>
      <c r="J523" s="53">
        <v>44755.0</v>
      </c>
      <c r="K523" s="55">
        <v>1865.0</v>
      </c>
      <c r="L523" s="55">
        <v>4.500401428E9</v>
      </c>
      <c r="M523" s="53">
        <v>44762.0</v>
      </c>
      <c r="N523" s="53">
        <v>44786.0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48">
        <v>44750.0</v>
      </c>
      <c r="B524" s="49">
        <v>2111.0</v>
      </c>
      <c r="C524" s="50" t="s">
        <v>164</v>
      </c>
      <c r="D524" s="50" t="s">
        <v>1674</v>
      </c>
      <c r="E524" s="50">
        <v>100.0</v>
      </c>
      <c r="F524" s="51">
        <v>351.0</v>
      </c>
      <c r="G524" s="50" t="str">
        <f t="shared" si="10"/>
        <v>FATURADO</v>
      </c>
      <c r="H524" s="50"/>
      <c r="I524" s="51">
        <v>351.0</v>
      </c>
      <c r="J524" s="48">
        <v>44761.0</v>
      </c>
      <c r="K524" s="50">
        <v>1869.0</v>
      </c>
      <c r="L524" s="50">
        <v>4.500401393E9</v>
      </c>
      <c r="M524" s="48">
        <v>44761.0</v>
      </c>
      <c r="N524" s="48">
        <v>44792.0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53">
        <v>44750.0</v>
      </c>
      <c r="B525" s="61">
        <v>2111.0</v>
      </c>
      <c r="C525" s="55" t="s">
        <v>164</v>
      </c>
      <c r="D525" s="55" t="s">
        <v>24</v>
      </c>
      <c r="E525" s="55">
        <v>30.0</v>
      </c>
      <c r="F525" s="56">
        <v>1050.0</v>
      </c>
      <c r="G525" s="55" t="str">
        <f t="shared" si="10"/>
        <v>FATURADO</v>
      </c>
      <c r="H525" s="55"/>
      <c r="I525" s="56">
        <v>1050.0</v>
      </c>
      <c r="J525" s="53">
        <v>44761.0</v>
      </c>
      <c r="K525" s="55">
        <v>1869.0</v>
      </c>
      <c r="L525" s="55">
        <v>4.500401393E9</v>
      </c>
      <c r="M525" s="53">
        <v>44761.0</v>
      </c>
      <c r="N525" s="53">
        <v>44792.0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48">
        <v>44750.0</v>
      </c>
      <c r="B526" s="60">
        <v>2111.0</v>
      </c>
      <c r="C526" s="50" t="s">
        <v>164</v>
      </c>
      <c r="D526" s="50" t="s">
        <v>24</v>
      </c>
      <c r="E526" s="50">
        <v>70.0</v>
      </c>
      <c r="F526" s="51">
        <v>2450.0</v>
      </c>
      <c r="G526" s="50" t="str">
        <f t="shared" si="10"/>
        <v>FATURADO</v>
      </c>
      <c r="H526" s="50"/>
      <c r="I526" s="51">
        <v>2450.0</v>
      </c>
      <c r="J526" s="48">
        <v>44825.0</v>
      </c>
      <c r="K526" s="50">
        <v>1935.0</v>
      </c>
      <c r="L526" s="50">
        <v>4.500401393E9</v>
      </c>
      <c r="M526" s="48">
        <v>44761.0</v>
      </c>
      <c r="N526" s="48">
        <v>44855.0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53">
        <v>44750.0</v>
      </c>
      <c r="B527" s="67">
        <v>2112.0</v>
      </c>
      <c r="C527" s="55" t="s">
        <v>164</v>
      </c>
      <c r="D527" s="55" t="s">
        <v>1051</v>
      </c>
      <c r="E527" s="55">
        <v>150.0</v>
      </c>
      <c r="F527" s="56">
        <v>2262.03</v>
      </c>
      <c r="G527" s="55" t="str">
        <f t="shared" si="10"/>
        <v>FATURADO</v>
      </c>
      <c r="H527" s="55"/>
      <c r="I527" s="56">
        <v>2262.0</v>
      </c>
      <c r="J527" s="53">
        <v>44781.0</v>
      </c>
      <c r="K527" s="55">
        <v>1898.0</v>
      </c>
      <c r="L527" s="55">
        <v>4.500401542E9</v>
      </c>
      <c r="M527" s="53">
        <v>44785.0</v>
      </c>
      <c r="N527" s="53">
        <v>44812.0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48">
        <v>44753.0</v>
      </c>
      <c r="B528" s="57">
        <v>2113.0</v>
      </c>
      <c r="C528" s="50" t="s">
        <v>1569</v>
      </c>
      <c r="D528" s="50" t="s">
        <v>1675</v>
      </c>
      <c r="E528" s="50">
        <v>6.0</v>
      </c>
      <c r="F528" s="51">
        <v>49438.18</v>
      </c>
      <c r="G528" s="50" t="str">
        <f t="shared" si="10"/>
        <v>FATURADO</v>
      </c>
      <c r="H528" s="50"/>
      <c r="I528" s="51">
        <v>49438.18</v>
      </c>
      <c r="J528" s="48">
        <v>44834.0</v>
      </c>
      <c r="K528" s="50">
        <v>1945.0</v>
      </c>
      <c r="L528" s="50">
        <v>5.20208036E9</v>
      </c>
      <c r="M528" s="48">
        <v>44809.0</v>
      </c>
      <c r="N528" s="48">
        <v>44880.0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53">
        <v>44753.0</v>
      </c>
      <c r="B529" s="59">
        <v>2121.0</v>
      </c>
      <c r="C529" s="55" t="s">
        <v>164</v>
      </c>
      <c r="D529" s="55" t="s">
        <v>1676</v>
      </c>
      <c r="E529" s="55">
        <v>20.0</v>
      </c>
      <c r="F529" s="56">
        <v>424.99</v>
      </c>
      <c r="G529" s="55" t="s">
        <v>167</v>
      </c>
      <c r="H529" s="55"/>
      <c r="I529" s="56"/>
      <c r="J529" s="53"/>
      <c r="K529" s="55"/>
      <c r="L529" s="55"/>
      <c r="M529" s="53"/>
      <c r="N529" s="53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48">
        <v>44753.0</v>
      </c>
      <c r="B530" s="63">
        <v>2121.0</v>
      </c>
      <c r="C530" s="50" t="s">
        <v>164</v>
      </c>
      <c r="D530" s="50" t="s">
        <v>1677</v>
      </c>
      <c r="E530" s="50">
        <v>20.0</v>
      </c>
      <c r="F530" s="51">
        <v>424.99</v>
      </c>
      <c r="G530" s="50" t="s">
        <v>167</v>
      </c>
      <c r="H530" s="50"/>
      <c r="I530" s="51"/>
      <c r="J530" s="48"/>
      <c r="K530" s="50"/>
      <c r="L530" s="50"/>
      <c r="M530" s="48"/>
      <c r="N530" s="4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53">
        <v>44753.0</v>
      </c>
      <c r="B531" s="61">
        <v>2121.0</v>
      </c>
      <c r="C531" s="55" t="s">
        <v>164</v>
      </c>
      <c r="D531" s="55" t="s">
        <v>1678</v>
      </c>
      <c r="E531" s="55">
        <v>20.0</v>
      </c>
      <c r="F531" s="56">
        <v>424.99</v>
      </c>
      <c r="G531" s="55" t="s">
        <v>167</v>
      </c>
      <c r="H531" s="55"/>
      <c r="I531" s="56"/>
      <c r="J531" s="53"/>
      <c r="K531" s="55"/>
      <c r="L531" s="55"/>
      <c r="M531" s="53"/>
      <c r="N531" s="53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48">
        <v>44753.0</v>
      </c>
      <c r="B532" s="63">
        <v>2121.0</v>
      </c>
      <c r="C532" s="50" t="s">
        <v>164</v>
      </c>
      <c r="D532" s="50" t="s">
        <v>1679</v>
      </c>
      <c r="E532" s="50">
        <v>20.0</v>
      </c>
      <c r="F532" s="51">
        <v>424.99</v>
      </c>
      <c r="G532" s="50" t="s">
        <v>167</v>
      </c>
      <c r="H532" s="50"/>
      <c r="I532" s="51"/>
      <c r="J532" s="48"/>
      <c r="K532" s="50"/>
      <c r="L532" s="50"/>
      <c r="M532" s="48"/>
      <c r="N532" s="4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53">
        <v>44753.0</v>
      </c>
      <c r="B533" s="54">
        <v>2121.0</v>
      </c>
      <c r="C533" s="55" t="s">
        <v>164</v>
      </c>
      <c r="D533" s="55" t="s">
        <v>1680</v>
      </c>
      <c r="E533" s="55">
        <v>20.0</v>
      </c>
      <c r="F533" s="56">
        <v>424.99</v>
      </c>
      <c r="G533" s="55" t="s">
        <v>167</v>
      </c>
      <c r="H533" s="55"/>
      <c r="I533" s="56"/>
      <c r="J533" s="53"/>
      <c r="K533" s="55"/>
      <c r="L533" s="55"/>
      <c r="M533" s="53"/>
      <c r="N533" s="53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48">
        <v>44754.0</v>
      </c>
      <c r="B534" s="57">
        <v>2117.0</v>
      </c>
      <c r="C534" s="50" t="s">
        <v>1681</v>
      </c>
      <c r="D534" s="64" t="s">
        <v>1682</v>
      </c>
      <c r="E534" s="50">
        <v>2.0</v>
      </c>
      <c r="F534" s="51"/>
      <c r="G534" s="50" t="s">
        <v>167</v>
      </c>
      <c r="H534" s="52" t="s">
        <v>1683</v>
      </c>
      <c r="I534" s="51"/>
      <c r="J534" s="48"/>
      <c r="K534" s="50"/>
      <c r="L534" s="50"/>
      <c r="M534" s="48"/>
      <c r="N534" s="4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53">
        <v>44754.0</v>
      </c>
      <c r="B535" s="55"/>
      <c r="C535" s="55" t="s">
        <v>77</v>
      </c>
      <c r="D535" s="66" t="s">
        <v>1684</v>
      </c>
      <c r="E535" s="55">
        <v>1.0</v>
      </c>
      <c r="F535" s="56"/>
      <c r="G535" s="55" t="s">
        <v>167</v>
      </c>
      <c r="H535" s="55"/>
      <c r="I535" s="56"/>
      <c r="J535" s="53"/>
      <c r="K535" s="55"/>
      <c r="L535" s="55"/>
      <c r="M535" s="53"/>
      <c r="N535" s="53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48">
        <v>44757.0</v>
      </c>
      <c r="B536" s="50"/>
      <c r="C536" s="50" t="s">
        <v>164</v>
      </c>
      <c r="D536" s="50" t="s">
        <v>1685</v>
      </c>
      <c r="E536" s="50">
        <v>12.0</v>
      </c>
      <c r="F536" s="51"/>
      <c r="G536" s="50" t="s">
        <v>167</v>
      </c>
      <c r="H536" s="50"/>
      <c r="I536" s="51"/>
      <c r="J536" s="48"/>
      <c r="K536" s="50"/>
      <c r="L536" s="50"/>
      <c r="M536" s="48"/>
      <c r="N536" s="4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53">
        <v>44757.0</v>
      </c>
      <c r="B537" s="55"/>
      <c r="C537" s="55" t="s">
        <v>707</v>
      </c>
      <c r="D537" s="55" t="s">
        <v>1686</v>
      </c>
      <c r="E537" s="55">
        <v>1.0</v>
      </c>
      <c r="F537" s="56"/>
      <c r="G537" s="55" t="s">
        <v>167</v>
      </c>
      <c r="H537" s="55"/>
      <c r="I537" s="56"/>
      <c r="J537" s="53"/>
      <c r="K537" s="55"/>
      <c r="L537" s="55"/>
      <c r="M537" s="53"/>
      <c r="N537" s="53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48">
        <v>44760.0</v>
      </c>
      <c r="B538" s="50"/>
      <c r="C538" s="50" t="s">
        <v>164</v>
      </c>
      <c r="D538" s="50" t="s">
        <v>1687</v>
      </c>
      <c r="E538" s="50">
        <v>1.0</v>
      </c>
      <c r="F538" s="51"/>
      <c r="G538" s="50" t="s">
        <v>167</v>
      </c>
      <c r="H538" s="50"/>
      <c r="I538" s="51"/>
      <c r="J538" s="48"/>
      <c r="K538" s="50"/>
      <c r="L538" s="50"/>
      <c r="M538" s="48"/>
      <c r="N538" s="4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53">
        <v>44760.0</v>
      </c>
      <c r="B539" s="55"/>
      <c r="C539" s="55" t="s">
        <v>1688</v>
      </c>
      <c r="D539" s="55" t="s">
        <v>1689</v>
      </c>
      <c r="E539" s="55">
        <v>1.0</v>
      </c>
      <c r="F539" s="56"/>
      <c r="G539" s="55" t="s">
        <v>167</v>
      </c>
      <c r="H539" s="55"/>
      <c r="I539" s="56"/>
      <c r="J539" s="53"/>
      <c r="K539" s="55"/>
      <c r="L539" s="55"/>
      <c r="M539" s="53"/>
      <c r="N539" s="53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48">
        <v>44760.0</v>
      </c>
      <c r="B540" s="57">
        <v>2127.0</v>
      </c>
      <c r="C540" s="50" t="s">
        <v>75</v>
      </c>
      <c r="D540" s="50" t="s">
        <v>1690</v>
      </c>
      <c r="E540" s="50">
        <v>100.0</v>
      </c>
      <c r="F540" s="51">
        <v>2214.69</v>
      </c>
      <c r="G540" s="50" t="s">
        <v>167</v>
      </c>
      <c r="H540" s="50"/>
      <c r="I540" s="51"/>
      <c r="J540" s="48"/>
      <c r="K540" s="50"/>
      <c r="L540" s="50"/>
      <c r="M540" s="48"/>
      <c r="N540" s="4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53">
        <v>44761.0</v>
      </c>
      <c r="B541" s="67">
        <v>2131.0</v>
      </c>
      <c r="C541" s="55" t="s">
        <v>44</v>
      </c>
      <c r="D541" s="55" t="s">
        <v>1691</v>
      </c>
      <c r="E541" s="55">
        <v>4.0</v>
      </c>
      <c r="F541" s="56">
        <v>4396.94</v>
      </c>
      <c r="G541" s="55" t="str">
        <f>IF($K541&lt;&gt;"","FATURADO",IF($L541&lt;&gt;"","GANHOU"," "))</f>
        <v>FATURADO</v>
      </c>
      <c r="H541" s="55"/>
      <c r="I541" s="56">
        <v>4396.94</v>
      </c>
      <c r="J541" s="53">
        <v>44817.0</v>
      </c>
      <c r="K541" s="55">
        <v>1926.0</v>
      </c>
      <c r="L541" s="55">
        <v>4.501578898E9</v>
      </c>
      <c r="M541" s="53">
        <v>44796.0</v>
      </c>
      <c r="N541" s="53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48">
        <v>44762.0</v>
      </c>
      <c r="B542" s="57">
        <v>2132.0</v>
      </c>
      <c r="C542" s="50" t="s">
        <v>1692</v>
      </c>
      <c r="D542" s="50" t="s">
        <v>1693</v>
      </c>
      <c r="E542" s="50">
        <v>130.0</v>
      </c>
      <c r="F542" s="51">
        <v>130978.5</v>
      </c>
      <c r="G542" s="50" t="s">
        <v>167</v>
      </c>
      <c r="H542" s="50"/>
      <c r="I542" s="51"/>
      <c r="J542" s="48"/>
      <c r="K542" s="50"/>
      <c r="L542" s="50"/>
      <c r="M542" s="48"/>
      <c r="N542" s="4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53">
        <v>44762.0</v>
      </c>
      <c r="B543" s="67">
        <v>2133.0</v>
      </c>
      <c r="C543" s="55" t="s">
        <v>1694</v>
      </c>
      <c r="D543" s="55" t="s">
        <v>1693</v>
      </c>
      <c r="E543" s="55">
        <v>130.0</v>
      </c>
      <c r="F543" s="56">
        <v>130978.5</v>
      </c>
      <c r="G543" s="55" t="s">
        <v>167</v>
      </c>
      <c r="H543" s="55"/>
      <c r="I543" s="56"/>
      <c r="J543" s="53"/>
      <c r="K543" s="55"/>
      <c r="L543" s="55"/>
      <c r="M543" s="53"/>
      <c r="N543" s="53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48">
        <v>44763.0</v>
      </c>
      <c r="B544" s="50"/>
      <c r="C544" s="50" t="s">
        <v>1695</v>
      </c>
      <c r="D544" s="64" t="s">
        <v>1696</v>
      </c>
      <c r="E544" s="50">
        <v>1.0</v>
      </c>
      <c r="F544" s="51"/>
      <c r="G544" s="50" t="s">
        <v>167</v>
      </c>
      <c r="H544" s="50"/>
      <c r="I544" s="51"/>
      <c r="J544" s="48"/>
      <c r="K544" s="50"/>
      <c r="L544" s="50"/>
      <c r="M544" s="48"/>
      <c r="N544" s="4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53">
        <v>44763.0</v>
      </c>
      <c r="B545" s="59" t="s">
        <v>1697</v>
      </c>
      <c r="C545" s="55" t="s">
        <v>1569</v>
      </c>
      <c r="D545" s="55" t="s">
        <v>1698</v>
      </c>
      <c r="E545" s="55">
        <v>8.0</v>
      </c>
      <c r="F545" s="56">
        <v>65917.52</v>
      </c>
      <c r="G545" s="55" t="str">
        <f t="shared" ref="G545:G547" si="11">IF($K545&lt;&gt;"","FATURADO",IF($L545&lt;&gt;"","GANHOU"," "))</f>
        <v>FATURADO</v>
      </c>
      <c r="H545" s="55"/>
      <c r="I545" s="56">
        <v>65917.52</v>
      </c>
      <c r="J545" s="53">
        <v>44834.0</v>
      </c>
      <c r="K545" s="55">
        <v>1946.0</v>
      </c>
      <c r="L545" s="55">
        <v>5.202084099E9</v>
      </c>
      <c r="M545" s="53"/>
      <c r="N545" s="53">
        <v>44880.0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48">
        <v>44763.0</v>
      </c>
      <c r="B546" s="63" t="s">
        <v>1697</v>
      </c>
      <c r="C546" s="50" t="s">
        <v>1569</v>
      </c>
      <c r="D546" s="50" t="s">
        <v>1698</v>
      </c>
      <c r="E546" s="50">
        <v>8.0</v>
      </c>
      <c r="F546" s="51">
        <v>65917.52</v>
      </c>
      <c r="G546" s="50" t="str">
        <f t="shared" si="11"/>
        <v>FATURADO</v>
      </c>
      <c r="H546" s="50"/>
      <c r="I546" s="51">
        <v>65917.52</v>
      </c>
      <c r="J546" s="48">
        <v>44858.0</v>
      </c>
      <c r="K546" s="50">
        <v>1965.0</v>
      </c>
      <c r="L546" s="50">
        <v>5.202084099E9</v>
      </c>
      <c r="M546" s="48">
        <v>44823.0</v>
      </c>
      <c r="N546" s="48">
        <v>44904.0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53">
        <v>44763.0</v>
      </c>
      <c r="B547" s="54" t="s">
        <v>1697</v>
      </c>
      <c r="C547" s="55" t="s">
        <v>1569</v>
      </c>
      <c r="D547" s="55" t="s">
        <v>1698</v>
      </c>
      <c r="E547" s="55">
        <v>8.0</v>
      </c>
      <c r="F547" s="56">
        <v>65917.52</v>
      </c>
      <c r="G547" s="55" t="str">
        <f t="shared" si="11"/>
        <v>FATURADO</v>
      </c>
      <c r="H547" s="55"/>
      <c r="I547" s="56">
        <v>65917.52</v>
      </c>
      <c r="J547" s="53">
        <v>44937.0</v>
      </c>
      <c r="K547" s="55">
        <v>2038.0</v>
      </c>
      <c r="L547" s="55">
        <v>5.202084099E9</v>
      </c>
      <c r="M547" s="53">
        <v>44823.0</v>
      </c>
      <c r="N547" s="53">
        <v>44984.0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48">
        <v>44763.0</v>
      </c>
      <c r="B548" s="63">
        <v>2137.0</v>
      </c>
      <c r="C548" s="50" t="s">
        <v>46</v>
      </c>
      <c r="D548" s="50" t="s">
        <v>1699</v>
      </c>
      <c r="E548" s="50">
        <v>1.0</v>
      </c>
      <c r="F548" s="51">
        <v>1359.89</v>
      </c>
      <c r="G548" s="50" t="s">
        <v>167</v>
      </c>
      <c r="H548" s="50"/>
      <c r="I548" s="51"/>
      <c r="J548" s="48"/>
      <c r="K548" s="50"/>
      <c r="L548" s="50"/>
      <c r="M548" s="48"/>
      <c r="N548" s="4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53">
        <v>44763.0</v>
      </c>
      <c r="B549" s="61">
        <v>2137.0</v>
      </c>
      <c r="C549" s="55" t="s">
        <v>46</v>
      </c>
      <c r="D549" s="55" t="s">
        <v>1700</v>
      </c>
      <c r="E549" s="55">
        <v>1.0</v>
      </c>
      <c r="F549" s="56">
        <v>194.52</v>
      </c>
      <c r="G549" s="55" t="s">
        <v>167</v>
      </c>
      <c r="H549" s="55"/>
      <c r="I549" s="56"/>
      <c r="J549" s="53"/>
      <c r="K549" s="55"/>
      <c r="L549" s="55"/>
      <c r="M549" s="53"/>
      <c r="N549" s="53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48">
        <v>44763.0</v>
      </c>
      <c r="B550" s="63">
        <v>2137.0</v>
      </c>
      <c r="C550" s="50" t="s">
        <v>46</v>
      </c>
      <c r="D550" s="50" t="s">
        <v>1701</v>
      </c>
      <c r="E550" s="50">
        <v>1.0</v>
      </c>
      <c r="F550" s="51">
        <v>1119.15</v>
      </c>
      <c r="G550" s="50" t="s">
        <v>167</v>
      </c>
      <c r="H550" s="50"/>
      <c r="I550" s="51"/>
      <c r="J550" s="48"/>
      <c r="K550" s="50"/>
      <c r="L550" s="50"/>
      <c r="M550" s="48"/>
      <c r="N550" s="4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53">
        <v>44763.0</v>
      </c>
      <c r="B551" s="54">
        <v>2137.0</v>
      </c>
      <c r="C551" s="55" t="s">
        <v>46</v>
      </c>
      <c r="D551" s="55" t="s">
        <v>1702</v>
      </c>
      <c r="E551" s="55">
        <v>1.0</v>
      </c>
      <c r="F551" s="56">
        <v>9523.34</v>
      </c>
      <c r="G551" s="55" t="s">
        <v>167</v>
      </c>
      <c r="H551" s="55"/>
      <c r="I551" s="56"/>
      <c r="J551" s="53"/>
      <c r="K551" s="55"/>
      <c r="L551" s="55"/>
      <c r="M551" s="53"/>
      <c r="N551" s="53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48">
        <v>44764.0</v>
      </c>
      <c r="B552" s="57">
        <v>2147.0</v>
      </c>
      <c r="C552" s="50" t="s">
        <v>1703</v>
      </c>
      <c r="D552" s="50" t="s">
        <v>1704</v>
      </c>
      <c r="E552" s="50">
        <v>2.0</v>
      </c>
      <c r="F552" s="51">
        <v>772.7</v>
      </c>
      <c r="G552" s="50" t="str">
        <f t="shared" ref="G552:G553" si="12">IF($K552&lt;&gt;"","FATURADO",IF($L552&lt;&gt;"","GANHOU"," "))</f>
        <v>FATURADO</v>
      </c>
      <c r="H552" s="50"/>
      <c r="I552" s="51">
        <v>772.7</v>
      </c>
      <c r="J552" s="48">
        <v>44768.0</v>
      </c>
      <c r="K552" s="50">
        <v>1881.0</v>
      </c>
      <c r="L552" s="50"/>
      <c r="M552" s="48"/>
      <c r="N552" s="4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53">
        <v>44768.0</v>
      </c>
      <c r="B553" s="67">
        <v>2142.0</v>
      </c>
      <c r="C553" s="55" t="s">
        <v>1705</v>
      </c>
      <c r="D553" s="55" t="s">
        <v>1706</v>
      </c>
      <c r="E553" s="55">
        <v>3.0</v>
      </c>
      <c r="F553" s="56">
        <v>860.32</v>
      </c>
      <c r="G553" s="55" t="str">
        <f t="shared" si="12"/>
        <v>FATURADO</v>
      </c>
      <c r="H553" s="55"/>
      <c r="I553" s="56">
        <v>860.32</v>
      </c>
      <c r="J553" s="53">
        <v>44771.0</v>
      </c>
      <c r="K553" s="55">
        <v>1882.0</v>
      </c>
      <c r="L553" s="55"/>
      <c r="M553" s="53"/>
      <c r="N553" s="53">
        <v>44802.0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48">
        <v>44768.0</v>
      </c>
      <c r="B554" s="49">
        <v>2143.0</v>
      </c>
      <c r="C554" s="50" t="s">
        <v>44</v>
      </c>
      <c r="D554" s="50" t="s">
        <v>1707</v>
      </c>
      <c r="E554" s="50">
        <v>70.0</v>
      </c>
      <c r="F554" s="51">
        <v>1975.4</v>
      </c>
      <c r="G554" s="50" t="s">
        <v>167</v>
      </c>
      <c r="H554" s="50"/>
      <c r="I554" s="51"/>
      <c r="J554" s="48"/>
      <c r="K554" s="50"/>
      <c r="L554" s="50"/>
      <c r="M554" s="48"/>
      <c r="N554" s="4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53">
        <v>44768.0</v>
      </c>
      <c r="B555" s="61">
        <v>2143.0</v>
      </c>
      <c r="C555" s="55" t="s">
        <v>44</v>
      </c>
      <c r="D555" s="55" t="s">
        <v>278</v>
      </c>
      <c r="E555" s="55">
        <v>70.0</v>
      </c>
      <c r="F555" s="56">
        <v>920.96</v>
      </c>
      <c r="G555" s="55" t="s">
        <v>167</v>
      </c>
      <c r="H555" s="55"/>
      <c r="I555" s="56"/>
      <c r="J555" s="53"/>
      <c r="K555" s="55"/>
      <c r="L555" s="55"/>
      <c r="M555" s="53"/>
      <c r="N555" s="53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48">
        <v>44768.0</v>
      </c>
      <c r="B556" s="60">
        <v>2143.0</v>
      </c>
      <c r="C556" s="50" t="s">
        <v>44</v>
      </c>
      <c r="D556" s="50" t="s">
        <v>24</v>
      </c>
      <c r="E556" s="50">
        <v>100.0</v>
      </c>
      <c r="F556" s="51">
        <v>3267.9</v>
      </c>
      <c r="G556" s="50" t="s">
        <v>167</v>
      </c>
      <c r="H556" s="50"/>
      <c r="I556" s="51"/>
      <c r="J556" s="48"/>
      <c r="K556" s="50"/>
      <c r="L556" s="50"/>
      <c r="M556" s="48"/>
      <c r="N556" s="4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53">
        <v>44768.0</v>
      </c>
      <c r="B557" s="59">
        <v>2144.0</v>
      </c>
      <c r="C557" s="55" t="s">
        <v>44</v>
      </c>
      <c r="D557" s="55" t="s">
        <v>1707</v>
      </c>
      <c r="E557" s="55">
        <v>70.0</v>
      </c>
      <c r="F557" s="56">
        <v>1975.4</v>
      </c>
      <c r="G557" s="55" t="s">
        <v>167</v>
      </c>
      <c r="H557" s="55"/>
      <c r="I557" s="56"/>
      <c r="J557" s="53"/>
      <c r="K557" s="55"/>
      <c r="L557" s="55"/>
      <c r="M557" s="53"/>
      <c r="N557" s="53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48">
        <v>44768.0</v>
      </c>
      <c r="B558" s="63">
        <v>2144.0</v>
      </c>
      <c r="C558" s="50" t="s">
        <v>44</v>
      </c>
      <c r="D558" s="50" t="s">
        <v>278</v>
      </c>
      <c r="E558" s="50">
        <v>70.0</v>
      </c>
      <c r="F558" s="51">
        <v>920.96</v>
      </c>
      <c r="G558" s="50" t="s">
        <v>167</v>
      </c>
      <c r="H558" s="50"/>
      <c r="I558" s="51"/>
      <c r="J558" s="48"/>
      <c r="K558" s="50"/>
      <c r="L558" s="50"/>
      <c r="M558" s="48"/>
      <c r="N558" s="4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53">
        <v>44768.0</v>
      </c>
      <c r="B559" s="54">
        <v>2144.0</v>
      </c>
      <c r="C559" s="55" t="s">
        <v>44</v>
      </c>
      <c r="D559" s="55" t="s">
        <v>24</v>
      </c>
      <c r="E559" s="55">
        <v>100.0</v>
      </c>
      <c r="F559" s="56">
        <v>3267.9</v>
      </c>
      <c r="G559" s="55" t="s">
        <v>167</v>
      </c>
      <c r="H559" s="55"/>
      <c r="I559" s="56"/>
      <c r="J559" s="53"/>
      <c r="K559" s="55"/>
      <c r="L559" s="55"/>
      <c r="M559" s="53"/>
      <c r="N559" s="53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48">
        <v>44768.0</v>
      </c>
      <c r="B560" s="49">
        <v>2145.0</v>
      </c>
      <c r="C560" s="50" t="s">
        <v>44</v>
      </c>
      <c r="D560" s="50" t="s">
        <v>1707</v>
      </c>
      <c r="E560" s="50">
        <v>70.0</v>
      </c>
      <c r="F560" s="51">
        <v>1975.4</v>
      </c>
      <c r="G560" s="50" t="s">
        <v>167</v>
      </c>
      <c r="H560" s="50"/>
      <c r="I560" s="51"/>
      <c r="J560" s="48"/>
      <c r="K560" s="50"/>
      <c r="L560" s="50"/>
      <c r="M560" s="48"/>
      <c r="N560" s="4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53">
        <v>44768.0</v>
      </c>
      <c r="B561" s="61">
        <v>2145.0</v>
      </c>
      <c r="C561" s="55" t="s">
        <v>44</v>
      </c>
      <c r="D561" s="55" t="s">
        <v>278</v>
      </c>
      <c r="E561" s="55">
        <v>70.0</v>
      </c>
      <c r="F561" s="56">
        <v>920.96</v>
      </c>
      <c r="G561" s="55" t="s">
        <v>167</v>
      </c>
      <c r="H561" s="55"/>
      <c r="I561" s="56"/>
      <c r="J561" s="53"/>
      <c r="K561" s="55"/>
      <c r="L561" s="55"/>
      <c r="M561" s="53"/>
      <c r="N561" s="53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48">
        <v>44768.0</v>
      </c>
      <c r="B562" s="60">
        <v>2145.0</v>
      </c>
      <c r="C562" s="50" t="s">
        <v>44</v>
      </c>
      <c r="D562" s="50" t="s">
        <v>24</v>
      </c>
      <c r="E562" s="50">
        <v>100.0</v>
      </c>
      <c r="F562" s="51">
        <v>3267.9</v>
      </c>
      <c r="G562" s="50" t="s">
        <v>167</v>
      </c>
      <c r="H562" s="50"/>
      <c r="I562" s="51"/>
      <c r="J562" s="48"/>
      <c r="K562" s="50"/>
      <c r="L562" s="50"/>
      <c r="M562" s="48"/>
      <c r="N562" s="4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53">
        <v>44768.0</v>
      </c>
      <c r="B563" s="59">
        <v>2146.0</v>
      </c>
      <c r="C563" s="55" t="s">
        <v>44</v>
      </c>
      <c r="D563" s="55" t="s">
        <v>1707</v>
      </c>
      <c r="E563" s="55">
        <v>70.0</v>
      </c>
      <c r="F563" s="56">
        <v>1975.4</v>
      </c>
      <c r="G563" s="55" t="s">
        <v>167</v>
      </c>
      <c r="H563" s="55"/>
      <c r="I563" s="56"/>
      <c r="J563" s="53"/>
      <c r="K563" s="55"/>
      <c r="L563" s="55"/>
      <c r="M563" s="53"/>
      <c r="N563" s="53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48">
        <v>44768.0</v>
      </c>
      <c r="B564" s="63">
        <v>2146.0</v>
      </c>
      <c r="C564" s="50" t="s">
        <v>44</v>
      </c>
      <c r="D564" s="50" t="s">
        <v>278</v>
      </c>
      <c r="E564" s="50">
        <v>70.0</v>
      </c>
      <c r="F564" s="51">
        <v>920.96</v>
      </c>
      <c r="G564" s="50" t="s">
        <v>167</v>
      </c>
      <c r="H564" s="50"/>
      <c r="I564" s="51"/>
      <c r="J564" s="48"/>
      <c r="K564" s="50"/>
      <c r="L564" s="50"/>
      <c r="M564" s="48"/>
      <c r="N564" s="4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53">
        <v>44768.0</v>
      </c>
      <c r="B565" s="54">
        <v>2146.0</v>
      </c>
      <c r="C565" s="55" t="s">
        <v>44</v>
      </c>
      <c r="D565" s="55" t="s">
        <v>24</v>
      </c>
      <c r="E565" s="55">
        <v>100.0</v>
      </c>
      <c r="F565" s="56">
        <v>3267.9</v>
      </c>
      <c r="G565" s="55" t="s">
        <v>167</v>
      </c>
      <c r="H565" s="55"/>
      <c r="I565" s="56"/>
      <c r="J565" s="53"/>
      <c r="K565" s="55"/>
      <c r="L565" s="55"/>
      <c r="M565" s="53"/>
      <c r="N565" s="53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48">
        <v>44769.0</v>
      </c>
      <c r="B566" s="57">
        <v>2149.0</v>
      </c>
      <c r="C566" s="50" t="s">
        <v>1549</v>
      </c>
      <c r="D566" s="50" t="s">
        <v>1708</v>
      </c>
      <c r="E566" s="50">
        <v>1.0</v>
      </c>
      <c r="F566" s="51">
        <v>5804.35</v>
      </c>
      <c r="G566" s="50" t="s">
        <v>167</v>
      </c>
      <c r="H566" s="52" t="s">
        <v>1709</v>
      </c>
      <c r="I566" s="51"/>
      <c r="J566" s="48"/>
      <c r="K566" s="50"/>
      <c r="L566" s="50"/>
      <c r="M566" s="48"/>
      <c r="N566" s="4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53">
        <v>44769.0</v>
      </c>
      <c r="B567" s="55"/>
      <c r="C567" s="55" t="s">
        <v>46</v>
      </c>
      <c r="D567" s="55" t="s">
        <v>1710</v>
      </c>
      <c r="E567" s="55">
        <v>1.0</v>
      </c>
      <c r="F567" s="56"/>
      <c r="G567" s="55" t="s">
        <v>167</v>
      </c>
      <c r="H567" s="55"/>
      <c r="I567" s="56"/>
      <c r="J567" s="53"/>
      <c r="K567" s="55"/>
      <c r="L567" s="55"/>
      <c r="M567" s="53"/>
      <c r="N567" s="53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48">
        <v>44769.0</v>
      </c>
      <c r="B568" s="57">
        <v>2152.0</v>
      </c>
      <c r="C568" s="50" t="s">
        <v>1711</v>
      </c>
      <c r="D568" s="50" t="s">
        <v>1712</v>
      </c>
      <c r="E568" s="50">
        <v>1.0</v>
      </c>
      <c r="F568" s="51">
        <v>5090.27</v>
      </c>
      <c r="G568" s="50" t="s">
        <v>1560</v>
      </c>
      <c r="H568" s="52" t="s">
        <v>1713</v>
      </c>
      <c r="I568" s="51"/>
      <c r="J568" s="48"/>
      <c r="K568" s="50"/>
      <c r="L568" s="50">
        <v>9.05238927E8</v>
      </c>
      <c r="M568" s="48">
        <v>44945.0</v>
      </c>
      <c r="N568" s="4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53">
        <v>44769.0</v>
      </c>
      <c r="B569" s="59">
        <v>2153.0</v>
      </c>
      <c r="C569" s="55" t="s">
        <v>75</v>
      </c>
      <c r="D569" s="55" t="s">
        <v>1714</v>
      </c>
      <c r="E569" s="55">
        <v>1.0</v>
      </c>
      <c r="F569" s="56">
        <v>2792.0</v>
      </c>
      <c r="G569" s="55" t="s">
        <v>167</v>
      </c>
      <c r="H569" s="55"/>
      <c r="I569" s="56"/>
      <c r="J569" s="53"/>
      <c r="K569" s="55"/>
      <c r="L569" s="55"/>
      <c r="M569" s="53"/>
      <c r="N569" s="53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48">
        <v>44769.0</v>
      </c>
      <c r="B570" s="63">
        <v>2153.0</v>
      </c>
      <c r="C570" s="50" t="s">
        <v>75</v>
      </c>
      <c r="D570" s="50" t="s">
        <v>1715</v>
      </c>
      <c r="E570" s="50">
        <v>3.0</v>
      </c>
      <c r="F570" s="51">
        <v>2769.18</v>
      </c>
      <c r="G570" s="50" t="s">
        <v>167</v>
      </c>
      <c r="H570" s="50"/>
      <c r="I570" s="51"/>
      <c r="J570" s="48"/>
      <c r="K570" s="50"/>
      <c r="L570" s="50"/>
      <c r="M570" s="48"/>
      <c r="N570" s="4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53">
        <v>44770.0</v>
      </c>
      <c r="B571" s="59" t="s">
        <v>1716</v>
      </c>
      <c r="C571" s="55" t="s">
        <v>1717</v>
      </c>
      <c r="D571" s="55" t="s">
        <v>1718</v>
      </c>
      <c r="E571" s="55">
        <v>100.0</v>
      </c>
      <c r="F571" s="69">
        <v>1218.3</v>
      </c>
      <c r="G571" s="55" t="str">
        <f t="shared" ref="G571:G573" si="13">IF($K571&lt;&gt;"","FATURADO",IF($L571&lt;&gt;"","GANHOU"," "))</f>
        <v>FATURADO</v>
      </c>
      <c r="H571" s="55"/>
      <c r="I571" s="69">
        <v>1218.3</v>
      </c>
      <c r="J571" s="53">
        <v>44789.0</v>
      </c>
      <c r="K571" s="55">
        <v>1905.0</v>
      </c>
      <c r="L571" s="55" t="s">
        <v>1716</v>
      </c>
      <c r="M571" s="53"/>
      <c r="N571" s="53">
        <v>44820.0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48">
        <v>44770.0</v>
      </c>
      <c r="B572" s="63" t="s">
        <v>1716</v>
      </c>
      <c r="C572" s="50" t="s">
        <v>1717</v>
      </c>
      <c r="D572" s="50" t="s">
        <v>1449</v>
      </c>
      <c r="E572" s="50">
        <v>20.0</v>
      </c>
      <c r="F572" s="51">
        <v>56.28</v>
      </c>
      <c r="G572" s="50" t="str">
        <f t="shared" si="13"/>
        <v>FATURADO</v>
      </c>
      <c r="H572" s="50"/>
      <c r="I572" s="51">
        <v>56.28</v>
      </c>
      <c r="J572" s="48">
        <v>44789.0</v>
      </c>
      <c r="K572" s="50">
        <v>1905.0</v>
      </c>
      <c r="L572" s="50" t="s">
        <v>1716</v>
      </c>
      <c r="M572" s="48"/>
      <c r="N572" s="48">
        <v>44820.0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53">
        <v>44770.0</v>
      </c>
      <c r="B573" s="54" t="s">
        <v>1716</v>
      </c>
      <c r="C573" s="55" t="s">
        <v>1717</v>
      </c>
      <c r="D573" s="55" t="s">
        <v>1719</v>
      </c>
      <c r="E573" s="55">
        <v>100.0</v>
      </c>
      <c r="F573" s="69">
        <v>1111.55</v>
      </c>
      <c r="G573" s="55" t="str">
        <f t="shared" si="13"/>
        <v>FATURADO</v>
      </c>
      <c r="H573" s="55"/>
      <c r="I573" s="69">
        <v>1111.55</v>
      </c>
      <c r="J573" s="53">
        <v>44789.0</v>
      </c>
      <c r="K573" s="55">
        <v>1905.0</v>
      </c>
      <c r="L573" s="55" t="s">
        <v>1716</v>
      </c>
      <c r="M573" s="53"/>
      <c r="N573" s="53">
        <v>44820.0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48">
        <v>44771.0</v>
      </c>
      <c r="B574" s="57">
        <v>2157.0</v>
      </c>
      <c r="C574" s="50" t="s">
        <v>164</v>
      </c>
      <c r="D574" s="50" t="s">
        <v>1449</v>
      </c>
      <c r="E574" s="50">
        <v>100.0</v>
      </c>
      <c r="F574" s="51">
        <v>351.0</v>
      </c>
      <c r="G574" s="50" t="s">
        <v>167</v>
      </c>
      <c r="H574" s="50"/>
      <c r="I574" s="51"/>
      <c r="J574" s="48"/>
      <c r="K574" s="50"/>
      <c r="L574" s="50"/>
      <c r="M574" s="48"/>
      <c r="N574" s="4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53">
        <v>44771.0</v>
      </c>
      <c r="B575" s="67">
        <v>2158.0</v>
      </c>
      <c r="C575" s="55" t="s">
        <v>188</v>
      </c>
      <c r="D575" s="55" t="s">
        <v>1504</v>
      </c>
      <c r="E575" s="55">
        <v>5.0</v>
      </c>
      <c r="F575" s="56">
        <v>18700.1</v>
      </c>
      <c r="G575" s="55" t="str">
        <f t="shared" ref="G575:G577" si="14">IF($K575&lt;&gt;"","FATURADO",IF($L575&lt;&gt;"","GANHOU"," "))</f>
        <v>FATURADO</v>
      </c>
      <c r="H575" s="62" t="s">
        <v>1720</v>
      </c>
      <c r="I575" s="56">
        <v>18700.1</v>
      </c>
      <c r="J575" s="53">
        <v>44963.0</v>
      </c>
      <c r="K575" s="55">
        <v>2052.0</v>
      </c>
      <c r="L575" s="55">
        <v>4.400555687E9</v>
      </c>
      <c r="M575" s="53"/>
      <c r="N575" s="53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48">
        <v>44771.0</v>
      </c>
      <c r="B576" s="57">
        <v>2160.0</v>
      </c>
      <c r="C576" s="50" t="s">
        <v>44</v>
      </c>
      <c r="D576" s="50" t="s">
        <v>1585</v>
      </c>
      <c r="E576" s="50">
        <v>2.0</v>
      </c>
      <c r="F576" s="51">
        <v>2770.15</v>
      </c>
      <c r="G576" s="50" t="str">
        <f t="shared" si="14"/>
        <v>FATURADO</v>
      </c>
      <c r="H576" s="50"/>
      <c r="I576" s="51">
        <v>2770.15</v>
      </c>
      <c r="J576" s="48">
        <v>44791.0</v>
      </c>
      <c r="K576" s="50">
        <v>1912.0</v>
      </c>
      <c r="L576" s="50">
        <v>4.501590334E9</v>
      </c>
      <c r="M576" s="48">
        <v>44803.0</v>
      </c>
      <c r="N576" s="48">
        <v>44824.0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53">
        <v>44771.0</v>
      </c>
      <c r="B577" s="67">
        <v>2161.0</v>
      </c>
      <c r="C577" s="55" t="s">
        <v>164</v>
      </c>
      <c r="D577" s="55" t="s">
        <v>1447</v>
      </c>
      <c r="E577" s="55">
        <v>120.0</v>
      </c>
      <c r="F577" s="56">
        <v>366.0</v>
      </c>
      <c r="G577" s="55" t="str">
        <f t="shared" si="14"/>
        <v>FATURADO</v>
      </c>
      <c r="H577" s="55"/>
      <c r="I577" s="56">
        <v>366.0</v>
      </c>
      <c r="J577" s="53">
        <v>44783.0</v>
      </c>
      <c r="K577" s="55">
        <v>1900.0</v>
      </c>
      <c r="L577" s="55">
        <v>4.500404092E9</v>
      </c>
      <c r="M577" s="53"/>
      <c r="N577" s="53">
        <v>44814.0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48"/>
      <c r="B578" s="50"/>
      <c r="C578" s="50"/>
      <c r="D578" s="50"/>
      <c r="E578" s="50"/>
      <c r="F578" s="51"/>
      <c r="G578" s="50"/>
      <c r="H578" s="50"/>
      <c r="I578" s="51"/>
      <c r="J578" s="48"/>
      <c r="K578" s="50"/>
      <c r="L578" s="50"/>
      <c r="M578" s="48"/>
      <c r="N578" s="4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53">
        <v>44774.0</v>
      </c>
      <c r="B579" s="55"/>
      <c r="C579" s="55" t="s">
        <v>1721</v>
      </c>
      <c r="D579" s="55" t="s">
        <v>1722</v>
      </c>
      <c r="E579" s="55">
        <v>10.0</v>
      </c>
      <c r="F579" s="56"/>
      <c r="G579" s="55"/>
      <c r="H579" s="55"/>
      <c r="I579" s="56"/>
      <c r="J579" s="53"/>
      <c r="K579" s="55"/>
      <c r="L579" s="55"/>
      <c r="M579" s="53"/>
      <c r="N579" s="53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48">
        <v>44775.0</v>
      </c>
      <c r="B580" s="57">
        <v>2166.0</v>
      </c>
      <c r="C580" s="50" t="s">
        <v>1723</v>
      </c>
      <c r="D580" s="50" t="s">
        <v>1724</v>
      </c>
      <c r="E580" s="50">
        <v>2.0</v>
      </c>
      <c r="F580" s="51">
        <v>527.31</v>
      </c>
      <c r="G580" s="50" t="s">
        <v>167</v>
      </c>
      <c r="H580" s="50"/>
      <c r="I580" s="51"/>
      <c r="J580" s="48"/>
      <c r="K580" s="50"/>
      <c r="L580" s="50"/>
      <c r="M580" s="48"/>
      <c r="N580" s="4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53">
        <v>44775.0</v>
      </c>
      <c r="B581" s="67">
        <v>2167.0</v>
      </c>
      <c r="C581" s="55" t="s">
        <v>44</v>
      </c>
      <c r="D581" s="55" t="s">
        <v>1725</v>
      </c>
      <c r="E581" s="55">
        <v>8.0</v>
      </c>
      <c r="F581" s="56">
        <v>58875.05</v>
      </c>
      <c r="G581" s="55" t="s">
        <v>167</v>
      </c>
      <c r="H581" s="62" t="s">
        <v>1726</v>
      </c>
      <c r="I581" s="56"/>
      <c r="J581" s="53"/>
      <c r="K581" s="55"/>
      <c r="L581" s="55"/>
      <c r="M581" s="53"/>
      <c r="N581" s="53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48">
        <v>44776.0</v>
      </c>
      <c r="B582" s="57">
        <v>2172.0</v>
      </c>
      <c r="C582" s="50" t="s">
        <v>1727</v>
      </c>
      <c r="D582" s="50" t="s">
        <v>1728</v>
      </c>
      <c r="E582" s="50">
        <v>1.0</v>
      </c>
      <c r="F582" s="51"/>
      <c r="G582" s="50" t="s">
        <v>167</v>
      </c>
      <c r="H582" s="52" t="s">
        <v>1729</v>
      </c>
      <c r="I582" s="51"/>
      <c r="J582" s="48"/>
      <c r="K582" s="50"/>
      <c r="L582" s="50"/>
      <c r="M582" s="48"/>
      <c r="N582" s="4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53">
        <v>44777.0</v>
      </c>
      <c r="B583" s="59">
        <v>2171.0</v>
      </c>
      <c r="C583" s="55" t="s">
        <v>1730</v>
      </c>
      <c r="D583" s="55" t="s">
        <v>1731</v>
      </c>
      <c r="E583" s="55">
        <v>1.0</v>
      </c>
      <c r="F583" s="56">
        <v>494.83</v>
      </c>
      <c r="G583" s="55" t="str">
        <f t="shared" ref="G583:G585" si="15">IF($K583&lt;&gt;"","FATURADO",IF($L583&lt;&gt;"","GANHOU"," "))</f>
        <v>FATURADO</v>
      </c>
      <c r="H583" s="55"/>
      <c r="I583" s="56">
        <v>494.83</v>
      </c>
      <c r="J583" s="53">
        <v>44781.0</v>
      </c>
      <c r="K583" s="55">
        <v>1896.0</v>
      </c>
      <c r="L583" s="55">
        <v>2171.0</v>
      </c>
      <c r="M583" s="53"/>
      <c r="N583" s="53">
        <v>44812.0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48">
        <v>44777.0</v>
      </c>
      <c r="B584" s="49">
        <v>2173.0</v>
      </c>
      <c r="C584" s="50" t="s">
        <v>188</v>
      </c>
      <c r="D584" s="50" t="s">
        <v>1732</v>
      </c>
      <c r="E584" s="50">
        <v>20.0</v>
      </c>
      <c r="F584" s="51">
        <v>390.0</v>
      </c>
      <c r="G584" s="50" t="str">
        <f t="shared" si="15"/>
        <v>FATURADO</v>
      </c>
      <c r="H584" s="50"/>
      <c r="I584" s="51">
        <v>390.0</v>
      </c>
      <c r="J584" s="48">
        <v>44827.0</v>
      </c>
      <c r="K584" s="50">
        <v>1936.0</v>
      </c>
      <c r="L584" s="50">
        <v>4.400556116E9</v>
      </c>
      <c r="M584" s="48"/>
      <c r="N584" s="48">
        <v>44857.0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53">
        <v>44777.0</v>
      </c>
      <c r="B585" s="54">
        <v>2173.0</v>
      </c>
      <c r="C585" s="55" t="s">
        <v>188</v>
      </c>
      <c r="D585" s="55" t="s">
        <v>1732</v>
      </c>
      <c r="E585" s="55">
        <v>40.0</v>
      </c>
      <c r="F585" s="56">
        <v>780.0</v>
      </c>
      <c r="G585" s="55" t="str">
        <f t="shared" si="15"/>
        <v>FATURADO</v>
      </c>
      <c r="H585" s="55"/>
      <c r="I585" s="56">
        <v>780.0</v>
      </c>
      <c r="J585" s="53">
        <v>44827.0</v>
      </c>
      <c r="K585" s="55">
        <v>1936.0</v>
      </c>
      <c r="L585" s="55">
        <v>4.400556116E9</v>
      </c>
      <c r="M585" s="53"/>
      <c r="N585" s="53">
        <v>44857.0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48">
        <v>44777.0</v>
      </c>
      <c r="B586" s="50"/>
      <c r="C586" s="50" t="s">
        <v>1733</v>
      </c>
      <c r="D586" s="50" t="s">
        <v>1734</v>
      </c>
      <c r="E586" s="50">
        <v>1.0</v>
      </c>
      <c r="F586" s="51"/>
      <c r="G586" s="50"/>
      <c r="H586" s="52" t="s">
        <v>1735</v>
      </c>
      <c r="I586" s="51"/>
      <c r="J586" s="48"/>
      <c r="K586" s="50"/>
      <c r="L586" s="50"/>
      <c r="M586" s="48"/>
      <c r="N586" s="48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53">
        <v>44777.0</v>
      </c>
      <c r="B587" s="55"/>
      <c r="C587" s="55" t="s">
        <v>1733</v>
      </c>
      <c r="D587" s="55" t="s">
        <v>1736</v>
      </c>
      <c r="E587" s="55">
        <v>1.0</v>
      </c>
      <c r="F587" s="56"/>
      <c r="G587" s="55"/>
      <c r="H587" s="55"/>
      <c r="I587" s="56"/>
      <c r="J587" s="53"/>
      <c r="K587" s="55"/>
      <c r="L587" s="55"/>
      <c r="M587" s="53"/>
      <c r="N587" s="53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48">
        <v>44778.0</v>
      </c>
      <c r="B588" s="50"/>
      <c r="C588" s="50" t="s">
        <v>188</v>
      </c>
      <c r="D588" s="50" t="s">
        <v>1737</v>
      </c>
      <c r="E588" s="50">
        <v>100.0</v>
      </c>
      <c r="F588" s="51"/>
      <c r="G588" s="50"/>
      <c r="H588" s="52" t="s">
        <v>1738</v>
      </c>
      <c r="I588" s="51"/>
      <c r="J588" s="48"/>
      <c r="K588" s="50"/>
      <c r="L588" s="50"/>
      <c r="M588" s="48"/>
      <c r="N588" s="48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53">
        <v>44781.0</v>
      </c>
      <c r="B589" s="67">
        <v>2182.0</v>
      </c>
      <c r="C589" s="55" t="s">
        <v>77</v>
      </c>
      <c r="D589" s="55" t="s">
        <v>1739</v>
      </c>
      <c r="E589" s="55">
        <v>1.0</v>
      </c>
      <c r="F589" s="56">
        <v>5049.12</v>
      </c>
      <c r="G589" s="55" t="s">
        <v>167</v>
      </c>
      <c r="H589" s="62" t="s">
        <v>1740</v>
      </c>
      <c r="I589" s="56"/>
      <c r="J589" s="53"/>
      <c r="K589" s="55"/>
      <c r="L589" s="55"/>
      <c r="M589" s="53"/>
      <c r="N589" s="53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48">
        <v>44781.0</v>
      </c>
      <c r="B590" s="49">
        <v>2178.0</v>
      </c>
      <c r="C590" s="50" t="s">
        <v>1741</v>
      </c>
      <c r="D590" s="50" t="s">
        <v>1742</v>
      </c>
      <c r="E590" s="50">
        <v>1.0</v>
      </c>
      <c r="F590" s="51">
        <v>4269.53</v>
      </c>
      <c r="G590" s="50" t="s">
        <v>167</v>
      </c>
      <c r="H590" s="52" t="s">
        <v>1743</v>
      </c>
      <c r="I590" s="51"/>
      <c r="J590" s="48"/>
      <c r="K590" s="50"/>
      <c r="L590" s="50"/>
      <c r="M590" s="48"/>
      <c r="N590" s="48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53">
        <v>44781.0</v>
      </c>
      <c r="B591" s="54">
        <v>2178.0</v>
      </c>
      <c r="C591" s="55" t="s">
        <v>1741</v>
      </c>
      <c r="D591" s="55" t="s">
        <v>1744</v>
      </c>
      <c r="E591" s="55">
        <v>1.0</v>
      </c>
      <c r="F591" s="56">
        <v>6215.98</v>
      </c>
      <c r="G591" s="55" t="s">
        <v>167</v>
      </c>
      <c r="H591" s="55"/>
      <c r="I591" s="56"/>
      <c r="J591" s="53"/>
      <c r="K591" s="55"/>
      <c r="L591" s="55"/>
      <c r="M591" s="53"/>
      <c r="N591" s="53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48">
        <v>44781.0</v>
      </c>
      <c r="B592" s="57">
        <v>2175.0</v>
      </c>
      <c r="C592" s="50" t="s">
        <v>44</v>
      </c>
      <c r="D592" s="50" t="s">
        <v>1429</v>
      </c>
      <c r="E592" s="50">
        <v>1.0</v>
      </c>
      <c r="F592" s="51">
        <v>4550.07</v>
      </c>
      <c r="G592" s="50" t="str">
        <f>IF($K592&lt;&gt;"","FATURADO",IF($L592&lt;&gt;"","GANHOU"," "))</f>
        <v>FATURADO</v>
      </c>
      <c r="H592" s="50"/>
      <c r="I592" s="51">
        <v>4550.07</v>
      </c>
      <c r="J592" s="48">
        <v>44823.0</v>
      </c>
      <c r="K592" s="50">
        <v>1933.0</v>
      </c>
      <c r="L592" s="50">
        <v>4.501588114E9</v>
      </c>
      <c r="M592" s="48">
        <v>44843.0</v>
      </c>
      <c r="N592" s="48">
        <v>44854.0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53">
        <v>44781.0</v>
      </c>
      <c r="B593" s="67">
        <v>2176.0</v>
      </c>
      <c r="C593" s="55" t="s">
        <v>77</v>
      </c>
      <c r="D593" s="55" t="s">
        <v>1429</v>
      </c>
      <c r="E593" s="55">
        <v>2.0</v>
      </c>
      <c r="F593" s="56">
        <v>6889.4</v>
      </c>
      <c r="G593" s="55" t="s">
        <v>167</v>
      </c>
      <c r="H593" s="55"/>
      <c r="I593" s="56"/>
      <c r="J593" s="53"/>
      <c r="K593" s="55"/>
      <c r="L593" s="55"/>
      <c r="M593" s="53"/>
      <c r="N593" s="53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48">
        <v>44782.0</v>
      </c>
      <c r="B594" s="57">
        <v>2186.0</v>
      </c>
      <c r="C594" s="50" t="s">
        <v>188</v>
      </c>
      <c r="D594" s="73" t="s">
        <v>1745</v>
      </c>
      <c r="E594" s="50">
        <v>30.0</v>
      </c>
      <c r="F594" s="51">
        <v>894.0</v>
      </c>
      <c r="G594" s="50" t="str">
        <f>IF($K594&lt;&gt;"","FATURADO",IF($L594&lt;&gt;"","GANHOU"," "))</f>
        <v>FATURADO</v>
      </c>
      <c r="H594" s="50"/>
      <c r="I594" s="51">
        <v>894.0</v>
      </c>
      <c r="J594" s="48">
        <v>44844.0</v>
      </c>
      <c r="K594" s="50">
        <v>1950.0</v>
      </c>
      <c r="L594" s="50">
        <v>4.400557092E9</v>
      </c>
      <c r="M594" s="48">
        <v>44828.0</v>
      </c>
      <c r="N594" s="48">
        <v>44890.0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53">
        <v>44783.0</v>
      </c>
      <c r="B595" s="59">
        <v>2184.0</v>
      </c>
      <c r="C595" s="55" t="s">
        <v>1222</v>
      </c>
      <c r="D595" s="55" t="s">
        <v>1746</v>
      </c>
      <c r="E595" s="55">
        <v>100.0</v>
      </c>
      <c r="F595" s="56">
        <v>1633.99</v>
      </c>
      <c r="G595" s="55" t="s">
        <v>167</v>
      </c>
      <c r="H595" s="62" t="s">
        <v>1747</v>
      </c>
      <c r="I595" s="56"/>
      <c r="J595" s="53"/>
      <c r="K595" s="55"/>
      <c r="L595" s="55"/>
      <c r="M595" s="53"/>
      <c r="N595" s="53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48">
        <v>44783.0</v>
      </c>
      <c r="B596" s="60">
        <v>2184.0</v>
      </c>
      <c r="C596" s="50" t="s">
        <v>1222</v>
      </c>
      <c r="D596" s="50" t="s">
        <v>1748</v>
      </c>
      <c r="E596" s="50">
        <v>100.0</v>
      </c>
      <c r="F596" s="51">
        <v>2381.62</v>
      </c>
      <c r="G596" s="50" t="s">
        <v>167</v>
      </c>
      <c r="H596" s="50"/>
      <c r="I596" s="51"/>
      <c r="J596" s="48"/>
      <c r="K596" s="50"/>
      <c r="L596" s="50"/>
      <c r="M596" s="48"/>
      <c r="N596" s="48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53">
        <v>44783.0</v>
      </c>
      <c r="B597" s="59">
        <v>2187.0</v>
      </c>
      <c r="C597" s="55" t="s">
        <v>188</v>
      </c>
      <c r="D597" s="68" t="s">
        <v>1749</v>
      </c>
      <c r="E597" s="55">
        <v>19.0</v>
      </c>
      <c r="F597" s="56">
        <v>13183.74</v>
      </c>
      <c r="G597" s="55" t="s">
        <v>167</v>
      </c>
      <c r="H597" s="55"/>
      <c r="I597" s="56"/>
      <c r="J597" s="53"/>
      <c r="K597" s="55"/>
      <c r="L597" s="55"/>
      <c r="M597" s="53"/>
      <c r="N597" s="53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48">
        <v>44815.0</v>
      </c>
      <c r="B598" s="57">
        <v>2189.0</v>
      </c>
      <c r="C598" s="50" t="s">
        <v>44</v>
      </c>
      <c r="D598" s="50" t="s">
        <v>1750</v>
      </c>
      <c r="E598" s="50">
        <v>1.0</v>
      </c>
      <c r="F598" s="51">
        <v>6054.64</v>
      </c>
      <c r="G598" s="50" t="str">
        <f>IF($K598&lt;&gt;"","FATURADO",IF($L598&lt;&gt;"","GANHOU"," "))</f>
        <v>FATURADO</v>
      </c>
      <c r="H598" s="50"/>
      <c r="I598" s="51">
        <v>6054.64</v>
      </c>
      <c r="J598" s="48">
        <v>44881.0</v>
      </c>
      <c r="K598" s="50">
        <v>1991.0</v>
      </c>
      <c r="L598" s="50">
        <v>4.501598129E9</v>
      </c>
      <c r="M598" s="48">
        <v>44957.0</v>
      </c>
      <c r="N598" s="48">
        <v>44915.0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53">
        <v>44784.0</v>
      </c>
      <c r="B599" s="67">
        <v>2096.0</v>
      </c>
      <c r="C599" s="55" t="s">
        <v>188</v>
      </c>
      <c r="D599" s="55" t="s">
        <v>1751</v>
      </c>
      <c r="E599" s="55">
        <v>1.0</v>
      </c>
      <c r="F599" s="56">
        <v>91558.88</v>
      </c>
      <c r="G599" s="55" t="s">
        <v>1560</v>
      </c>
      <c r="H599" s="55"/>
      <c r="I599" s="56"/>
      <c r="J599" s="53"/>
      <c r="K599" s="55"/>
      <c r="L599" s="55"/>
      <c r="M599" s="53"/>
      <c r="N599" s="53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48">
        <v>44785.0</v>
      </c>
      <c r="B600" s="49">
        <v>2188.0</v>
      </c>
      <c r="C600" s="50" t="s">
        <v>1752</v>
      </c>
      <c r="D600" s="50" t="s">
        <v>1751</v>
      </c>
      <c r="E600" s="50">
        <v>1.0</v>
      </c>
      <c r="F600" s="51">
        <v>99920.42</v>
      </c>
      <c r="G600" s="50" t="s">
        <v>167</v>
      </c>
      <c r="H600" s="50"/>
      <c r="I600" s="51"/>
      <c r="J600" s="48"/>
      <c r="K600" s="50"/>
      <c r="L600" s="50"/>
      <c r="M600" s="48"/>
      <c r="N600" s="48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53">
        <v>44785.0</v>
      </c>
      <c r="B601" s="59">
        <v>2194.0</v>
      </c>
      <c r="C601" s="55" t="s">
        <v>1471</v>
      </c>
      <c r="D601" s="55" t="s">
        <v>1753</v>
      </c>
      <c r="E601" s="55">
        <v>2.0</v>
      </c>
      <c r="F601" s="56">
        <v>1600.0</v>
      </c>
      <c r="G601" s="55" t="str">
        <f t="shared" ref="G601:G602" si="16">IF($K601&lt;&gt;"","FATURADO",IF($L601&lt;&gt;"","GANHOU"," "))</f>
        <v>FATURADO</v>
      </c>
      <c r="H601" s="62" t="s">
        <v>1754</v>
      </c>
      <c r="I601" s="56">
        <v>1600.0</v>
      </c>
      <c r="J601" s="53">
        <v>44930.0</v>
      </c>
      <c r="K601" s="55">
        <v>2027.0</v>
      </c>
      <c r="L601" s="55">
        <v>2194.0</v>
      </c>
      <c r="M601" s="53">
        <v>44928.0</v>
      </c>
      <c r="N601" s="53">
        <v>44961.0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48">
        <v>44785.0</v>
      </c>
      <c r="B602" s="60">
        <v>2194.0</v>
      </c>
      <c r="C602" s="50" t="s">
        <v>1471</v>
      </c>
      <c r="D602" s="50" t="s">
        <v>1755</v>
      </c>
      <c r="E602" s="50">
        <v>4.0</v>
      </c>
      <c r="F602" s="51">
        <v>1542.23</v>
      </c>
      <c r="G602" s="50" t="str">
        <f t="shared" si="16"/>
        <v>FATURADO</v>
      </c>
      <c r="H602" s="52"/>
      <c r="I602" s="51">
        <v>1542.23</v>
      </c>
      <c r="J602" s="48">
        <v>44930.0</v>
      </c>
      <c r="K602" s="50">
        <v>2027.0</v>
      </c>
      <c r="L602" s="50">
        <v>2194.0</v>
      </c>
      <c r="M602" s="48">
        <v>44902.0</v>
      </c>
      <c r="N602" s="48">
        <v>44961.0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53">
        <v>44788.0</v>
      </c>
      <c r="B603" s="54">
        <v>2191.0</v>
      </c>
      <c r="C603" s="55" t="s">
        <v>170</v>
      </c>
      <c r="D603" s="55" t="s">
        <v>617</v>
      </c>
      <c r="E603" s="55">
        <v>1.0</v>
      </c>
      <c r="F603" s="56">
        <v>607.18</v>
      </c>
      <c r="G603" s="55" t="s">
        <v>167</v>
      </c>
      <c r="H603" s="55"/>
      <c r="I603" s="56"/>
      <c r="J603" s="53"/>
      <c r="K603" s="55"/>
      <c r="L603" s="55"/>
      <c r="M603" s="53"/>
      <c r="N603" s="53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48">
        <v>44788.0</v>
      </c>
      <c r="B604" s="57">
        <v>2195.0</v>
      </c>
      <c r="C604" s="50" t="s">
        <v>44</v>
      </c>
      <c r="D604" s="50" t="s">
        <v>1111</v>
      </c>
      <c r="E604" s="50">
        <v>3.0</v>
      </c>
      <c r="F604" s="51">
        <v>4291.51</v>
      </c>
      <c r="G604" s="50" t="s">
        <v>167</v>
      </c>
      <c r="H604" s="50"/>
      <c r="I604" s="51"/>
      <c r="J604" s="48"/>
      <c r="K604" s="50"/>
      <c r="L604" s="50"/>
      <c r="M604" s="48"/>
      <c r="N604" s="48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53">
        <v>44788.0</v>
      </c>
      <c r="B605" s="59">
        <v>2203.0</v>
      </c>
      <c r="C605" s="55" t="s">
        <v>1756</v>
      </c>
      <c r="D605" s="55" t="s">
        <v>1757</v>
      </c>
      <c r="E605" s="55">
        <v>5.0</v>
      </c>
      <c r="F605" s="56">
        <v>1195.57</v>
      </c>
      <c r="G605" s="55" t="s">
        <v>167</v>
      </c>
      <c r="H605" s="62" t="s">
        <v>1758</v>
      </c>
      <c r="I605" s="56"/>
      <c r="J605" s="53"/>
      <c r="K605" s="55"/>
      <c r="L605" s="55"/>
      <c r="M605" s="53"/>
      <c r="N605" s="53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48">
        <v>44788.0</v>
      </c>
      <c r="B606" s="60">
        <v>2203.0</v>
      </c>
      <c r="C606" s="77" t="s">
        <v>1756</v>
      </c>
      <c r="D606" s="50" t="s">
        <v>1759</v>
      </c>
      <c r="E606" s="50">
        <v>5.0</v>
      </c>
      <c r="F606" s="51">
        <v>1725.14</v>
      </c>
      <c r="G606" s="50" t="s">
        <v>167</v>
      </c>
      <c r="H606" s="50"/>
      <c r="I606" s="51"/>
      <c r="J606" s="48"/>
      <c r="K606" s="50"/>
      <c r="L606" s="50"/>
      <c r="M606" s="48"/>
      <c r="N606" s="48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53">
        <v>44789.0</v>
      </c>
      <c r="B607" s="59">
        <v>2196.0</v>
      </c>
      <c r="C607" s="55" t="s">
        <v>188</v>
      </c>
      <c r="D607" s="55" t="s">
        <v>1760</v>
      </c>
      <c r="E607" s="55">
        <v>24.0</v>
      </c>
      <c r="F607" s="56">
        <v>468.0</v>
      </c>
      <c r="G607" s="55" t="s">
        <v>167</v>
      </c>
      <c r="H607" s="55"/>
      <c r="I607" s="56"/>
      <c r="J607" s="53"/>
      <c r="K607" s="55"/>
      <c r="L607" s="55"/>
      <c r="M607" s="53"/>
      <c r="N607" s="53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48">
        <v>44789.0</v>
      </c>
      <c r="B608" s="63">
        <v>2196.0</v>
      </c>
      <c r="C608" s="50" t="s">
        <v>188</v>
      </c>
      <c r="D608" s="50" t="s">
        <v>1760</v>
      </c>
      <c r="E608" s="50">
        <v>24.0</v>
      </c>
      <c r="F608" s="51">
        <v>468.0</v>
      </c>
      <c r="G608" s="50" t="s">
        <v>167</v>
      </c>
      <c r="H608" s="50"/>
      <c r="I608" s="51"/>
      <c r="J608" s="48"/>
      <c r="K608" s="50"/>
      <c r="L608" s="50"/>
      <c r="M608" s="48"/>
      <c r="N608" s="48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53">
        <v>44789.0</v>
      </c>
      <c r="B609" s="54">
        <v>2196.0</v>
      </c>
      <c r="C609" s="55" t="s">
        <v>188</v>
      </c>
      <c r="D609" s="55" t="s">
        <v>1760</v>
      </c>
      <c r="E609" s="55">
        <v>24.0</v>
      </c>
      <c r="F609" s="56">
        <v>468.0</v>
      </c>
      <c r="G609" s="55" t="s">
        <v>167</v>
      </c>
      <c r="H609" s="55" t="str">
        <f>IF($K609&lt;&gt;"","FATURADO",IF($L609&lt;&gt;"","GANHOU"," "))</f>
        <v> </v>
      </c>
      <c r="I609" s="56"/>
      <c r="J609" s="53"/>
      <c r="K609" s="55"/>
      <c r="L609" s="55"/>
      <c r="M609" s="53"/>
      <c r="N609" s="53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48">
        <v>44789.0</v>
      </c>
      <c r="B610" s="57">
        <v>2200.0</v>
      </c>
      <c r="C610" s="50" t="s">
        <v>44</v>
      </c>
      <c r="D610" s="50" t="s">
        <v>1761</v>
      </c>
      <c r="E610" s="50">
        <v>4.0</v>
      </c>
      <c r="F610" s="51">
        <v>202616.29</v>
      </c>
      <c r="G610" s="50" t="s">
        <v>167</v>
      </c>
      <c r="H610" s="52" t="s">
        <v>1762</v>
      </c>
      <c r="I610" s="51"/>
      <c r="J610" s="48"/>
      <c r="K610" s="50"/>
      <c r="L610" s="50"/>
      <c r="M610" s="48"/>
      <c r="N610" s="48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53">
        <v>44790.0</v>
      </c>
      <c r="B611" s="67">
        <v>2202.0</v>
      </c>
      <c r="C611" s="55" t="s">
        <v>1763</v>
      </c>
      <c r="D611" s="55" t="s">
        <v>1764</v>
      </c>
      <c r="E611" s="55">
        <v>4.0</v>
      </c>
      <c r="F611" s="56">
        <v>149661.09</v>
      </c>
      <c r="G611" s="55" t="s">
        <v>167</v>
      </c>
      <c r="H611" s="55"/>
      <c r="I611" s="56"/>
      <c r="J611" s="53"/>
      <c r="K611" s="55"/>
      <c r="L611" s="55"/>
      <c r="M611" s="53"/>
      <c r="N611" s="53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48">
        <v>44790.0</v>
      </c>
      <c r="B612" s="57">
        <v>2204.0</v>
      </c>
      <c r="C612" s="50" t="s">
        <v>790</v>
      </c>
      <c r="D612" s="50" t="s">
        <v>1765</v>
      </c>
      <c r="E612" s="50">
        <v>1.0</v>
      </c>
      <c r="F612" s="51"/>
      <c r="G612" s="50" t="s">
        <v>167</v>
      </c>
      <c r="H612" s="50"/>
      <c r="I612" s="51"/>
      <c r="J612" s="48"/>
      <c r="K612" s="50"/>
      <c r="L612" s="50"/>
      <c r="M612" s="48"/>
      <c r="N612" s="48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53">
        <v>44791.0</v>
      </c>
      <c r="B613" s="59">
        <v>2214.0</v>
      </c>
      <c r="C613" s="55" t="s">
        <v>77</v>
      </c>
      <c r="D613" s="65" t="s">
        <v>1766</v>
      </c>
      <c r="E613" s="55">
        <v>4.0</v>
      </c>
      <c r="F613" s="56">
        <v>202616.29</v>
      </c>
      <c r="G613" s="55" t="s">
        <v>167</v>
      </c>
      <c r="H613" s="55"/>
      <c r="I613" s="56"/>
      <c r="J613" s="53"/>
      <c r="K613" s="55"/>
      <c r="L613" s="55"/>
      <c r="M613" s="53"/>
      <c r="N613" s="53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48">
        <v>44791.0</v>
      </c>
      <c r="B614" s="49">
        <v>2213.0</v>
      </c>
      <c r="C614" s="50" t="s">
        <v>75</v>
      </c>
      <c r="D614" s="64" t="s">
        <v>1767</v>
      </c>
      <c r="E614" s="50">
        <v>9.0</v>
      </c>
      <c r="F614" s="51">
        <v>13641.12</v>
      </c>
      <c r="G614" s="50" t="s">
        <v>167</v>
      </c>
      <c r="H614" s="50"/>
      <c r="I614" s="51"/>
      <c r="J614" s="48"/>
      <c r="K614" s="50"/>
      <c r="L614" s="50"/>
      <c r="M614" s="48"/>
      <c r="N614" s="48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53">
        <v>44791.0</v>
      </c>
      <c r="B615" s="61">
        <v>2213.0</v>
      </c>
      <c r="C615" s="55" t="s">
        <v>75</v>
      </c>
      <c r="D615" s="65" t="s">
        <v>1768</v>
      </c>
      <c r="E615" s="55">
        <v>9.0</v>
      </c>
      <c r="F615" s="56">
        <v>13659.57</v>
      </c>
      <c r="G615" s="55" t="s">
        <v>167</v>
      </c>
      <c r="H615" s="55"/>
      <c r="I615" s="56"/>
      <c r="J615" s="53"/>
      <c r="K615" s="55"/>
      <c r="L615" s="55"/>
      <c r="M615" s="53"/>
      <c r="N615" s="53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48">
        <v>44791.0</v>
      </c>
      <c r="B616" s="60">
        <v>2213.0</v>
      </c>
      <c r="C616" s="50" t="s">
        <v>75</v>
      </c>
      <c r="D616" s="64" t="s">
        <v>1769</v>
      </c>
      <c r="E616" s="50">
        <v>19.0</v>
      </c>
      <c r="F616" s="51">
        <v>36921.69</v>
      </c>
      <c r="G616" s="50" t="s">
        <v>167</v>
      </c>
      <c r="H616" s="50"/>
      <c r="I616" s="51"/>
      <c r="J616" s="48"/>
      <c r="K616" s="50"/>
      <c r="L616" s="50"/>
      <c r="M616" s="48"/>
      <c r="N616" s="48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53">
        <v>44792.0</v>
      </c>
      <c r="B617" s="54" t="s">
        <v>1770</v>
      </c>
      <c r="C617" s="55" t="s">
        <v>188</v>
      </c>
      <c r="D617" s="55" t="s">
        <v>1771</v>
      </c>
      <c r="E617" s="55">
        <v>10.0</v>
      </c>
      <c r="F617" s="56">
        <v>39045.27</v>
      </c>
      <c r="G617" s="55" t="str">
        <f t="shared" ref="G617:G620" si="17">IF($K617&lt;&gt;"","FATURADO",IF($L617&lt;&gt;"","GANHOU"," "))</f>
        <v>FATURADO</v>
      </c>
      <c r="H617" s="55"/>
      <c r="I617" s="56">
        <v>39045.3</v>
      </c>
      <c r="J617" s="53">
        <v>44963.0</v>
      </c>
      <c r="K617" s="55">
        <v>2053.0</v>
      </c>
      <c r="L617" s="55">
        <v>4.400559131E9</v>
      </c>
      <c r="M617" s="53">
        <v>44919.0</v>
      </c>
      <c r="N617" s="53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48">
        <v>44795.0</v>
      </c>
      <c r="B618" s="49">
        <v>2220.0</v>
      </c>
      <c r="C618" s="50" t="s">
        <v>164</v>
      </c>
      <c r="D618" s="50" t="s">
        <v>1772</v>
      </c>
      <c r="E618" s="50">
        <v>43.0</v>
      </c>
      <c r="F618" s="51">
        <v>838.5</v>
      </c>
      <c r="G618" s="50" t="str">
        <f t="shared" si="17"/>
        <v>FATURADO</v>
      </c>
      <c r="H618" s="50"/>
      <c r="I618" s="51">
        <v>838.5</v>
      </c>
      <c r="J618" s="48">
        <v>44804.0</v>
      </c>
      <c r="K618" s="50">
        <v>1921.0</v>
      </c>
      <c r="L618" s="50">
        <v>4.50040655E9</v>
      </c>
      <c r="M618" s="48"/>
      <c r="N618" s="48">
        <v>44835.0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53">
        <v>44795.0</v>
      </c>
      <c r="B619" s="59">
        <v>2220.0</v>
      </c>
      <c r="C619" s="55" t="s">
        <v>164</v>
      </c>
      <c r="D619" s="55" t="s">
        <v>1772</v>
      </c>
      <c r="E619" s="55">
        <v>2.0</v>
      </c>
      <c r="F619" s="56">
        <v>39.0</v>
      </c>
      <c r="G619" s="55" t="str">
        <f t="shared" si="17"/>
        <v>FATURADO</v>
      </c>
      <c r="H619" s="55"/>
      <c r="I619" s="56">
        <v>39.0</v>
      </c>
      <c r="J619" s="53">
        <v>44823.0</v>
      </c>
      <c r="K619" s="55">
        <v>1931.0</v>
      </c>
      <c r="L619" s="55">
        <v>4.50040655E9</v>
      </c>
      <c r="M619" s="53"/>
      <c r="N619" s="53">
        <v>44853.0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48">
        <v>44795.0</v>
      </c>
      <c r="B620" s="60">
        <v>2220.0</v>
      </c>
      <c r="C620" s="50" t="s">
        <v>164</v>
      </c>
      <c r="D620" s="50" t="s">
        <v>1773</v>
      </c>
      <c r="E620" s="50">
        <v>160.0</v>
      </c>
      <c r="F620" s="51">
        <v>1113.6</v>
      </c>
      <c r="G620" s="50" t="str">
        <f t="shared" si="17"/>
        <v>FATURADO</v>
      </c>
      <c r="H620" s="50"/>
      <c r="I620" s="51">
        <v>1113.6</v>
      </c>
      <c r="J620" s="48">
        <v>44804.0</v>
      </c>
      <c r="K620" s="50">
        <v>1921.0</v>
      </c>
      <c r="L620" s="50">
        <v>4.50040655E9</v>
      </c>
      <c r="M620" s="48"/>
      <c r="N620" s="48">
        <v>44835.0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53">
        <v>44795.0</v>
      </c>
      <c r="B621" s="67">
        <v>2218.0</v>
      </c>
      <c r="C621" s="55" t="s">
        <v>77</v>
      </c>
      <c r="D621" s="55" t="s">
        <v>1774</v>
      </c>
      <c r="E621" s="55">
        <v>114.0</v>
      </c>
      <c r="F621" s="56">
        <v>4630.68</v>
      </c>
      <c r="G621" s="55" t="s">
        <v>167</v>
      </c>
      <c r="H621" s="55"/>
      <c r="I621" s="56"/>
      <c r="J621" s="53"/>
      <c r="K621" s="55"/>
      <c r="L621" s="55"/>
      <c r="M621" s="53"/>
      <c r="N621" s="53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48">
        <v>44795.0</v>
      </c>
      <c r="B622" s="50"/>
      <c r="C622" s="50"/>
      <c r="D622" s="64" t="s">
        <v>1775</v>
      </c>
      <c r="E622" s="50">
        <v>22.0</v>
      </c>
      <c r="F622" s="51"/>
      <c r="G622" s="50"/>
      <c r="H622" s="52" t="s">
        <v>1776</v>
      </c>
      <c r="I622" s="51"/>
      <c r="J622" s="48"/>
      <c r="K622" s="50"/>
      <c r="L622" s="50"/>
      <c r="M622" s="48"/>
      <c r="N622" s="48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53">
        <v>44795.0</v>
      </c>
      <c r="B623" s="59">
        <v>2224.0</v>
      </c>
      <c r="C623" s="55" t="s">
        <v>1777</v>
      </c>
      <c r="D623" s="55" t="s">
        <v>1778</v>
      </c>
      <c r="E623" s="55">
        <v>2.0</v>
      </c>
      <c r="F623" s="56">
        <v>26196.79</v>
      </c>
      <c r="G623" s="55" t="s">
        <v>167</v>
      </c>
      <c r="H623" s="62" t="s">
        <v>1779</v>
      </c>
      <c r="I623" s="56"/>
      <c r="J623" s="53"/>
      <c r="K623" s="55"/>
      <c r="L623" s="55"/>
      <c r="M623" s="53"/>
      <c r="N623" s="53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48">
        <v>44795.0</v>
      </c>
      <c r="B624" s="63">
        <v>2224.0</v>
      </c>
      <c r="C624" s="50" t="s">
        <v>1777</v>
      </c>
      <c r="D624" s="50" t="s">
        <v>1780</v>
      </c>
      <c r="E624" s="50">
        <v>2.0</v>
      </c>
      <c r="F624" s="51">
        <v>16934.03</v>
      </c>
      <c r="G624" s="50" t="s">
        <v>167</v>
      </c>
      <c r="H624" s="50"/>
      <c r="I624" s="51"/>
      <c r="J624" s="48"/>
      <c r="K624" s="50"/>
      <c r="L624" s="50"/>
      <c r="M624" s="48"/>
      <c r="N624" s="48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53">
        <v>44795.0</v>
      </c>
      <c r="B625" s="61">
        <v>2224.0</v>
      </c>
      <c r="C625" s="55" t="s">
        <v>1777</v>
      </c>
      <c r="D625" s="55" t="s">
        <v>1781</v>
      </c>
      <c r="E625" s="55">
        <v>1.0</v>
      </c>
      <c r="F625" s="56">
        <v>3383.74</v>
      </c>
      <c r="G625" s="55" t="s">
        <v>167</v>
      </c>
      <c r="H625" s="55"/>
      <c r="I625" s="56"/>
      <c r="J625" s="53"/>
      <c r="K625" s="55"/>
      <c r="L625" s="55"/>
      <c r="M625" s="53"/>
      <c r="N625" s="53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48">
        <v>44795.0</v>
      </c>
      <c r="B626" s="63">
        <v>2224.0</v>
      </c>
      <c r="C626" s="50" t="s">
        <v>1777</v>
      </c>
      <c r="D626" s="50" t="s">
        <v>1782</v>
      </c>
      <c r="E626" s="50">
        <v>1.0</v>
      </c>
      <c r="F626" s="51">
        <v>9381.24</v>
      </c>
      <c r="G626" s="50" t="s">
        <v>167</v>
      </c>
      <c r="H626" s="50"/>
      <c r="I626" s="51"/>
      <c r="J626" s="48"/>
      <c r="K626" s="50"/>
      <c r="L626" s="50"/>
      <c r="M626" s="48"/>
      <c r="N626" s="48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53">
        <v>44795.0</v>
      </c>
      <c r="B627" s="54">
        <v>2224.0</v>
      </c>
      <c r="C627" s="55" t="s">
        <v>1777</v>
      </c>
      <c r="D627" s="55" t="s">
        <v>1783</v>
      </c>
      <c r="E627" s="55">
        <v>1.0</v>
      </c>
      <c r="F627" s="56">
        <v>5412.98</v>
      </c>
      <c r="G627" s="55" t="s">
        <v>167</v>
      </c>
      <c r="H627" s="55"/>
      <c r="I627" s="56"/>
      <c r="J627" s="53"/>
      <c r="K627" s="55"/>
      <c r="L627" s="55"/>
      <c r="M627" s="53"/>
      <c r="N627" s="53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48">
        <v>44796.0</v>
      </c>
      <c r="B628" s="57">
        <v>2225.0</v>
      </c>
      <c r="C628" s="50" t="s">
        <v>44</v>
      </c>
      <c r="D628" s="50" t="s">
        <v>1774</v>
      </c>
      <c r="E628" s="50">
        <v>114.0</v>
      </c>
      <c r="F628" s="51">
        <v>4646.69</v>
      </c>
      <c r="G628" s="50" t="str">
        <f>IF($K628&lt;&gt;"","FATURADO",IF($L628&lt;&gt;"","GANHOU"," "))</f>
        <v>FATURADO</v>
      </c>
      <c r="H628" s="50"/>
      <c r="I628" s="51">
        <v>4646.69</v>
      </c>
      <c r="J628" s="48">
        <v>44907.0</v>
      </c>
      <c r="K628" s="50">
        <v>2011.0</v>
      </c>
      <c r="L628" s="50">
        <v>4.501596209E9</v>
      </c>
      <c r="M628" s="48">
        <v>44813.0</v>
      </c>
      <c r="N628" s="48">
        <v>44946.0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53">
        <v>44796.0</v>
      </c>
      <c r="B629" s="59">
        <v>2226.0</v>
      </c>
      <c r="C629" s="55" t="s">
        <v>44</v>
      </c>
      <c r="D629" s="55" t="s">
        <v>1784</v>
      </c>
      <c r="E629" s="55">
        <v>1.0</v>
      </c>
      <c r="F629" s="56">
        <v>5121.98</v>
      </c>
      <c r="G629" s="55" t="s">
        <v>167</v>
      </c>
      <c r="H629" s="55"/>
      <c r="I629" s="56"/>
      <c r="J629" s="53"/>
      <c r="K629" s="55"/>
      <c r="L629" s="55"/>
      <c r="M629" s="53"/>
      <c r="N629" s="53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48">
        <v>44796.0</v>
      </c>
      <c r="B630" s="60">
        <v>2226.0</v>
      </c>
      <c r="C630" s="50" t="s">
        <v>44</v>
      </c>
      <c r="D630" s="50" t="s">
        <v>1785</v>
      </c>
      <c r="E630" s="50">
        <v>1.0</v>
      </c>
      <c r="F630" s="51">
        <v>1130.65</v>
      </c>
      <c r="G630" s="50" t="s">
        <v>167</v>
      </c>
      <c r="H630" s="50"/>
      <c r="I630" s="51"/>
      <c r="J630" s="48"/>
      <c r="K630" s="50"/>
      <c r="L630" s="50"/>
      <c r="M630" s="48"/>
      <c r="N630" s="48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53">
        <v>44797.0</v>
      </c>
      <c r="B631" s="67">
        <v>2231.0</v>
      </c>
      <c r="C631" s="55" t="s">
        <v>1409</v>
      </c>
      <c r="D631" s="55" t="s">
        <v>1786</v>
      </c>
      <c r="E631" s="55">
        <v>2.0</v>
      </c>
      <c r="F631" s="56">
        <v>1376.42</v>
      </c>
      <c r="G631" s="55" t="str">
        <f>IF($K631&lt;&gt;"","FATURADO",IF($L631&lt;&gt;"","GANHOU"," "))</f>
        <v>GANHOU</v>
      </c>
      <c r="H631" s="55"/>
      <c r="I631" s="56"/>
      <c r="J631" s="53"/>
      <c r="K631" s="55"/>
      <c r="L631" s="55">
        <v>4.50325818E9</v>
      </c>
      <c r="M631" s="53">
        <v>44885.0</v>
      </c>
      <c r="N631" s="53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48">
        <v>44798.0</v>
      </c>
      <c r="B632" s="57">
        <v>2233.0</v>
      </c>
      <c r="C632" s="50" t="s">
        <v>77</v>
      </c>
      <c r="D632" s="50" t="s">
        <v>1785</v>
      </c>
      <c r="E632" s="50">
        <v>1.0</v>
      </c>
      <c r="F632" s="51">
        <v>1130.65</v>
      </c>
      <c r="G632" s="50" t="s">
        <v>167</v>
      </c>
      <c r="H632" s="50"/>
      <c r="I632" s="51"/>
      <c r="J632" s="48"/>
      <c r="K632" s="50"/>
      <c r="L632" s="50"/>
      <c r="M632" s="48"/>
      <c r="N632" s="48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53">
        <v>44798.0</v>
      </c>
      <c r="B633" s="67">
        <v>2236.0</v>
      </c>
      <c r="C633" s="55" t="s">
        <v>1787</v>
      </c>
      <c r="D633" s="55" t="s">
        <v>1788</v>
      </c>
      <c r="E633" s="55">
        <v>1.0</v>
      </c>
      <c r="F633" s="56">
        <v>5868.59</v>
      </c>
      <c r="G633" s="55" t="s">
        <v>167</v>
      </c>
      <c r="H633" s="62" t="s">
        <v>1789</v>
      </c>
      <c r="I633" s="56"/>
      <c r="J633" s="53"/>
      <c r="K633" s="55"/>
      <c r="L633" s="55"/>
      <c r="M633" s="53"/>
      <c r="N633" s="53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48">
        <v>44799.0</v>
      </c>
      <c r="B634" s="57">
        <v>2240.0</v>
      </c>
      <c r="C634" s="50" t="s">
        <v>1790</v>
      </c>
      <c r="D634" s="50" t="s">
        <v>1791</v>
      </c>
      <c r="E634" s="50">
        <v>1.0</v>
      </c>
      <c r="F634" s="51">
        <v>5771.01</v>
      </c>
      <c r="G634" s="50" t="s">
        <v>167</v>
      </c>
      <c r="H634" s="52" t="s">
        <v>1792</v>
      </c>
      <c r="I634" s="51"/>
      <c r="J634" s="48"/>
      <c r="K634" s="50"/>
      <c r="L634" s="50"/>
      <c r="M634" s="48"/>
      <c r="N634" s="48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53">
        <v>44799.0</v>
      </c>
      <c r="B635" s="59">
        <v>2235.0</v>
      </c>
      <c r="C635" s="55" t="s">
        <v>44</v>
      </c>
      <c r="D635" s="55" t="s">
        <v>1793</v>
      </c>
      <c r="E635" s="55">
        <v>2.0</v>
      </c>
      <c r="F635" s="56">
        <v>2918.58</v>
      </c>
      <c r="G635" s="55" t="str">
        <f t="shared" ref="G635:G639" si="18">IF($K635&lt;&gt;"","FATURADO",IF($L635&lt;&gt;"","GANHOU"," "))</f>
        <v>FATURADO</v>
      </c>
      <c r="H635" s="55"/>
      <c r="I635" s="56">
        <v>2918.58</v>
      </c>
      <c r="J635" s="53">
        <v>44799.0</v>
      </c>
      <c r="K635" s="55">
        <v>1918.0</v>
      </c>
      <c r="L635" s="55">
        <v>4.501596514E9</v>
      </c>
      <c r="M635" s="53"/>
      <c r="N635" s="53">
        <v>44834.0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48">
        <v>44799.0</v>
      </c>
      <c r="B636" s="60">
        <v>2235.0</v>
      </c>
      <c r="C636" s="50" t="s">
        <v>44</v>
      </c>
      <c r="D636" s="50" t="s">
        <v>1793</v>
      </c>
      <c r="E636" s="50">
        <v>2.0</v>
      </c>
      <c r="F636" s="51">
        <v>2918.58</v>
      </c>
      <c r="G636" s="50" t="str">
        <f t="shared" si="18"/>
        <v>FATURADO</v>
      </c>
      <c r="H636" s="50"/>
      <c r="I636" s="51">
        <v>2918.58</v>
      </c>
      <c r="J636" s="48">
        <v>44931.0</v>
      </c>
      <c r="K636" s="50">
        <v>2029.0</v>
      </c>
      <c r="L636" s="50">
        <v>4.501596514E9</v>
      </c>
      <c r="M636" s="48">
        <v>44844.0</v>
      </c>
      <c r="N636" s="48">
        <v>44967.0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53">
        <v>44802.0</v>
      </c>
      <c r="B637" s="61">
        <v>2238.0</v>
      </c>
      <c r="C637" s="55" t="s">
        <v>44</v>
      </c>
      <c r="D637" s="55" t="s">
        <v>1794</v>
      </c>
      <c r="E637" s="55">
        <v>10.0</v>
      </c>
      <c r="F637" s="56">
        <v>257.3</v>
      </c>
      <c r="G637" s="55" t="str">
        <f t="shared" si="18"/>
        <v>FATURADO</v>
      </c>
      <c r="H637" s="55"/>
      <c r="I637" s="56">
        <v>257.3</v>
      </c>
      <c r="J637" s="53">
        <v>44931.0</v>
      </c>
      <c r="K637" s="55">
        <v>2030.0</v>
      </c>
      <c r="L637" s="55">
        <v>4.501607517E9</v>
      </c>
      <c r="M637" s="53"/>
      <c r="N637" s="53">
        <v>44967.0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48">
        <v>44802.0</v>
      </c>
      <c r="B638" s="63">
        <v>2238.0</v>
      </c>
      <c r="C638" s="50" t="s">
        <v>44</v>
      </c>
      <c r="D638" s="50" t="s">
        <v>1794</v>
      </c>
      <c r="E638" s="50">
        <v>118.0</v>
      </c>
      <c r="F638" s="51">
        <v>3036.14</v>
      </c>
      <c r="G638" s="50" t="str">
        <f t="shared" si="18"/>
        <v>FATURADO</v>
      </c>
      <c r="H638" s="50"/>
      <c r="I638" s="51">
        <v>3036.14</v>
      </c>
      <c r="J638" s="48">
        <v>44827.0</v>
      </c>
      <c r="K638" s="50">
        <v>1937.0</v>
      </c>
      <c r="L638" s="50">
        <v>4.501607517E9</v>
      </c>
      <c r="M638" s="48">
        <v>44827.0</v>
      </c>
      <c r="N638" s="48">
        <v>44864.0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53">
        <v>44802.0</v>
      </c>
      <c r="B639" s="61">
        <v>2238.0</v>
      </c>
      <c r="C639" s="55" t="s">
        <v>44</v>
      </c>
      <c r="D639" s="55" t="s">
        <v>1774</v>
      </c>
      <c r="E639" s="55">
        <v>71.0</v>
      </c>
      <c r="F639" s="56">
        <v>2893.99</v>
      </c>
      <c r="G639" s="55" t="str">
        <f t="shared" si="18"/>
        <v>FATURADO</v>
      </c>
      <c r="H639" s="55"/>
      <c r="I639" s="56">
        <v>2893.99</v>
      </c>
      <c r="J639" s="53">
        <v>44827.0</v>
      </c>
      <c r="K639" s="55">
        <v>1937.0</v>
      </c>
      <c r="L639" s="55">
        <v>4.501607517E9</v>
      </c>
      <c r="M639" s="53">
        <v>44827.0</v>
      </c>
      <c r="N639" s="53">
        <v>44864.0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48">
        <v>44802.0</v>
      </c>
      <c r="B640" s="49">
        <v>2239.0</v>
      </c>
      <c r="C640" s="50" t="s">
        <v>77</v>
      </c>
      <c r="D640" s="50" t="s">
        <v>1794</v>
      </c>
      <c r="E640" s="50">
        <v>128.0</v>
      </c>
      <c r="F640" s="51">
        <v>3293.36</v>
      </c>
      <c r="G640" s="50" t="s">
        <v>167</v>
      </c>
      <c r="H640" s="52" t="s">
        <v>1795</v>
      </c>
      <c r="I640" s="51"/>
      <c r="J640" s="48"/>
      <c r="K640" s="50"/>
      <c r="L640" s="50"/>
      <c r="M640" s="48"/>
      <c r="N640" s="48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53">
        <v>44802.0</v>
      </c>
      <c r="B641" s="61">
        <v>2239.0</v>
      </c>
      <c r="C641" s="55" t="s">
        <v>77</v>
      </c>
      <c r="D641" s="55" t="s">
        <v>1774</v>
      </c>
      <c r="E641" s="55">
        <v>71.0</v>
      </c>
      <c r="F641" s="56">
        <v>2893.99</v>
      </c>
      <c r="G641" s="55" t="s">
        <v>167</v>
      </c>
      <c r="H641" s="55"/>
      <c r="I641" s="56"/>
      <c r="J641" s="53"/>
      <c r="K641" s="55"/>
      <c r="L641" s="55"/>
      <c r="M641" s="53"/>
      <c r="N641" s="53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48">
        <v>44802.0</v>
      </c>
      <c r="B642" s="63" t="s">
        <v>1796</v>
      </c>
      <c r="C642" s="50" t="s">
        <v>77</v>
      </c>
      <c r="D642" s="50" t="s">
        <v>1797</v>
      </c>
      <c r="E642" s="50">
        <v>1.0</v>
      </c>
      <c r="F642" s="51">
        <v>6432.75</v>
      </c>
      <c r="G642" s="50" t="str">
        <f>IF($K642&lt;&gt;"","FATURADO",IF($L642&lt;&gt;"","GANHOU"," "))</f>
        <v>FATURADO</v>
      </c>
      <c r="H642" s="50"/>
      <c r="I642" s="51">
        <v>6432.75</v>
      </c>
      <c r="J642" s="48">
        <v>44882.0</v>
      </c>
      <c r="K642" s="50">
        <v>1993.0</v>
      </c>
      <c r="L642" s="50">
        <v>169002.0</v>
      </c>
      <c r="M642" s="48">
        <v>44946.0</v>
      </c>
      <c r="N642" s="48">
        <v>44910.0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53">
        <v>44802.0</v>
      </c>
      <c r="B643" s="54">
        <v>2239.0</v>
      </c>
      <c r="C643" s="55" t="s">
        <v>77</v>
      </c>
      <c r="D643" s="55" t="s">
        <v>1798</v>
      </c>
      <c r="E643" s="55">
        <v>3.0</v>
      </c>
      <c r="F643" s="56"/>
      <c r="G643" s="55" t="s">
        <v>167</v>
      </c>
      <c r="H643" s="55"/>
      <c r="I643" s="56"/>
      <c r="J643" s="53"/>
      <c r="K643" s="55"/>
      <c r="L643" s="55"/>
      <c r="M643" s="53"/>
      <c r="N643" s="53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48">
        <v>44803.0</v>
      </c>
      <c r="B644" s="57">
        <v>2246.0</v>
      </c>
      <c r="C644" s="50" t="s">
        <v>1799</v>
      </c>
      <c r="D644" s="50" t="s">
        <v>1731</v>
      </c>
      <c r="E644" s="50">
        <v>4.0</v>
      </c>
      <c r="F644" s="51">
        <v>1914.0</v>
      </c>
      <c r="G644" s="50" t="s">
        <v>167</v>
      </c>
      <c r="H644" s="50"/>
      <c r="I644" s="51"/>
      <c r="J644" s="48"/>
      <c r="K644" s="50"/>
      <c r="L644" s="50"/>
      <c r="M644" s="48"/>
      <c r="N644" s="48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53">
        <v>44804.0</v>
      </c>
      <c r="B645" s="67">
        <v>2248.0</v>
      </c>
      <c r="C645" s="55" t="s">
        <v>77</v>
      </c>
      <c r="D645" s="55" t="s">
        <v>1800</v>
      </c>
      <c r="E645" s="55">
        <v>1.0</v>
      </c>
      <c r="F645" s="56">
        <v>1156.34</v>
      </c>
      <c r="G645" s="55" t="s">
        <v>167</v>
      </c>
      <c r="H645" s="62" t="s">
        <v>1801</v>
      </c>
      <c r="I645" s="56"/>
      <c r="J645" s="53"/>
      <c r="K645" s="55"/>
      <c r="L645" s="55"/>
      <c r="M645" s="53"/>
      <c r="N645" s="53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48"/>
      <c r="B646" s="50"/>
      <c r="C646" s="50"/>
      <c r="D646" s="50"/>
      <c r="E646" s="50"/>
      <c r="F646" s="51"/>
      <c r="G646" s="50" t="str">
        <f t="shared" ref="G646:G648" si="19">IF($K646&lt;&gt;"","FATURADO",IF($L646&lt;&gt;"","GANHOU"," "))</f>
        <v> </v>
      </c>
      <c r="H646" s="50"/>
      <c r="I646" s="51"/>
      <c r="J646" s="48"/>
      <c r="K646" s="50"/>
      <c r="L646" s="50"/>
      <c r="M646" s="48"/>
      <c r="N646" s="48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53">
        <v>44805.0</v>
      </c>
      <c r="B647" s="59">
        <v>2251.0</v>
      </c>
      <c r="C647" s="55" t="s">
        <v>19</v>
      </c>
      <c r="D647" s="55" t="s">
        <v>1802</v>
      </c>
      <c r="E647" s="55">
        <v>100.0</v>
      </c>
      <c r="F647" s="56">
        <v>581.0</v>
      </c>
      <c r="G647" s="55" t="str">
        <f t="shared" si="19"/>
        <v>FATURADO</v>
      </c>
      <c r="H647" s="55"/>
      <c r="I647" s="56">
        <v>581.0</v>
      </c>
      <c r="J647" s="53">
        <v>44936.0</v>
      </c>
      <c r="K647" s="55">
        <v>2031.0</v>
      </c>
      <c r="L647" s="62">
        <v>4.500407654E9</v>
      </c>
      <c r="M647" s="53">
        <v>44902.0</v>
      </c>
      <c r="N647" s="53">
        <v>44967.0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48">
        <v>44805.0</v>
      </c>
      <c r="B648" s="60">
        <v>2251.0</v>
      </c>
      <c r="C648" s="50" t="s">
        <v>19</v>
      </c>
      <c r="D648" s="50" t="s">
        <v>1803</v>
      </c>
      <c r="E648" s="50">
        <v>1.0</v>
      </c>
      <c r="F648" s="51">
        <v>3177.6</v>
      </c>
      <c r="G648" s="50" t="str">
        <f t="shared" si="19"/>
        <v>FATURADO</v>
      </c>
      <c r="H648" s="50"/>
      <c r="I648" s="51">
        <v>3177.6</v>
      </c>
      <c r="J648" s="48">
        <v>44823.0</v>
      </c>
      <c r="K648" s="50">
        <v>1930.0</v>
      </c>
      <c r="L648" s="52">
        <v>4.500407654E9</v>
      </c>
      <c r="M648" s="48">
        <v>44818.0</v>
      </c>
      <c r="N648" s="48">
        <v>44853.0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53">
        <v>44806.0</v>
      </c>
      <c r="B649" s="67">
        <v>2252.0</v>
      </c>
      <c r="C649" s="55" t="s">
        <v>77</v>
      </c>
      <c r="D649" s="55" t="s">
        <v>1804</v>
      </c>
      <c r="E649" s="55">
        <v>1.0</v>
      </c>
      <c r="F649" s="56">
        <v>5721.14</v>
      </c>
      <c r="G649" s="55" t="s">
        <v>167</v>
      </c>
      <c r="H649" s="55"/>
      <c r="I649" s="56"/>
      <c r="J649" s="53"/>
      <c r="K649" s="55"/>
      <c r="L649" s="55"/>
      <c r="M649" s="53"/>
      <c r="N649" s="53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48">
        <v>44806.0</v>
      </c>
      <c r="B650" s="49">
        <v>2254.0</v>
      </c>
      <c r="C650" s="50" t="s">
        <v>75</v>
      </c>
      <c r="D650" s="50" t="s">
        <v>1284</v>
      </c>
      <c r="E650" s="50">
        <v>1.0</v>
      </c>
      <c r="F650" s="51">
        <v>2045.24</v>
      </c>
      <c r="G650" s="50" t="s">
        <v>167</v>
      </c>
      <c r="H650" s="50"/>
      <c r="I650" s="51"/>
      <c r="J650" s="48"/>
      <c r="K650" s="50"/>
      <c r="L650" s="50"/>
      <c r="M650" s="48"/>
      <c r="N650" s="48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53">
        <v>44806.0</v>
      </c>
      <c r="B651" s="61">
        <v>2254.0</v>
      </c>
      <c r="C651" s="55" t="s">
        <v>75</v>
      </c>
      <c r="D651" s="55" t="s">
        <v>1427</v>
      </c>
      <c r="E651" s="55">
        <v>1.0</v>
      </c>
      <c r="F651" s="56">
        <v>1449.35</v>
      </c>
      <c r="G651" s="55" t="s">
        <v>167</v>
      </c>
      <c r="H651" s="55"/>
      <c r="I651" s="56"/>
      <c r="J651" s="53"/>
      <c r="K651" s="55"/>
      <c r="L651" s="55"/>
      <c r="M651" s="53"/>
      <c r="N651" s="53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48">
        <v>44806.0</v>
      </c>
      <c r="B652" s="60">
        <v>2254.0</v>
      </c>
      <c r="C652" s="50" t="s">
        <v>75</v>
      </c>
      <c r="D652" s="50" t="s">
        <v>1805</v>
      </c>
      <c r="E652" s="50">
        <v>4.0</v>
      </c>
      <c r="F652" s="51">
        <v>4096.84</v>
      </c>
      <c r="G652" s="50" t="s">
        <v>167</v>
      </c>
      <c r="H652" s="50"/>
      <c r="I652" s="51"/>
      <c r="J652" s="48"/>
      <c r="K652" s="50"/>
      <c r="L652" s="50"/>
      <c r="M652" s="48"/>
      <c r="N652" s="48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53">
        <v>44809.0</v>
      </c>
      <c r="B653" s="59">
        <v>2255.0</v>
      </c>
      <c r="C653" s="55" t="s">
        <v>1614</v>
      </c>
      <c r="D653" s="55" t="s">
        <v>1806</v>
      </c>
      <c r="E653" s="55">
        <v>1.0</v>
      </c>
      <c r="F653" s="56">
        <v>1055.24</v>
      </c>
      <c r="G653" s="55" t="str">
        <f t="shared" ref="G653:G656" si="20">IF($K653&lt;&gt;"","FATURADO",IF($L653&lt;&gt;"","GANHOU"," "))</f>
        <v>GANHOU</v>
      </c>
      <c r="H653" s="62" t="s">
        <v>1807</v>
      </c>
      <c r="I653" s="56"/>
      <c r="J653" s="53"/>
      <c r="K653" s="55"/>
      <c r="L653" s="55">
        <v>2255.0</v>
      </c>
      <c r="M653" s="53"/>
      <c r="N653" s="53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48">
        <v>44809.0</v>
      </c>
      <c r="B654" s="60">
        <v>2255.0</v>
      </c>
      <c r="C654" s="50" t="s">
        <v>1614</v>
      </c>
      <c r="D654" s="50" t="s">
        <v>1808</v>
      </c>
      <c r="E654" s="50">
        <v>1.0</v>
      </c>
      <c r="F654" s="51">
        <v>1203.48</v>
      </c>
      <c r="G654" s="50" t="str">
        <f t="shared" si="20"/>
        <v>GANHOU</v>
      </c>
      <c r="H654" s="50"/>
      <c r="I654" s="51"/>
      <c r="J654" s="48"/>
      <c r="K654" s="50"/>
      <c r="L654" s="50">
        <v>2255.0</v>
      </c>
      <c r="M654" s="48"/>
      <c r="N654" s="48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53">
        <v>44810.0</v>
      </c>
      <c r="B655" s="67">
        <v>2256.0</v>
      </c>
      <c r="C655" s="55" t="s">
        <v>222</v>
      </c>
      <c r="D655" s="55" t="s">
        <v>1809</v>
      </c>
      <c r="E655" s="55">
        <v>2.0</v>
      </c>
      <c r="F655" s="56">
        <v>570.5</v>
      </c>
      <c r="G655" s="55" t="str">
        <f t="shared" si="20"/>
        <v>FATURADO</v>
      </c>
      <c r="H655" s="55"/>
      <c r="I655" s="56">
        <v>570.5</v>
      </c>
      <c r="J655" s="53">
        <v>44823.0</v>
      </c>
      <c r="K655" s="55">
        <v>1928.0</v>
      </c>
      <c r="L655" s="55">
        <v>4.503115069E9</v>
      </c>
      <c r="M655" s="53"/>
      <c r="N655" s="53">
        <v>44853.0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48">
        <v>44812.0</v>
      </c>
      <c r="B656" s="57">
        <v>2258.0</v>
      </c>
      <c r="C656" s="50" t="s">
        <v>77</v>
      </c>
      <c r="D656" s="50" t="s">
        <v>1810</v>
      </c>
      <c r="E656" s="50">
        <v>6.0</v>
      </c>
      <c r="F656" s="51">
        <v>972.72</v>
      </c>
      <c r="G656" s="50" t="str">
        <f t="shared" si="20"/>
        <v>FATURADO</v>
      </c>
      <c r="H656" s="50"/>
      <c r="I656" s="51">
        <v>972.72</v>
      </c>
      <c r="J656" s="48">
        <v>44853.0</v>
      </c>
      <c r="K656" s="50">
        <v>1963.0</v>
      </c>
      <c r="L656" s="50">
        <v>169288.0</v>
      </c>
      <c r="M656" s="48"/>
      <c r="N656" s="48">
        <v>44884.0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53">
        <v>44813.0</v>
      </c>
      <c r="B657" s="67">
        <v>2261.0</v>
      </c>
      <c r="C657" s="55" t="s">
        <v>44</v>
      </c>
      <c r="D657" s="55" t="s">
        <v>615</v>
      </c>
      <c r="E657" s="55">
        <v>1.0</v>
      </c>
      <c r="F657" s="56">
        <v>1620.67</v>
      </c>
      <c r="G657" s="55" t="s">
        <v>167</v>
      </c>
      <c r="H657" s="55"/>
      <c r="I657" s="56"/>
      <c r="J657" s="53"/>
      <c r="K657" s="55"/>
      <c r="L657" s="55"/>
      <c r="M657" s="53"/>
      <c r="N657" s="53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48">
        <v>44813.0</v>
      </c>
      <c r="B658" s="57">
        <v>2265.0</v>
      </c>
      <c r="C658" s="50" t="s">
        <v>1811</v>
      </c>
      <c r="D658" s="73" t="s">
        <v>1812</v>
      </c>
      <c r="E658" s="50">
        <v>2.0</v>
      </c>
      <c r="F658" s="51">
        <v>12158.1</v>
      </c>
      <c r="G658" s="50" t="s">
        <v>167</v>
      </c>
      <c r="H658" s="52" t="s">
        <v>1813</v>
      </c>
      <c r="I658" s="51"/>
      <c r="J658" s="48"/>
      <c r="K658" s="50"/>
      <c r="L658" s="50"/>
      <c r="M658" s="48"/>
      <c r="N658" s="48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53">
        <v>44816.0</v>
      </c>
      <c r="B659" s="67">
        <v>2264.0</v>
      </c>
      <c r="C659" s="55" t="s">
        <v>19</v>
      </c>
      <c r="D659" s="55" t="s">
        <v>1565</v>
      </c>
      <c r="E659" s="55">
        <v>48.0</v>
      </c>
      <c r="F659" s="56">
        <v>936.0</v>
      </c>
      <c r="G659" s="55" t="s">
        <v>180</v>
      </c>
      <c r="H659" s="62"/>
      <c r="I659" s="56">
        <v>936.0</v>
      </c>
      <c r="J659" s="53">
        <v>44823.0</v>
      </c>
      <c r="K659" s="55">
        <v>1932.0</v>
      </c>
      <c r="L659" s="55">
        <v>4.500407977E9</v>
      </c>
      <c r="M659" s="53"/>
      <c r="N659" s="53">
        <v>44853.0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48">
        <v>44816.0</v>
      </c>
      <c r="B660" s="57">
        <v>2264.0</v>
      </c>
      <c r="C660" s="50" t="s">
        <v>19</v>
      </c>
      <c r="D660" s="50" t="s">
        <v>1565</v>
      </c>
      <c r="E660" s="50">
        <v>22.0</v>
      </c>
      <c r="F660" s="51">
        <v>429.0</v>
      </c>
      <c r="G660" s="50" t="s">
        <v>180</v>
      </c>
      <c r="H660" s="50"/>
      <c r="I660" s="51">
        <v>429.0</v>
      </c>
      <c r="J660" s="48">
        <v>44844.0</v>
      </c>
      <c r="K660" s="50">
        <v>1952.0</v>
      </c>
      <c r="L660" s="50">
        <v>4.500407977E9</v>
      </c>
      <c r="M660" s="48">
        <v>44837.0</v>
      </c>
      <c r="N660" s="48">
        <v>44875.0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53">
        <v>44816.0</v>
      </c>
      <c r="B661" s="59">
        <v>2267.0</v>
      </c>
      <c r="C661" s="55" t="s">
        <v>1814</v>
      </c>
      <c r="D661" s="55" t="s">
        <v>1815</v>
      </c>
      <c r="E661" s="55">
        <v>1.0</v>
      </c>
      <c r="F661" s="56">
        <v>5962.72</v>
      </c>
      <c r="G661" s="55" t="s">
        <v>167</v>
      </c>
      <c r="H661" s="55"/>
      <c r="I661" s="56"/>
      <c r="J661" s="53"/>
      <c r="K661" s="55"/>
      <c r="L661" s="55"/>
      <c r="M661" s="53"/>
      <c r="N661" s="53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48">
        <v>44816.0</v>
      </c>
      <c r="B662" s="49">
        <v>2268.0</v>
      </c>
      <c r="C662" s="50" t="s">
        <v>44</v>
      </c>
      <c r="D662" s="50" t="s">
        <v>1816</v>
      </c>
      <c r="E662" s="50">
        <v>1.0</v>
      </c>
      <c r="F662" s="51">
        <v>3428.82</v>
      </c>
      <c r="G662" s="50" t="s">
        <v>1560</v>
      </c>
      <c r="H662" s="50"/>
      <c r="I662" s="51"/>
      <c r="J662" s="48"/>
      <c r="K662" s="50"/>
      <c r="L662" s="50">
        <v>4.501623299E9</v>
      </c>
      <c r="M662" s="48">
        <v>44938.0</v>
      </c>
      <c r="N662" s="48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53">
        <v>44816.0</v>
      </c>
      <c r="B663" s="61">
        <v>2268.0</v>
      </c>
      <c r="C663" s="55" t="s">
        <v>44</v>
      </c>
      <c r="D663" s="55" t="s">
        <v>1817</v>
      </c>
      <c r="E663" s="55">
        <v>1.0</v>
      </c>
      <c r="F663" s="56">
        <v>1499.68</v>
      </c>
      <c r="G663" s="55" t="s">
        <v>180</v>
      </c>
      <c r="H663" s="55"/>
      <c r="I663" s="56">
        <v>1499.68</v>
      </c>
      <c r="J663" s="53">
        <v>44861.0</v>
      </c>
      <c r="K663" s="55">
        <v>1975.0</v>
      </c>
      <c r="L663" s="55">
        <v>4.501623299E9</v>
      </c>
      <c r="M663" s="53">
        <v>44871.0</v>
      </c>
      <c r="N663" s="53">
        <v>44892.0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48">
        <v>44816.0</v>
      </c>
      <c r="B664" s="60">
        <v>2268.0</v>
      </c>
      <c r="C664" s="50" t="s">
        <v>44</v>
      </c>
      <c r="D664" s="50" t="s">
        <v>1818</v>
      </c>
      <c r="E664" s="50">
        <v>1.0</v>
      </c>
      <c r="F664" s="51">
        <v>2457.88</v>
      </c>
      <c r="G664" s="50" t="s">
        <v>1560</v>
      </c>
      <c r="H664" s="50"/>
      <c r="I664" s="51"/>
      <c r="J664" s="48"/>
      <c r="K664" s="50"/>
      <c r="L664" s="50">
        <v>4.501623299E9</v>
      </c>
      <c r="M664" s="48">
        <v>44938.0</v>
      </c>
      <c r="N664" s="48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53">
        <v>44816.0</v>
      </c>
      <c r="B665" s="67">
        <v>2269.0</v>
      </c>
      <c r="C665" s="55" t="s">
        <v>44</v>
      </c>
      <c r="D665" s="55" t="s">
        <v>759</v>
      </c>
      <c r="E665" s="55">
        <v>1.0</v>
      </c>
      <c r="F665" s="56">
        <v>5855.56</v>
      </c>
      <c r="G665" s="55" t="str">
        <f t="shared" ref="G665:G666" si="21">IF($K665&lt;&gt;"","FATURADO",IF($L665&lt;&gt;"","GANHOU"," "))</f>
        <v>FATURADO</v>
      </c>
      <c r="H665" s="55"/>
      <c r="I665" s="56">
        <v>5855.56</v>
      </c>
      <c r="J665" s="53">
        <v>44861.0</v>
      </c>
      <c r="K665" s="55">
        <v>1973.0</v>
      </c>
      <c r="L665" s="55">
        <v>4.501623937E9</v>
      </c>
      <c r="M665" s="53">
        <v>44948.0</v>
      </c>
      <c r="N665" s="53">
        <v>44892.0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48">
        <v>44816.0</v>
      </c>
      <c r="B666" s="57">
        <v>2270.0</v>
      </c>
      <c r="C666" s="50" t="s">
        <v>44</v>
      </c>
      <c r="D666" s="50" t="s">
        <v>1819</v>
      </c>
      <c r="E666" s="50">
        <v>2.0</v>
      </c>
      <c r="F666" s="51">
        <v>3594.83</v>
      </c>
      <c r="G666" s="50" t="str">
        <f t="shared" si="21"/>
        <v>FATURADO</v>
      </c>
      <c r="H666" s="50"/>
      <c r="I666" s="51">
        <v>3594.83</v>
      </c>
      <c r="J666" s="48">
        <v>44866.0</v>
      </c>
      <c r="K666" s="50">
        <v>1980.0</v>
      </c>
      <c r="L666" s="50">
        <v>4.50161407E9</v>
      </c>
      <c r="M666" s="48">
        <v>44998.0</v>
      </c>
      <c r="N666" s="48">
        <v>44896.0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53">
        <v>44818.0</v>
      </c>
      <c r="B667" s="55"/>
      <c r="C667" s="55" t="s">
        <v>1820</v>
      </c>
      <c r="D667" s="55" t="s">
        <v>1821</v>
      </c>
      <c r="E667" s="55">
        <v>1.0</v>
      </c>
      <c r="F667" s="56"/>
      <c r="G667" s="55" t="s">
        <v>241</v>
      </c>
      <c r="H667" s="62" t="s">
        <v>1822</v>
      </c>
      <c r="I667" s="56"/>
      <c r="J667" s="53"/>
      <c r="K667" s="55"/>
      <c r="L667" s="55"/>
      <c r="M667" s="53"/>
      <c r="N667" s="53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48">
        <v>44818.0</v>
      </c>
      <c r="B668" s="57">
        <v>2273.0</v>
      </c>
      <c r="C668" s="50" t="s">
        <v>19</v>
      </c>
      <c r="D668" s="50" t="s">
        <v>1823</v>
      </c>
      <c r="E668" s="50">
        <v>40.0</v>
      </c>
      <c r="F668" s="51">
        <v>1400.0</v>
      </c>
      <c r="G668" s="50" t="str">
        <f t="shared" ref="G668:G709" si="22">IF($K668&lt;&gt;"","FATURADO",IF($L668&lt;&gt;"","GANHOU"," "))</f>
        <v>FATURADO</v>
      </c>
      <c r="H668" s="52"/>
      <c r="I668" s="51">
        <v>1400.0</v>
      </c>
      <c r="J668" s="48">
        <v>44852.0</v>
      </c>
      <c r="K668" s="50">
        <v>1961.0</v>
      </c>
      <c r="L668" s="50">
        <v>4.500409162E9</v>
      </c>
      <c r="M668" s="48"/>
      <c r="N668" s="48">
        <v>44883.0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53">
        <v>44818.0</v>
      </c>
      <c r="B669" s="67">
        <v>2273.0</v>
      </c>
      <c r="C669" s="55" t="s">
        <v>19</v>
      </c>
      <c r="D669" s="55" t="s">
        <v>1823</v>
      </c>
      <c r="E669" s="55">
        <v>90.0</v>
      </c>
      <c r="F669" s="56">
        <v>3150.0</v>
      </c>
      <c r="G669" s="55" t="str">
        <f t="shared" si="22"/>
        <v>GANHOU</v>
      </c>
      <c r="H669" s="55"/>
      <c r="I669" s="56"/>
      <c r="J669" s="53"/>
      <c r="K669" s="55"/>
      <c r="L669" s="55">
        <v>4.500409162E9</v>
      </c>
      <c r="M669" s="53">
        <v>44834.0</v>
      </c>
      <c r="N669" s="53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48">
        <v>44820.0</v>
      </c>
      <c r="B670" s="57">
        <v>2282.0</v>
      </c>
      <c r="C670" s="50" t="s">
        <v>77</v>
      </c>
      <c r="D670" s="50" t="s">
        <v>1824</v>
      </c>
      <c r="E670" s="50">
        <v>1.0</v>
      </c>
      <c r="F670" s="51">
        <v>27675.59</v>
      </c>
      <c r="G670" s="50" t="str">
        <f t="shared" si="22"/>
        <v> </v>
      </c>
      <c r="H670" s="52" t="s">
        <v>1825</v>
      </c>
      <c r="I670" s="51"/>
      <c r="J670" s="48"/>
      <c r="K670" s="50"/>
      <c r="L670" s="50"/>
      <c r="M670" s="48"/>
      <c r="N670" s="48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53">
        <v>44823.0</v>
      </c>
      <c r="B671" s="67">
        <v>2275.0</v>
      </c>
      <c r="C671" s="55" t="s">
        <v>188</v>
      </c>
      <c r="D671" s="55" t="s">
        <v>1826</v>
      </c>
      <c r="E671" s="55">
        <v>20.0</v>
      </c>
      <c r="F671" s="56">
        <v>596.0</v>
      </c>
      <c r="G671" s="55" t="str">
        <f t="shared" si="22"/>
        <v>FATURADO</v>
      </c>
      <c r="H671" s="55"/>
      <c r="I671" s="56">
        <v>596.0</v>
      </c>
      <c r="J671" s="53">
        <v>44844.0</v>
      </c>
      <c r="K671" s="55">
        <v>1951.0</v>
      </c>
      <c r="L671" s="55">
        <v>5.202113187E9</v>
      </c>
      <c r="M671" s="53">
        <v>44866.0</v>
      </c>
      <c r="N671" s="53">
        <v>44890.0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48">
        <v>44823.0</v>
      </c>
      <c r="B672" s="57">
        <v>2276.0</v>
      </c>
      <c r="C672" s="50" t="s">
        <v>44</v>
      </c>
      <c r="D672" s="50" t="s">
        <v>1827</v>
      </c>
      <c r="E672" s="50">
        <v>1.0</v>
      </c>
      <c r="F672" s="78">
        <v>45977.01</v>
      </c>
      <c r="G672" s="50" t="str">
        <f t="shared" si="22"/>
        <v>FATURADO</v>
      </c>
      <c r="H672" s="50"/>
      <c r="I672" s="78">
        <v>45977.01</v>
      </c>
      <c r="J672" s="48">
        <v>44883.0</v>
      </c>
      <c r="K672" s="50">
        <v>1995.0</v>
      </c>
      <c r="L672" s="50">
        <v>4.501615573E9</v>
      </c>
      <c r="M672" s="48">
        <v>44844.0</v>
      </c>
      <c r="N672" s="48">
        <v>44915.0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53">
        <v>44823.0</v>
      </c>
      <c r="B673" s="67">
        <v>2277.0</v>
      </c>
      <c r="C673" s="55" t="s">
        <v>44</v>
      </c>
      <c r="D673" s="55" t="s">
        <v>825</v>
      </c>
      <c r="E673" s="55">
        <v>1.0</v>
      </c>
      <c r="F673" s="56">
        <v>1430.5</v>
      </c>
      <c r="G673" s="55" t="str">
        <f t="shared" si="22"/>
        <v>FATURADO</v>
      </c>
      <c r="H673" s="55"/>
      <c r="I673" s="56">
        <v>1430.5</v>
      </c>
      <c r="J673" s="53">
        <v>44844.0</v>
      </c>
      <c r="K673" s="55">
        <v>1953.0</v>
      </c>
      <c r="L673" s="55">
        <v>4.501615124E9</v>
      </c>
      <c r="M673" s="53">
        <v>44844.0</v>
      </c>
      <c r="N673" s="53">
        <v>44875.0</v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48">
        <v>44824.0</v>
      </c>
      <c r="B674" s="49">
        <v>2281.0</v>
      </c>
      <c r="C674" s="50" t="s">
        <v>44</v>
      </c>
      <c r="D674" s="50" t="s">
        <v>1828</v>
      </c>
      <c r="E674" s="50">
        <v>1.0</v>
      </c>
      <c r="F674" s="51">
        <v>12016.37</v>
      </c>
      <c r="G674" s="50" t="str">
        <f t="shared" si="22"/>
        <v> </v>
      </c>
      <c r="H674" s="52" t="s">
        <v>1829</v>
      </c>
      <c r="I674" s="51"/>
      <c r="J674" s="48"/>
      <c r="K674" s="50"/>
      <c r="L674" s="50"/>
      <c r="M674" s="48"/>
      <c r="N674" s="48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53">
        <v>44824.0</v>
      </c>
      <c r="B675" s="54">
        <v>2281.0</v>
      </c>
      <c r="C675" s="55" t="s">
        <v>44</v>
      </c>
      <c r="D675" s="55" t="s">
        <v>1830</v>
      </c>
      <c r="E675" s="55">
        <v>1.0</v>
      </c>
      <c r="F675" s="56">
        <v>4188.48</v>
      </c>
      <c r="G675" s="55" t="str">
        <f t="shared" si="22"/>
        <v> </v>
      </c>
      <c r="H675" s="55"/>
      <c r="I675" s="56"/>
      <c r="J675" s="53"/>
      <c r="K675" s="55"/>
      <c r="L675" s="55"/>
      <c r="M675" s="53"/>
      <c r="N675" s="53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48">
        <v>44824.0</v>
      </c>
      <c r="B676" s="57">
        <v>2283.0</v>
      </c>
      <c r="C676" s="50" t="s">
        <v>1831</v>
      </c>
      <c r="D676" s="50" t="s">
        <v>1832</v>
      </c>
      <c r="E676" s="50">
        <v>3.0</v>
      </c>
      <c r="F676" s="51">
        <v>26447.4</v>
      </c>
      <c r="G676" s="50" t="str">
        <f t="shared" si="22"/>
        <v> </v>
      </c>
      <c r="H676" s="52" t="s">
        <v>1833</v>
      </c>
      <c r="I676" s="51"/>
      <c r="J676" s="48"/>
      <c r="K676" s="50"/>
      <c r="L676" s="50"/>
      <c r="M676" s="48"/>
      <c r="N676" s="4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53">
        <v>44826.0</v>
      </c>
      <c r="B677" s="59">
        <v>2284.0</v>
      </c>
      <c r="C677" s="55" t="s">
        <v>1756</v>
      </c>
      <c r="D677" s="55" t="s">
        <v>1834</v>
      </c>
      <c r="E677" s="55">
        <v>5.0</v>
      </c>
      <c r="F677" s="56">
        <v>1680.25</v>
      </c>
      <c r="G677" s="55" t="str">
        <f t="shared" si="22"/>
        <v> </v>
      </c>
      <c r="H677" s="55"/>
      <c r="I677" s="56"/>
      <c r="J677" s="53"/>
      <c r="K677" s="55"/>
      <c r="L677" s="55"/>
      <c r="M677" s="53"/>
      <c r="N677" s="53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48">
        <v>44826.0</v>
      </c>
      <c r="B678" s="60">
        <v>2284.0</v>
      </c>
      <c r="C678" s="50" t="s">
        <v>1756</v>
      </c>
      <c r="D678" s="50" t="s">
        <v>1835</v>
      </c>
      <c r="E678" s="50">
        <v>5.0</v>
      </c>
      <c r="F678" s="51">
        <v>2261.35</v>
      </c>
      <c r="G678" s="50" t="str">
        <f t="shared" si="22"/>
        <v> </v>
      </c>
      <c r="H678" s="50"/>
      <c r="I678" s="51"/>
      <c r="J678" s="48"/>
      <c r="K678" s="50"/>
      <c r="L678" s="50"/>
      <c r="M678" s="48"/>
      <c r="N678" s="4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53">
        <v>44827.0</v>
      </c>
      <c r="B679" s="67">
        <v>2286.0</v>
      </c>
      <c r="C679" s="55" t="s">
        <v>44</v>
      </c>
      <c r="D679" s="55" t="s">
        <v>1836</v>
      </c>
      <c r="E679" s="55">
        <v>1.0</v>
      </c>
      <c r="F679" s="56">
        <v>5056.27</v>
      </c>
      <c r="G679" s="55" t="str">
        <f t="shared" si="22"/>
        <v> </v>
      </c>
      <c r="H679" s="55"/>
      <c r="I679" s="56"/>
      <c r="J679" s="53"/>
      <c r="K679" s="55"/>
      <c r="L679" s="55"/>
      <c r="M679" s="53"/>
      <c r="N679" s="53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48">
        <v>44827.0</v>
      </c>
      <c r="B680" s="57">
        <v>2285.0</v>
      </c>
      <c r="C680" s="50" t="s">
        <v>44</v>
      </c>
      <c r="D680" s="50" t="s">
        <v>1837</v>
      </c>
      <c r="E680" s="50">
        <v>1.0</v>
      </c>
      <c r="F680" s="51">
        <v>703.08</v>
      </c>
      <c r="G680" s="50" t="str">
        <f t="shared" si="22"/>
        <v>FATURADO</v>
      </c>
      <c r="H680" s="50"/>
      <c r="I680" s="51">
        <v>703.08</v>
      </c>
      <c r="J680" s="48">
        <v>44883.0</v>
      </c>
      <c r="K680" s="50">
        <v>1996.0</v>
      </c>
      <c r="L680" s="50">
        <v>4.501614639E9</v>
      </c>
      <c r="M680" s="48">
        <v>44882.0</v>
      </c>
      <c r="N680" s="48">
        <v>44915.0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53">
        <v>44830.0</v>
      </c>
      <c r="B681" s="67">
        <v>2287.0</v>
      </c>
      <c r="C681" s="55" t="s">
        <v>1756</v>
      </c>
      <c r="D681" s="55" t="s">
        <v>1838</v>
      </c>
      <c r="E681" s="55">
        <v>5.0</v>
      </c>
      <c r="F681" s="56">
        <v>3164.92</v>
      </c>
      <c r="G681" s="55" t="str">
        <f t="shared" si="22"/>
        <v> </v>
      </c>
      <c r="H681" s="62" t="s">
        <v>1839</v>
      </c>
      <c r="I681" s="56"/>
      <c r="J681" s="53"/>
      <c r="K681" s="55"/>
      <c r="L681" s="55"/>
      <c r="M681" s="53"/>
      <c r="N681" s="53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48">
        <v>44832.0</v>
      </c>
      <c r="B682" s="49">
        <v>2289.0</v>
      </c>
      <c r="C682" s="50" t="s">
        <v>1840</v>
      </c>
      <c r="D682" s="50" t="s">
        <v>1731</v>
      </c>
      <c r="E682" s="50">
        <v>2.0</v>
      </c>
      <c r="F682" s="51">
        <v>539.47</v>
      </c>
      <c r="G682" s="50" t="str">
        <f t="shared" si="22"/>
        <v> </v>
      </c>
      <c r="H682" s="50"/>
      <c r="I682" s="51"/>
      <c r="J682" s="48"/>
      <c r="K682" s="50"/>
      <c r="L682" s="50"/>
      <c r="M682" s="48"/>
      <c r="N682" s="4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53">
        <v>44833.0</v>
      </c>
      <c r="B683" s="59">
        <v>2290.0</v>
      </c>
      <c r="C683" s="55" t="s">
        <v>1841</v>
      </c>
      <c r="D683" s="55" t="s">
        <v>1842</v>
      </c>
      <c r="E683" s="55">
        <v>2.0</v>
      </c>
      <c r="F683" s="56">
        <v>2150.6</v>
      </c>
      <c r="G683" s="55" t="str">
        <f t="shared" si="22"/>
        <v>FATURADO</v>
      </c>
      <c r="H683" s="55"/>
      <c r="I683" s="56">
        <v>2150.6</v>
      </c>
      <c r="J683" s="53">
        <v>44869.0</v>
      </c>
      <c r="K683" s="55">
        <v>1982.0</v>
      </c>
      <c r="L683" s="55">
        <v>4.50020618E9</v>
      </c>
      <c r="M683" s="55"/>
      <c r="N683" s="53">
        <v>44899.0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48">
        <v>44833.0</v>
      </c>
      <c r="B684" s="63">
        <v>2290.0</v>
      </c>
      <c r="C684" s="50" t="s">
        <v>1841</v>
      </c>
      <c r="D684" s="50" t="s">
        <v>1842</v>
      </c>
      <c r="E684" s="50">
        <v>1.0</v>
      </c>
      <c r="F684" s="51">
        <v>1075.3</v>
      </c>
      <c r="G684" s="50" t="str">
        <f t="shared" si="22"/>
        <v>FATURADO</v>
      </c>
      <c r="H684" s="50"/>
      <c r="I684" s="51">
        <v>1075.3</v>
      </c>
      <c r="J684" s="48">
        <v>44939.0</v>
      </c>
      <c r="K684" s="50">
        <v>2040.0</v>
      </c>
      <c r="L684" s="50">
        <v>4.50020618E9</v>
      </c>
      <c r="M684" s="48">
        <v>44981.0</v>
      </c>
      <c r="N684" s="48">
        <v>44970.0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53">
        <v>44833.0</v>
      </c>
      <c r="B685" s="54">
        <v>2290.0</v>
      </c>
      <c r="C685" s="55" t="s">
        <v>1841</v>
      </c>
      <c r="D685" s="55" t="s">
        <v>1843</v>
      </c>
      <c r="E685" s="55">
        <v>1.0</v>
      </c>
      <c r="F685" s="56">
        <v>7826.28</v>
      </c>
      <c r="G685" s="55" t="str">
        <f t="shared" si="22"/>
        <v>FATURADO</v>
      </c>
      <c r="H685" s="55"/>
      <c r="I685" s="56">
        <v>7826.28</v>
      </c>
      <c r="J685" s="53">
        <v>44869.0</v>
      </c>
      <c r="K685" s="55">
        <v>1982.0</v>
      </c>
      <c r="L685" s="55">
        <v>4.50020618E9</v>
      </c>
      <c r="M685" s="53">
        <v>44881.0</v>
      </c>
      <c r="N685" s="53">
        <v>44899.0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48">
        <v>44834.0</v>
      </c>
      <c r="B686" s="60">
        <v>2292.0</v>
      </c>
      <c r="C686" s="50" t="s">
        <v>188</v>
      </c>
      <c r="D686" s="50" t="s">
        <v>1844</v>
      </c>
      <c r="E686" s="50">
        <v>5.0</v>
      </c>
      <c r="F686" s="51">
        <v>97.5</v>
      </c>
      <c r="G686" s="50" t="str">
        <f t="shared" si="22"/>
        <v>FATURADO</v>
      </c>
      <c r="H686" s="50"/>
      <c r="I686" s="51">
        <v>97.5</v>
      </c>
      <c r="J686" s="48">
        <v>44838.0</v>
      </c>
      <c r="K686" s="50">
        <v>1948.0</v>
      </c>
      <c r="L686" s="50">
        <v>5.202118283E9</v>
      </c>
      <c r="M686" s="48"/>
      <c r="N686" s="48">
        <v>44884.0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53"/>
      <c r="B687" s="55"/>
      <c r="C687" s="55"/>
      <c r="D687" s="55"/>
      <c r="E687" s="55"/>
      <c r="F687" s="56"/>
      <c r="G687" s="55" t="str">
        <f t="shared" si="22"/>
        <v> </v>
      </c>
      <c r="H687" s="55"/>
      <c r="I687" s="56"/>
      <c r="J687" s="53"/>
      <c r="K687" s="55"/>
      <c r="L687" s="55"/>
      <c r="M687" s="53"/>
      <c r="N687" s="53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48">
        <v>44837.0</v>
      </c>
      <c r="B688" s="49">
        <v>2296.0</v>
      </c>
      <c r="C688" s="50" t="s">
        <v>790</v>
      </c>
      <c r="D688" s="50" t="s">
        <v>617</v>
      </c>
      <c r="E688" s="50">
        <v>6.0</v>
      </c>
      <c r="F688" s="51">
        <v>3309.08</v>
      </c>
      <c r="G688" s="50" t="str">
        <f t="shared" si="22"/>
        <v> </v>
      </c>
      <c r="H688" s="52" t="s">
        <v>1845</v>
      </c>
      <c r="I688" s="51"/>
      <c r="J688" s="48"/>
      <c r="K688" s="50"/>
      <c r="L688" s="50"/>
      <c r="M688" s="48"/>
      <c r="N688" s="4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53">
        <v>44837.0</v>
      </c>
      <c r="B689" s="61">
        <v>2296.0</v>
      </c>
      <c r="C689" s="55" t="s">
        <v>790</v>
      </c>
      <c r="D689" s="55" t="s">
        <v>1846</v>
      </c>
      <c r="E689" s="55">
        <v>2.0</v>
      </c>
      <c r="F689" s="56">
        <v>2123.99</v>
      </c>
      <c r="G689" s="55" t="str">
        <f t="shared" si="22"/>
        <v> </v>
      </c>
      <c r="H689" s="55"/>
      <c r="I689" s="56"/>
      <c r="J689" s="53"/>
      <c r="K689" s="55"/>
      <c r="L689" s="55"/>
      <c r="M689" s="53"/>
      <c r="N689" s="53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48">
        <v>44837.0</v>
      </c>
      <c r="B690" s="63">
        <v>2296.0</v>
      </c>
      <c r="C690" s="50" t="s">
        <v>790</v>
      </c>
      <c r="D690" s="50" t="s">
        <v>1847</v>
      </c>
      <c r="E690" s="50">
        <v>2.0</v>
      </c>
      <c r="F690" s="51">
        <v>2042.39</v>
      </c>
      <c r="G690" s="50" t="str">
        <f t="shared" si="22"/>
        <v> </v>
      </c>
      <c r="H690" s="50"/>
      <c r="I690" s="51"/>
      <c r="J690" s="48"/>
      <c r="K690" s="50"/>
      <c r="L690" s="50"/>
      <c r="M690" s="48"/>
      <c r="N690" s="4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53">
        <v>44837.0</v>
      </c>
      <c r="B691" s="54">
        <v>2296.0</v>
      </c>
      <c r="C691" s="55" t="s">
        <v>790</v>
      </c>
      <c r="D691" s="55" t="s">
        <v>1848</v>
      </c>
      <c r="E691" s="55">
        <v>2.0</v>
      </c>
      <c r="F691" s="56">
        <v>2123.99</v>
      </c>
      <c r="G691" s="55" t="str">
        <f t="shared" si="22"/>
        <v> </v>
      </c>
      <c r="H691" s="55"/>
      <c r="I691" s="56"/>
      <c r="J691" s="53"/>
      <c r="K691" s="55"/>
      <c r="L691" s="55"/>
      <c r="M691" s="53"/>
      <c r="N691" s="53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48">
        <v>44838.0</v>
      </c>
      <c r="B692" s="57">
        <v>2297.0</v>
      </c>
      <c r="C692" s="50" t="s">
        <v>1442</v>
      </c>
      <c r="D692" s="50" t="s">
        <v>1849</v>
      </c>
      <c r="E692" s="50">
        <v>6.0</v>
      </c>
      <c r="F692" s="51">
        <v>997.86</v>
      </c>
      <c r="G692" s="50" t="str">
        <f t="shared" si="22"/>
        <v>FATURADO</v>
      </c>
      <c r="H692" s="50"/>
      <c r="I692" s="51">
        <v>997.86</v>
      </c>
      <c r="J692" s="48">
        <v>44848.0</v>
      </c>
      <c r="K692" s="50">
        <v>1956.0</v>
      </c>
      <c r="L692" s="50">
        <v>62666.0</v>
      </c>
      <c r="M692" s="48">
        <v>44839.0</v>
      </c>
      <c r="N692" s="48">
        <v>44879.0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53">
        <v>44838.0</v>
      </c>
      <c r="B693" s="59">
        <v>2298.0</v>
      </c>
      <c r="C693" s="55" t="s">
        <v>1850</v>
      </c>
      <c r="D693" s="55" t="s">
        <v>1851</v>
      </c>
      <c r="E693" s="55">
        <v>10.0</v>
      </c>
      <c r="F693" s="56">
        <v>13756.73</v>
      </c>
      <c r="G693" s="55" t="str">
        <f t="shared" si="22"/>
        <v>GANHOU</v>
      </c>
      <c r="H693" s="55"/>
      <c r="I693" s="56"/>
      <c r="J693" s="53"/>
      <c r="K693" s="55"/>
      <c r="L693" s="55">
        <v>1.5719397E7</v>
      </c>
      <c r="M693" s="53">
        <v>44990.0</v>
      </c>
      <c r="N693" s="53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48">
        <v>44838.0</v>
      </c>
      <c r="B694" s="63">
        <v>2298.0</v>
      </c>
      <c r="C694" s="50" t="s">
        <v>1850</v>
      </c>
      <c r="D694" s="50" t="s">
        <v>1852</v>
      </c>
      <c r="E694" s="50">
        <v>10.0</v>
      </c>
      <c r="F694" s="51">
        <v>6049.72</v>
      </c>
      <c r="G694" s="50" t="str">
        <f t="shared" si="22"/>
        <v>GANHOU</v>
      </c>
      <c r="H694" s="50"/>
      <c r="I694" s="51"/>
      <c r="J694" s="48"/>
      <c r="K694" s="50"/>
      <c r="L694" s="50">
        <v>1.5719397E7</v>
      </c>
      <c r="M694" s="48">
        <v>44990.0</v>
      </c>
      <c r="N694" s="4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53">
        <v>44838.0</v>
      </c>
      <c r="B695" s="61">
        <v>2298.0</v>
      </c>
      <c r="C695" s="55" t="s">
        <v>1850</v>
      </c>
      <c r="D695" s="55" t="s">
        <v>1853</v>
      </c>
      <c r="E695" s="55">
        <v>5.0</v>
      </c>
      <c r="F695" s="56">
        <v>9018.73</v>
      </c>
      <c r="G695" s="55" t="str">
        <f t="shared" si="22"/>
        <v>GANHOU</v>
      </c>
      <c r="H695" s="55"/>
      <c r="I695" s="56"/>
      <c r="J695" s="53"/>
      <c r="K695" s="55"/>
      <c r="L695" s="55">
        <v>1.5719397E7</v>
      </c>
      <c r="M695" s="53">
        <v>44990.0</v>
      </c>
      <c r="N695" s="53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48">
        <v>44838.0</v>
      </c>
      <c r="B696" s="63">
        <v>2298.0</v>
      </c>
      <c r="C696" s="50" t="s">
        <v>1850</v>
      </c>
      <c r="D696" s="50" t="s">
        <v>1854</v>
      </c>
      <c r="E696" s="50">
        <v>1.0</v>
      </c>
      <c r="F696" s="51">
        <v>1525.26</v>
      </c>
      <c r="G696" s="50" t="str">
        <f t="shared" si="22"/>
        <v>GANHOU</v>
      </c>
      <c r="H696" s="50"/>
      <c r="I696" s="51"/>
      <c r="J696" s="48"/>
      <c r="K696" s="50"/>
      <c r="L696" s="50">
        <v>1.5719397E7</v>
      </c>
      <c r="M696" s="48">
        <v>44990.0</v>
      </c>
      <c r="N696" s="4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53">
        <v>44838.0</v>
      </c>
      <c r="B697" s="61">
        <v>2298.0</v>
      </c>
      <c r="C697" s="55" t="s">
        <v>1850</v>
      </c>
      <c r="D697" s="55" t="s">
        <v>1855</v>
      </c>
      <c r="E697" s="55">
        <v>1.0</v>
      </c>
      <c r="F697" s="56">
        <v>1619.98</v>
      </c>
      <c r="G697" s="55" t="str">
        <f t="shared" si="22"/>
        <v>GANHOU</v>
      </c>
      <c r="H697" s="55"/>
      <c r="I697" s="56"/>
      <c r="J697" s="53"/>
      <c r="K697" s="55"/>
      <c r="L697" s="55">
        <v>1.5719397E7</v>
      </c>
      <c r="M697" s="53">
        <v>44990.0</v>
      </c>
      <c r="N697" s="53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48">
        <v>44838.0</v>
      </c>
      <c r="B698" s="63">
        <v>2298.0</v>
      </c>
      <c r="C698" s="50" t="s">
        <v>1850</v>
      </c>
      <c r="D698" s="50" t="s">
        <v>1856</v>
      </c>
      <c r="E698" s="50">
        <v>3.0</v>
      </c>
      <c r="F698" s="51">
        <v>3484.48</v>
      </c>
      <c r="G698" s="50" t="str">
        <f t="shared" si="22"/>
        <v>GANHOU</v>
      </c>
      <c r="H698" s="50"/>
      <c r="I698" s="51"/>
      <c r="J698" s="48"/>
      <c r="K698" s="50"/>
      <c r="L698" s="50">
        <v>1.5719397E7</v>
      </c>
      <c r="M698" s="48">
        <v>44990.0</v>
      </c>
      <c r="N698" s="4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53">
        <v>44838.0</v>
      </c>
      <c r="B699" s="61">
        <v>2298.0</v>
      </c>
      <c r="C699" s="55" t="s">
        <v>1850</v>
      </c>
      <c r="D699" s="55" t="s">
        <v>1857</v>
      </c>
      <c r="E699" s="55">
        <v>1.0</v>
      </c>
      <c r="F699" s="56">
        <v>1398.96</v>
      </c>
      <c r="G699" s="55" t="str">
        <f t="shared" si="22"/>
        <v>GANHOU</v>
      </c>
      <c r="H699" s="55"/>
      <c r="I699" s="56"/>
      <c r="J699" s="53"/>
      <c r="K699" s="55"/>
      <c r="L699" s="55">
        <v>1.5719397E7</v>
      </c>
      <c r="M699" s="53">
        <v>44990.0</v>
      </c>
      <c r="N699" s="53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48">
        <v>44838.0</v>
      </c>
      <c r="B700" s="60">
        <v>2298.0</v>
      </c>
      <c r="C700" s="50" t="s">
        <v>1850</v>
      </c>
      <c r="D700" s="50" t="s">
        <v>1858</v>
      </c>
      <c r="E700" s="50">
        <v>3.0</v>
      </c>
      <c r="F700" s="51">
        <v>13625.48</v>
      </c>
      <c r="G700" s="50" t="str">
        <f t="shared" si="22"/>
        <v>GANHOU</v>
      </c>
      <c r="H700" s="50"/>
      <c r="I700" s="51"/>
      <c r="J700" s="48"/>
      <c r="K700" s="50"/>
      <c r="L700" s="50">
        <v>1.5719397E7</v>
      </c>
      <c r="M700" s="48">
        <v>44990.0</v>
      </c>
      <c r="N700" s="4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53">
        <v>44840.0</v>
      </c>
      <c r="B701" s="59">
        <v>2299.0</v>
      </c>
      <c r="C701" s="55" t="s">
        <v>19</v>
      </c>
      <c r="D701" s="55" t="s">
        <v>1859</v>
      </c>
      <c r="E701" s="55">
        <v>90.0</v>
      </c>
      <c r="F701" s="56">
        <v>1368.0</v>
      </c>
      <c r="G701" s="55" t="str">
        <f t="shared" si="22"/>
        <v>FATURADO</v>
      </c>
      <c r="H701" s="55"/>
      <c r="I701" s="56">
        <v>1368.0</v>
      </c>
      <c r="J701" s="53">
        <v>44860.0</v>
      </c>
      <c r="K701" s="55">
        <v>1968.0</v>
      </c>
      <c r="L701" s="55">
        <v>4.500411574E9</v>
      </c>
      <c r="M701" s="53">
        <v>44883.0</v>
      </c>
      <c r="N701" s="53">
        <v>44891.0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48">
        <v>44840.0</v>
      </c>
      <c r="B702" s="63">
        <v>2299.0</v>
      </c>
      <c r="C702" s="50" t="s">
        <v>19</v>
      </c>
      <c r="D702" s="50" t="s">
        <v>1859</v>
      </c>
      <c r="E702" s="50">
        <v>60.0</v>
      </c>
      <c r="F702" s="51">
        <v>912.0</v>
      </c>
      <c r="G702" s="50" t="str">
        <f t="shared" si="22"/>
        <v>FATURADO</v>
      </c>
      <c r="H702" s="50"/>
      <c r="I702" s="51">
        <v>912.0</v>
      </c>
      <c r="J702" s="48">
        <v>44936.0</v>
      </c>
      <c r="K702" s="50">
        <v>2035.0</v>
      </c>
      <c r="L702" s="50">
        <v>4.500411574E9</v>
      </c>
      <c r="M702" s="48">
        <v>45006.0</v>
      </c>
      <c r="N702" s="48">
        <v>44967.0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53">
        <v>44840.0</v>
      </c>
      <c r="B703" s="54">
        <v>2299.0</v>
      </c>
      <c r="C703" s="55" t="s">
        <v>19</v>
      </c>
      <c r="D703" s="55" t="s">
        <v>1794</v>
      </c>
      <c r="E703" s="55">
        <v>17.0</v>
      </c>
      <c r="F703" s="56">
        <v>457.3</v>
      </c>
      <c r="G703" s="55" t="str">
        <f t="shared" si="22"/>
        <v>FATURADO</v>
      </c>
      <c r="H703" s="55"/>
      <c r="I703" s="56">
        <v>457.3</v>
      </c>
      <c r="J703" s="53">
        <v>44936.0</v>
      </c>
      <c r="K703" s="55">
        <v>2035.0</v>
      </c>
      <c r="L703" s="55">
        <v>4.500411574E9</v>
      </c>
      <c r="M703" s="53">
        <v>45006.0</v>
      </c>
      <c r="N703" s="53">
        <v>44967.0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48">
        <v>44840.0</v>
      </c>
      <c r="B704" s="57">
        <v>2300.0</v>
      </c>
      <c r="C704" s="50" t="s">
        <v>1860</v>
      </c>
      <c r="D704" s="50" t="s">
        <v>1861</v>
      </c>
      <c r="E704" s="50">
        <v>15.0</v>
      </c>
      <c r="F704" s="51">
        <v>5243.85</v>
      </c>
      <c r="G704" s="50" t="str">
        <f t="shared" si="22"/>
        <v> </v>
      </c>
      <c r="H704" s="50"/>
      <c r="I704" s="51"/>
      <c r="J704" s="48"/>
      <c r="K704" s="50"/>
      <c r="L704" s="50"/>
      <c r="M704" s="48"/>
      <c r="N704" s="4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53">
        <v>44841.0</v>
      </c>
      <c r="B705" s="67">
        <v>2303.0</v>
      </c>
      <c r="C705" s="55" t="s">
        <v>188</v>
      </c>
      <c r="D705" s="55" t="s">
        <v>1771</v>
      </c>
      <c r="E705" s="55">
        <v>1.0</v>
      </c>
      <c r="F705" s="56">
        <v>3904.53</v>
      </c>
      <c r="G705" s="55" t="str">
        <f t="shared" si="22"/>
        <v>FATURADO</v>
      </c>
      <c r="H705" s="55"/>
      <c r="I705" s="56">
        <v>3904.53</v>
      </c>
      <c r="J705" s="53">
        <v>44944.0</v>
      </c>
      <c r="K705" s="55">
        <v>2043.0</v>
      </c>
      <c r="L705" s="55">
        <v>5.202121094E9</v>
      </c>
      <c r="M705" s="53"/>
      <c r="N705" s="53">
        <v>44991.0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48">
        <v>44844.0</v>
      </c>
      <c r="B706" s="57">
        <v>2304.0</v>
      </c>
      <c r="C706" s="50" t="s">
        <v>1862</v>
      </c>
      <c r="D706" s="50" t="s">
        <v>1861</v>
      </c>
      <c r="E706" s="50">
        <v>13.0</v>
      </c>
      <c r="F706" s="51">
        <v>4544.67</v>
      </c>
      <c r="G706" s="50" t="str">
        <f t="shared" si="22"/>
        <v> </v>
      </c>
      <c r="H706" s="50"/>
      <c r="I706" s="51"/>
      <c r="J706" s="48"/>
      <c r="K706" s="50"/>
      <c r="L706" s="50"/>
      <c r="M706" s="48"/>
      <c r="N706" s="4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53">
        <v>44845.0</v>
      </c>
      <c r="B707" s="67">
        <v>2308.0</v>
      </c>
      <c r="C707" s="55" t="s">
        <v>1640</v>
      </c>
      <c r="D707" s="55" t="s">
        <v>1863</v>
      </c>
      <c r="E707" s="55">
        <v>1.0</v>
      </c>
      <c r="F707" s="56">
        <v>69400.0</v>
      </c>
      <c r="G707" s="55" t="str">
        <f t="shared" si="22"/>
        <v> </v>
      </c>
      <c r="H707" s="55"/>
      <c r="I707" s="56"/>
      <c r="J707" s="53"/>
      <c r="K707" s="55"/>
      <c r="L707" s="55"/>
      <c r="M707" s="53"/>
      <c r="N707" s="53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48">
        <v>44845.0</v>
      </c>
      <c r="B708" s="57">
        <v>2309.0</v>
      </c>
      <c r="C708" s="50" t="s">
        <v>1640</v>
      </c>
      <c r="D708" s="50" t="s">
        <v>1864</v>
      </c>
      <c r="E708" s="50">
        <v>1.0</v>
      </c>
      <c r="F708" s="51">
        <v>4763.47</v>
      </c>
      <c r="G708" s="50" t="str">
        <f t="shared" si="22"/>
        <v>FATURADO</v>
      </c>
      <c r="H708" s="50"/>
      <c r="I708" s="51">
        <v>4763.47</v>
      </c>
      <c r="J708" s="48">
        <v>44875.0</v>
      </c>
      <c r="K708" s="50">
        <v>1989.0</v>
      </c>
      <c r="L708" s="50">
        <v>4.502548213E9</v>
      </c>
      <c r="M708" s="48"/>
      <c r="N708" s="4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53">
        <v>44845.0</v>
      </c>
      <c r="B709" s="67">
        <v>2310.0</v>
      </c>
      <c r="C709" s="55" t="s">
        <v>19</v>
      </c>
      <c r="D709" s="55" t="s">
        <v>1865</v>
      </c>
      <c r="E709" s="55">
        <v>3.0</v>
      </c>
      <c r="F709" s="56">
        <v>3873.42</v>
      </c>
      <c r="G709" s="55" t="str">
        <f t="shared" si="22"/>
        <v>FATURADO</v>
      </c>
      <c r="H709" s="55"/>
      <c r="I709" s="56">
        <v>3873.42</v>
      </c>
      <c r="J709" s="53">
        <v>44860.0</v>
      </c>
      <c r="K709" s="55">
        <v>1967.0</v>
      </c>
      <c r="L709" s="55">
        <v>4.500411484E9</v>
      </c>
      <c r="M709" s="53">
        <v>44859.0</v>
      </c>
      <c r="N709" s="53">
        <v>44860.0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48">
        <v>44845.0</v>
      </c>
      <c r="B710" s="50"/>
      <c r="C710" s="50" t="s">
        <v>1866</v>
      </c>
      <c r="D710" s="50" t="s">
        <v>1867</v>
      </c>
      <c r="E710" s="50">
        <v>1.0</v>
      </c>
      <c r="F710" s="51"/>
      <c r="G710" s="50" t="s">
        <v>241</v>
      </c>
      <c r="H710" s="50"/>
      <c r="I710" s="51"/>
      <c r="J710" s="48"/>
      <c r="K710" s="50"/>
      <c r="L710" s="50"/>
      <c r="M710" s="48"/>
      <c r="N710" s="4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53">
        <v>44845.0</v>
      </c>
      <c r="B711" s="59">
        <v>2319.0</v>
      </c>
      <c r="C711" s="55" t="s">
        <v>1866</v>
      </c>
      <c r="D711" s="55" t="s">
        <v>1868</v>
      </c>
      <c r="E711" s="55">
        <v>10.0</v>
      </c>
      <c r="F711" s="56">
        <v>4172.17</v>
      </c>
      <c r="G711" s="55" t="str">
        <f t="shared" ref="G711:G727" si="23">IF($K711&lt;&gt;"","FATURADO",IF($L711&lt;&gt;"","GANHOU"," "))</f>
        <v> </v>
      </c>
      <c r="H711" s="62" t="s">
        <v>1869</v>
      </c>
      <c r="I711" s="56"/>
      <c r="J711" s="53"/>
      <c r="K711" s="55"/>
      <c r="L711" s="55"/>
      <c r="M711" s="53"/>
      <c r="N711" s="53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48">
        <v>44845.0</v>
      </c>
      <c r="B712" s="63">
        <v>2319.0</v>
      </c>
      <c r="C712" s="50" t="s">
        <v>1866</v>
      </c>
      <c r="D712" s="64" t="s">
        <v>1870</v>
      </c>
      <c r="E712" s="50">
        <v>10.0</v>
      </c>
      <c r="F712" s="51">
        <v>469.88</v>
      </c>
      <c r="G712" s="50" t="str">
        <f t="shared" si="23"/>
        <v> </v>
      </c>
      <c r="H712" s="50"/>
      <c r="I712" s="51"/>
      <c r="J712" s="48"/>
      <c r="K712" s="50"/>
      <c r="L712" s="50"/>
      <c r="M712" s="48"/>
      <c r="N712" s="4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53">
        <v>44845.0</v>
      </c>
      <c r="B713" s="61">
        <v>2319.0</v>
      </c>
      <c r="C713" s="55" t="s">
        <v>1866</v>
      </c>
      <c r="D713" s="65" t="s">
        <v>1871</v>
      </c>
      <c r="E713" s="55">
        <v>10.0</v>
      </c>
      <c r="F713" s="56">
        <v>253.69</v>
      </c>
      <c r="G713" s="55" t="str">
        <f t="shared" si="23"/>
        <v> </v>
      </c>
      <c r="H713" s="55"/>
      <c r="I713" s="56"/>
      <c r="J713" s="53"/>
      <c r="K713" s="55"/>
      <c r="L713" s="55"/>
      <c r="M713" s="53"/>
      <c r="N713" s="53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48">
        <v>44845.0</v>
      </c>
      <c r="B714" s="60">
        <v>2319.0</v>
      </c>
      <c r="C714" s="50" t="s">
        <v>1866</v>
      </c>
      <c r="D714" s="64" t="s">
        <v>1872</v>
      </c>
      <c r="E714" s="50">
        <v>10.0</v>
      </c>
      <c r="F714" s="51">
        <v>155.14</v>
      </c>
      <c r="G714" s="50" t="str">
        <f t="shared" si="23"/>
        <v> </v>
      </c>
      <c r="H714" s="50"/>
      <c r="I714" s="51"/>
      <c r="J714" s="48"/>
      <c r="K714" s="50"/>
      <c r="L714" s="50"/>
      <c r="M714" s="48"/>
      <c r="N714" s="4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53">
        <v>44847.0</v>
      </c>
      <c r="B715" s="59">
        <v>2312.0</v>
      </c>
      <c r="C715" s="55" t="s">
        <v>1756</v>
      </c>
      <c r="D715" s="55" t="s">
        <v>1834</v>
      </c>
      <c r="E715" s="55">
        <v>5.0</v>
      </c>
      <c r="F715" s="56">
        <v>1492.4</v>
      </c>
      <c r="G715" s="55" t="str">
        <f t="shared" si="23"/>
        <v>GANHOU</v>
      </c>
      <c r="H715" s="55"/>
      <c r="I715" s="56"/>
      <c r="J715" s="53"/>
      <c r="K715" s="55"/>
      <c r="L715" s="55" t="s">
        <v>1873</v>
      </c>
      <c r="M715" s="53">
        <v>45108.0</v>
      </c>
      <c r="N715" s="53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48">
        <v>44847.0</v>
      </c>
      <c r="B716" s="63">
        <v>2312.0</v>
      </c>
      <c r="C716" s="50" t="s">
        <v>1756</v>
      </c>
      <c r="D716" s="50" t="s">
        <v>1835</v>
      </c>
      <c r="E716" s="50">
        <v>5.0</v>
      </c>
      <c r="F716" s="51">
        <v>1999.15</v>
      </c>
      <c r="G716" s="50" t="str">
        <f t="shared" si="23"/>
        <v>GANHOU</v>
      </c>
      <c r="H716" s="50"/>
      <c r="I716" s="51"/>
      <c r="J716" s="48"/>
      <c r="K716" s="50"/>
      <c r="L716" s="50" t="s">
        <v>1873</v>
      </c>
      <c r="M716" s="48">
        <v>45108.0</v>
      </c>
      <c r="N716" s="4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53">
        <v>44847.0</v>
      </c>
      <c r="B717" s="54">
        <v>2312.0</v>
      </c>
      <c r="C717" s="55" t="s">
        <v>1756</v>
      </c>
      <c r="D717" s="55" t="s">
        <v>1838</v>
      </c>
      <c r="E717" s="55">
        <v>5.0</v>
      </c>
      <c r="F717" s="56">
        <v>3164.92</v>
      </c>
      <c r="G717" s="55" t="str">
        <f t="shared" si="23"/>
        <v>GANHOU</v>
      </c>
      <c r="H717" s="55"/>
      <c r="I717" s="56"/>
      <c r="J717" s="53"/>
      <c r="K717" s="55"/>
      <c r="L717" s="55" t="s">
        <v>1873</v>
      </c>
      <c r="M717" s="53">
        <v>45108.0</v>
      </c>
      <c r="N717" s="53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48">
        <v>44847.0</v>
      </c>
      <c r="B718" s="57">
        <v>2291.0</v>
      </c>
      <c r="C718" s="50" t="s">
        <v>44</v>
      </c>
      <c r="D718" s="50" t="s">
        <v>278</v>
      </c>
      <c r="E718" s="50">
        <v>200.0</v>
      </c>
      <c r="F718" s="51">
        <v>5359.04</v>
      </c>
      <c r="G718" s="50" t="str">
        <f t="shared" si="23"/>
        <v>FATURADO</v>
      </c>
      <c r="H718" s="50"/>
      <c r="I718" s="51">
        <v>5359.04</v>
      </c>
      <c r="J718" s="48">
        <v>44858.0</v>
      </c>
      <c r="K718" s="50">
        <v>1966.0</v>
      </c>
      <c r="L718" s="50">
        <v>4.501622124E9</v>
      </c>
      <c r="M718" s="48">
        <v>44858.0</v>
      </c>
      <c r="N718" s="4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53">
        <v>44847.0</v>
      </c>
      <c r="B719" s="67">
        <v>2313.0</v>
      </c>
      <c r="C719" s="55" t="s">
        <v>188</v>
      </c>
      <c r="D719" s="55" t="s">
        <v>1874</v>
      </c>
      <c r="E719" s="55">
        <v>5.0</v>
      </c>
      <c r="F719" s="56">
        <v>490.36</v>
      </c>
      <c r="G719" s="55" t="str">
        <f t="shared" si="23"/>
        <v> </v>
      </c>
      <c r="H719" s="55"/>
      <c r="I719" s="56"/>
      <c r="J719" s="53"/>
      <c r="K719" s="55"/>
      <c r="L719" s="55"/>
      <c r="M719" s="53"/>
      <c r="N719" s="53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48">
        <v>44847.0</v>
      </c>
      <c r="B720" s="57">
        <v>2314.0</v>
      </c>
      <c r="C720" s="50" t="s">
        <v>77</v>
      </c>
      <c r="D720" s="50" t="s">
        <v>1875</v>
      </c>
      <c r="E720" s="50">
        <v>1.0</v>
      </c>
      <c r="F720" s="51">
        <v>9416.4</v>
      </c>
      <c r="G720" s="50" t="str">
        <f t="shared" si="23"/>
        <v> </v>
      </c>
      <c r="H720" s="50"/>
      <c r="I720" s="51"/>
      <c r="J720" s="48"/>
      <c r="K720" s="50"/>
      <c r="L720" s="50"/>
      <c r="M720" s="48"/>
      <c r="N720" s="4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53">
        <v>44851.0</v>
      </c>
      <c r="B721" s="67">
        <v>2320.0</v>
      </c>
      <c r="C721" s="55" t="s">
        <v>1442</v>
      </c>
      <c r="D721" s="55" t="s">
        <v>1444</v>
      </c>
      <c r="E721" s="55">
        <v>5.0</v>
      </c>
      <c r="F721" s="56">
        <v>1903.25</v>
      </c>
      <c r="G721" s="55" t="str">
        <f t="shared" si="23"/>
        <v>FATURADO</v>
      </c>
      <c r="H721" s="55"/>
      <c r="I721" s="56">
        <v>1903.25</v>
      </c>
      <c r="J721" s="53">
        <v>44852.0</v>
      </c>
      <c r="K721" s="55">
        <v>1962.0</v>
      </c>
      <c r="L721" s="55">
        <v>62767.0</v>
      </c>
      <c r="M721" s="53">
        <v>44853.0</v>
      </c>
      <c r="N721" s="53">
        <v>44883.0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48">
        <v>44852.0</v>
      </c>
      <c r="B722" s="57">
        <v>2321.0</v>
      </c>
      <c r="C722" s="50" t="s">
        <v>1876</v>
      </c>
      <c r="D722" s="79" t="s">
        <v>1877</v>
      </c>
      <c r="E722" s="50">
        <v>20.0</v>
      </c>
      <c r="F722" s="51">
        <v>24190.23</v>
      </c>
      <c r="G722" s="50" t="str">
        <f t="shared" si="23"/>
        <v> </v>
      </c>
      <c r="H722" s="50"/>
      <c r="I722" s="51"/>
      <c r="J722" s="48"/>
      <c r="K722" s="50"/>
      <c r="L722" s="50"/>
      <c r="M722" s="48"/>
      <c r="N722" s="4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53">
        <v>44852.0</v>
      </c>
      <c r="B723" s="67">
        <v>2322.0</v>
      </c>
      <c r="C723" s="55" t="s">
        <v>77</v>
      </c>
      <c r="D723" s="55" t="s">
        <v>1878</v>
      </c>
      <c r="E723" s="55">
        <v>1.0</v>
      </c>
      <c r="F723" s="56">
        <v>13167.99</v>
      </c>
      <c r="G723" s="55" t="str">
        <f t="shared" si="23"/>
        <v> </v>
      </c>
      <c r="H723" s="55"/>
      <c r="I723" s="56"/>
      <c r="J723" s="53"/>
      <c r="K723" s="55"/>
      <c r="L723" s="55"/>
      <c r="M723" s="53"/>
      <c r="N723" s="53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48">
        <v>44852.0</v>
      </c>
      <c r="B724" s="57">
        <v>2323.0</v>
      </c>
      <c r="C724" s="50" t="s">
        <v>188</v>
      </c>
      <c r="D724" s="50" t="s">
        <v>1879</v>
      </c>
      <c r="E724" s="50">
        <v>2.0</v>
      </c>
      <c r="F724" s="51">
        <v>27466.68</v>
      </c>
      <c r="G724" s="50" t="str">
        <f t="shared" si="23"/>
        <v>FATURADO</v>
      </c>
      <c r="H724" s="50"/>
      <c r="I724" s="51">
        <v>27466.68</v>
      </c>
      <c r="J724" s="48">
        <v>44881.0</v>
      </c>
      <c r="K724" s="50">
        <v>1990.0</v>
      </c>
      <c r="L724" s="50">
        <v>4.400567883E9</v>
      </c>
      <c r="M724" s="48">
        <v>44930.0</v>
      </c>
      <c r="N724" s="48">
        <v>44925.0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53">
        <v>44852.0</v>
      </c>
      <c r="B725" s="67">
        <v>2324.0</v>
      </c>
      <c r="C725" s="55" t="s">
        <v>44</v>
      </c>
      <c r="D725" s="55" t="s">
        <v>1880</v>
      </c>
      <c r="E725" s="55">
        <v>1.0</v>
      </c>
      <c r="F725" s="56">
        <v>703.08</v>
      </c>
      <c r="G725" s="55" t="str">
        <f t="shared" si="23"/>
        <v>FATURADO</v>
      </c>
      <c r="H725" s="55"/>
      <c r="I725" s="56">
        <v>703.08</v>
      </c>
      <c r="J725" s="53">
        <v>44883.0</v>
      </c>
      <c r="K725" s="55">
        <v>1997.0</v>
      </c>
      <c r="L725" s="55">
        <v>4.501621319E9</v>
      </c>
      <c r="M725" s="53"/>
      <c r="N725" s="53">
        <v>44915.0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48">
        <v>44852.0</v>
      </c>
      <c r="B726" s="57">
        <v>2326.0</v>
      </c>
      <c r="C726" s="50" t="s">
        <v>1881</v>
      </c>
      <c r="D726" s="50" t="s">
        <v>1882</v>
      </c>
      <c r="E726" s="50">
        <v>1.0</v>
      </c>
      <c r="F726" s="51">
        <v>21.3</v>
      </c>
      <c r="G726" s="50" t="str">
        <f t="shared" si="23"/>
        <v> </v>
      </c>
      <c r="H726" s="50"/>
      <c r="I726" s="51"/>
      <c r="J726" s="48"/>
      <c r="K726" s="50"/>
      <c r="L726" s="50"/>
      <c r="M726" s="48"/>
      <c r="N726" s="4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53">
        <v>44852.0</v>
      </c>
      <c r="B727" s="67">
        <v>2327.0</v>
      </c>
      <c r="C727" s="55" t="s">
        <v>1883</v>
      </c>
      <c r="D727" s="55" t="s">
        <v>1884</v>
      </c>
      <c r="E727" s="55">
        <v>200.0</v>
      </c>
      <c r="F727" s="56">
        <v>4768.0</v>
      </c>
      <c r="G727" s="55" t="str">
        <f t="shared" si="23"/>
        <v> </v>
      </c>
      <c r="H727" s="55"/>
      <c r="I727" s="56"/>
      <c r="J727" s="53"/>
      <c r="K727" s="55"/>
      <c r="L727" s="55"/>
      <c r="M727" s="53"/>
      <c r="N727" s="53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48">
        <v>44853.0</v>
      </c>
      <c r="B728" s="50"/>
      <c r="C728" s="50" t="s">
        <v>1885</v>
      </c>
      <c r="D728" s="50" t="s">
        <v>1886</v>
      </c>
      <c r="E728" s="50">
        <v>1.0</v>
      </c>
      <c r="F728" s="51"/>
      <c r="G728" s="50" t="s">
        <v>241</v>
      </c>
      <c r="H728" s="52" t="s">
        <v>1887</v>
      </c>
      <c r="I728" s="51"/>
      <c r="J728" s="48"/>
      <c r="K728" s="50"/>
      <c r="L728" s="50"/>
      <c r="M728" s="48"/>
      <c r="N728" s="4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53">
        <v>44853.0</v>
      </c>
      <c r="B729" s="55"/>
      <c r="C729" s="55" t="s">
        <v>1885</v>
      </c>
      <c r="D729" s="55" t="s">
        <v>1888</v>
      </c>
      <c r="E729" s="55">
        <v>2.0</v>
      </c>
      <c r="F729" s="56"/>
      <c r="G729" s="55" t="s">
        <v>241</v>
      </c>
      <c r="H729" s="55"/>
      <c r="I729" s="56"/>
      <c r="J729" s="53"/>
      <c r="K729" s="55"/>
      <c r="L729" s="55"/>
      <c r="M729" s="53"/>
      <c r="N729" s="53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48">
        <v>44853.0</v>
      </c>
      <c r="B730" s="49">
        <v>2330.0</v>
      </c>
      <c r="C730" s="50" t="s">
        <v>44</v>
      </c>
      <c r="D730" s="50" t="s">
        <v>1889</v>
      </c>
      <c r="E730" s="50">
        <v>30.0</v>
      </c>
      <c r="F730" s="51"/>
      <c r="G730" s="50" t="s">
        <v>241</v>
      </c>
      <c r="H730" s="50"/>
      <c r="I730" s="51"/>
      <c r="J730" s="48"/>
      <c r="K730" s="50"/>
      <c r="L730" s="50"/>
      <c r="M730" s="48"/>
      <c r="N730" s="4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53">
        <v>44853.0</v>
      </c>
      <c r="B731" s="54">
        <v>2330.0</v>
      </c>
      <c r="C731" s="55" t="s">
        <v>44</v>
      </c>
      <c r="D731" s="55" t="s">
        <v>1890</v>
      </c>
      <c r="E731" s="55">
        <v>30.0</v>
      </c>
      <c r="F731" s="56"/>
      <c r="G731" s="55" t="s">
        <v>241</v>
      </c>
      <c r="H731" s="55"/>
      <c r="I731" s="56"/>
      <c r="J731" s="53"/>
      <c r="K731" s="55"/>
      <c r="L731" s="55"/>
      <c r="M731" s="53"/>
      <c r="N731" s="53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48">
        <v>44854.0</v>
      </c>
      <c r="B732" s="57">
        <v>2331.0</v>
      </c>
      <c r="C732" s="50" t="s">
        <v>77</v>
      </c>
      <c r="D732" s="50" t="s">
        <v>1891</v>
      </c>
      <c r="E732" s="50">
        <v>1.0</v>
      </c>
      <c r="F732" s="51">
        <v>21614.45</v>
      </c>
      <c r="G732" s="50" t="str">
        <f t="shared" ref="G732:G761" si="24">IF($K732&lt;&gt;"","FATURADO",IF($L732&lt;&gt;"","GANHOU"," "))</f>
        <v> </v>
      </c>
      <c r="H732" s="52" t="s">
        <v>1892</v>
      </c>
      <c r="I732" s="51"/>
      <c r="J732" s="48"/>
      <c r="K732" s="50"/>
      <c r="L732" s="50"/>
      <c r="M732" s="48"/>
      <c r="N732" s="4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53">
        <v>44858.0</v>
      </c>
      <c r="B733" s="67">
        <v>2332.0</v>
      </c>
      <c r="C733" s="55" t="s">
        <v>44</v>
      </c>
      <c r="D733" s="55" t="s">
        <v>1893</v>
      </c>
      <c r="E733" s="55">
        <v>1.0</v>
      </c>
      <c r="F733" s="56">
        <v>17700.0</v>
      </c>
      <c r="G733" s="55" t="str">
        <f t="shared" si="24"/>
        <v>FATURADO</v>
      </c>
      <c r="H733" s="55"/>
      <c r="I733" s="56">
        <v>17700.0</v>
      </c>
      <c r="J733" s="53">
        <v>44861.0</v>
      </c>
      <c r="K733" s="55">
        <v>1974.0</v>
      </c>
      <c r="L733" s="55">
        <v>4.501623815E9</v>
      </c>
      <c r="M733" s="53"/>
      <c r="N733" s="53">
        <v>44882.0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48">
        <v>44858.0</v>
      </c>
      <c r="B734" s="49">
        <v>2335.0</v>
      </c>
      <c r="C734" s="50" t="s">
        <v>77</v>
      </c>
      <c r="D734" s="50" t="s">
        <v>1889</v>
      </c>
      <c r="E734" s="50">
        <v>30.0</v>
      </c>
      <c r="F734" s="51">
        <v>2406.96</v>
      </c>
      <c r="G734" s="50" t="str">
        <f t="shared" si="24"/>
        <v> </v>
      </c>
      <c r="H734" s="50"/>
      <c r="I734" s="51"/>
      <c r="J734" s="48"/>
      <c r="K734" s="50"/>
      <c r="L734" s="50"/>
      <c r="M734" s="48"/>
      <c r="N734" s="4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53">
        <v>44858.0</v>
      </c>
      <c r="B735" s="54">
        <v>2335.0</v>
      </c>
      <c r="C735" s="55" t="s">
        <v>77</v>
      </c>
      <c r="D735" s="55" t="s">
        <v>1890</v>
      </c>
      <c r="E735" s="55">
        <v>30.0</v>
      </c>
      <c r="F735" s="56">
        <v>2113.62</v>
      </c>
      <c r="G735" s="55" t="str">
        <f t="shared" si="24"/>
        <v> </v>
      </c>
      <c r="H735" s="55"/>
      <c r="I735" s="56"/>
      <c r="J735" s="53"/>
      <c r="K735" s="55"/>
      <c r="L735" s="55"/>
      <c r="M735" s="53"/>
      <c r="N735" s="53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48">
        <v>44858.0</v>
      </c>
      <c r="B736" s="49">
        <v>2336.0</v>
      </c>
      <c r="C736" s="50" t="s">
        <v>188</v>
      </c>
      <c r="D736" s="50" t="s">
        <v>1894</v>
      </c>
      <c r="E736" s="50">
        <v>10.0</v>
      </c>
      <c r="F736" s="51">
        <v>169.0</v>
      </c>
      <c r="G736" s="50" t="str">
        <f t="shared" si="24"/>
        <v> </v>
      </c>
      <c r="H736" s="50"/>
      <c r="I736" s="51"/>
      <c r="J736" s="48"/>
      <c r="K736" s="50"/>
      <c r="L736" s="50"/>
      <c r="M736" s="48"/>
      <c r="N736" s="4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53">
        <v>44858.0</v>
      </c>
      <c r="B737" s="59">
        <v>2341.0</v>
      </c>
      <c r="C737" s="55" t="s">
        <v>44</v>
      </c>
      <c r="D737" s="55" t="s">
        <v>64</v>
      </c>
      <c r="E737" s="55">
        <v>1.0</v>
      </c>
      <c r="F737" s="56">
        <v>44051.02</v>
      </c>
      <c r="G737" s="55" t="str">
        <f t="shared" si="24"/>
        <v>FATURADO</v>
      </c>
      <c r="H737" s="55"/>
      <c r="I737" s="56">
        <v>44051.02</v>
      </c>
      <c r="J737" s="53">
        <v>44868.0</v>
      </c>
      <c r="K737" s="55">
        <v>1981.0</v>
      </c>
      <c r="L737" s="55">
        <v>4.501628018E9</v>
      </c>
      <c r="M737" s="53">
        <v>44868.0</v>
      </c>
      <c r="N737" s="53">
        <v>44905.0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48">
        <v>44859.0</v>
      </c>
      <c r="B738" s="49">
        <v>2342.0</v>
      </c>
      <c r="C738" s="50" t="s">
        <v>77</v>
      </c>
      <c r="D738" s="50" t="s">
        <v>1895</v>
      </c>
      <c r="E738" s="50">
        <v>150.0</v>
      </c>
      <c r="F738" s="51">
        <v>3028.5</v>
      </c>
      <c r="G738" s="50" t="str">
        <f t="shared" si="24"/>
        <v> </v>
      </c>
      <c r="H738" s="50"/>
      <c r="I738" s="51"/>
      <c r="J738" s="48"/>
      <c r="K738" s="50"/>
      <c r="L738" s="50"/>
      <c r="M738" s="48"/>
      <c r="N738" s="4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53">
        <v>44859.0</v>
      </c>
      <c r="B739" s="61">
        <v>2342.0</v>
      </c>
      <c r="C739" s="55" t="s">
        <v>77</v>
      </c>
      <c r="D739" s="55" t="s">
        <v>1896</v>
      </c>
      <c r="E739" s="55">
        <v>100.0</v>
      </c>
      <c r="F739" s="56">
        <v>1781.0</v>
      </c>
      <c r="G739" s="55" t="str">
        <f t="shared" si="24"/>
        <v> </v>
      </c>
      <c r="H739" s="55"/>
      <c r="I739" s="56"/>
      <c r="J739" s="53"/>
      <c r="K739" s="55"/>
      <c r="L739" s="55"/>
      <c r="M739" s="53"/>
      <c r="N739" s="53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48">
        <v>44859.0</v>
      </c>
      <c r="B740" s="63">
        <v>2342.0</v>
      </c>
      <c r="C740" s="50" t="s">
        <v>77</v>
      </c>
      <c r="D740" s="50" t="s">
        <v>1719</v>
      </c>
      <c r="E740" s="50">
        <v>100.0</v>
      </c>
      <c r="F740" s="51">
        <v>1193.63</v>
      </c>
      <c r="G740" s="50" t="str">
        <f t="shared" si="24"/>
        <v> </v>
      </c>
      <c r="H740" s="50"/>
      <c r="I740" s="51"/>
      <c r="J740" s="48"/>
      <c r="K740" s="50"/>
      <c r="L740" s="50"/>
      <c r="M740" s="48"/>
      <c r="N740" s="4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53">
        <v>44859.0</v>
      </c>
      <c r="B741" s="61">
        <v>2342.0</v>
      </c>
      <c r="C741" s="55" t="s">
        <v>77</v>
      </c>
      <c r="D741" s="55" t="s">
        <v>1897</v>
      </c>
      <c r="E741" s="55">
        <v>100.0</v>
      </c>
      <c r="F741" s="56">
        <v>2430.52</v>
      </c>
      <c r="G741" s="55" t="str">
        <f t="shared" si="24"/>
        <v> </v>
      </c>
      <c r="H741" s="55"/>
      <c r="I741" s="56"/>
      <c r="J741" s="53"/>
      <c r="K741" s="55"/>
      <c r="L741" s="55"/>
      <c r="M741" s="53"/>
      <c r="N741" s="53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48">
        <v>44859.0</v>
      </c>
      <c r="B742" s="63">
        <v>2342.0</v>
      </c>
      <c r="C742" s="50" t="s">
        <v>77</v>
      </c>
      <c r="D742" s="50" t="s">
        <v>1898</v>
      </c>
      <c r="E742" s="50">
        <v>100.0</v>
      </c>
      <c r="F742" s="51">
        <v>1314.0</v>
      </c>
      <c r="G742" s="50" t="str">
        <f t="shared" si="24"/>
        <v> </v>
      </c>
      <c r="H742" s="50"/>
      <c r="I742" s="51"/>
      <c r="J742" s="48"/>
      <c r="K742" s="50"/>
      <c r="L742" s="50"/>
      <c r="M742" s="48"/>
      <c r="N742" s="4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53">
        <v>44859.0</v>
      </c>
      <c r="B743" s="54">
        <v>2342.0</v>
      </c>
      <c r="C743" s="55" t="s">
        <v>77</v>
      </c>
      <c r="D743" s="55" t="s">
        <v>1899</v>
      </c>
      <c r="E743" s="55">
        <v>1.0</v>
      </c>
      <c r="F743" s="56">
        <v>1972.71</v>
      </c>
      <c r="G743" s="55" t="str">
        <f t="shared" si="24"/>
        <v> </v>
      </c>
      <c r="H743" s="62" t="s">
        <v>1900</v>
      </c>
      <c r="I743" s="56"/>
      <c r="J743" s="53"/>
      <c r="K743" s="55"/>
      <c r="L743" s="55"/>
      <c r="M743" s="53"/>
      <c r="N743" s="53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48">
        <v>44859.0</v>
      </c>
      <c r="B744" s="57">
        <v>2343.0</v>
      </c>
      <c r="C744" s="50" t="s">
        <v>25</v>
      </c>
      <c r="D744" s="50" t="s">
        <v>1479</v>
      </c>
      <c r="E744" s="50">
        <v>1.0</v>
      </c>
      <c r="F744" s="51">
        <v>1100.54</v>
      </c>
      <c r="G744" s="50" t="str">
        <f t="shared" si="24"/>
        <v>FATURADO</v>
      </c>
      <c r="H744" s="50"/>
      <c r="I744" s="51">
        <v>1100.54</v>
      </c>
      <c r="J744" s="48">
        <v>44869.0</v>
      </c>
      <c r="K744" s="50">
        <v>1983.0</v>
      </c>
      <c r="L744" s="50">
        <v>4.512161472E9</v>
      </c>
      <c r="M744" s="48"/>
      <c r="N744" s="48">
        <v>44899.0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53">
        <v>44859.0</v>
      </c>
      <c r="B745" s="67">
        <v>2313.0</v>
      </c>
      <c r="C745" s="55" t="s">
        <v>188</v>
      </c>
      <c r="D745" s="55" t="s">
        <v>1874</v>
      </c>
      <c r="E745" s="55">
        <v>5.0</v>
      </c>
      <c r="F745" s="56">
        <v>490.36</v>
      </c>
      <c r="G745" s="55" t="str">
        <f t="shared" si="24"/>
        <v> </v>
      </c>
      <c r="H745" s="55"/>
      <c r="I745" s="56"/>
      <c r="J745" s="53"/>
      <c r="K745" s="55"/>
      <c r="L745" s="55"/>
      <c r="M745" s="53"/>
      <c r="N745" s="53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48">
        <v>44860.0</v>
      </c>
      <c r="B746" s="57">
        <v>2346.0</v>
      </c>
      <c r="C746" s="50" t="s">
        <v>1901</v>
      </c>
      <c r="D746" s="50" t="s">
        <v>1902</v>
      </c>
      <c r="E746" s="50">
        <v>1.0</v>
      </c>
      <c r="F746" s="51">
        <v>82029.82</v>
      </c>
      <c r="G746" s="50" t="str">
        <f t="shared" si="24"/>
        <v> </v>
      </c>
      <c r="H746" s="50"/>
      <c r="I746" s="51"/>
      <c r="J746" s="48"/>
      <c r="K746" s="50"/>
      <c r="L746" s="50"/>
      <c r="M746" s="48"/>
      <c r="N746" s="4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53">
        <v>44860.0</v>
      </c>
      <c r="B747" s="55"/>
      <c r="C747" s="55" t="s">
        <v>1903</v>
      </c>
      <c r="D747" s="55" t="s">
        <v>1904</v>
      </c>
      <c r="E747" s="55">
        <v>1.0</v>
      </c>
      <c r="F747" s="56"/>
      <c r="G747" s="55" t="str">
        <f t="shared" si="24"/>
        <v> </v>
      </c>
      <c r="H747" s="55"/>
      <c r="I747" s="56"/>
      <c r="J747" s="53"/>
      <c r="K747" s="55"/>
      <c r="L747" s="55"/>
      <c r="M747" s="53"/>
      <c r="N747" s="53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48">
        <v>44862.0</v>
      </c>
      <c r="B748" s="49">
        <v>2348.0</v>
      </c>
      <c r="C748" s="50" t="s">
        <v>77</v>
      </c>
      <c r="D748" s="50" t="s">
        <v>1905</v>
      </c>
      <c r="E748" s="50">
        <v>1.0</v>
      </c>
      <c r="F748" s="51">
        <v>3070.1</v>
      </c>
      <c r="G748" s="50" t="str">
        <f t="shared" si="24"/>
        <v> </v>
      </c>
      <c r="H748" s="50"/>
      <c r="I748" s="51"/>
      <c r="J748" s="48"/>
      <c r="K748" s="50"/>
      <c r="L748" s="50"/>
      <c r="M748" s="48"/>
      <c r="N748" s="4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53">
        <v>44862.0</v>
      </c>
      <c r="B749" s="61">
        <v>2348.0</v>
      </c>
      <c r="C749" s="55" t="s">
        <v>77</v>
      </c>
      <c r="D749" s="55" t="s">
        <v>1906</v>
      </c>
      <c r="E749" s="55">
        <v>1.0</v>
      </c>
      <c r="F749" s="56">
        <v>3259.95</v>
      </c>
      <c r="G749" s="55" t="str">
        <f t="shared" si="24"/>
        <v> </v>
      </c>
      <c r="H749" s="55"/>
      <c r="I749" s="56"/>
      <c r="J749" s="53"/>
      <c r="K749" s="55"/>
      <c r="L749" s="55"/>
      <c r="M749" s="53"/>
      <c r="N749" s="53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48">
        <v>44862.0</v>
      </c>
      <c r="B750" s="49" t="s">
        <v>1907</v>
      </c>
      <c r="C750" s="50" t="s">
        <v>725</v>
      </c>
      <c r="D750" s="50" t="s">
        <v>1908</v>
      </c>
      <c r="E750" s="50">
        <v>1.0</v>
      </c>
      <c r="F750" s="51">
        <v>6925.98</v>
      </c>
      <c r="G750" s="50" t="str">
        <f t="shared" si="24"/>
        <v>FATURADO</v>
      </c>
      <c r="H750" s="50"/>
      <c r="I750" s="51">
        <v>6925.98</v>
      </c>
      <c r="J750" s="48">
        <v>44902.0</v>
      </c>
      <c r="K750" s="50">
        <v>2009.0</v>
      </c>
      <c r="L750" s="50">
        <v>2750302.0</v>
      </c>
      <c r="M750" s="48"/>
      <c r="N750" s="48">
        <v>44937.0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53">
        <v>44862.0</v>
      </c>
      <c r="B751" s="61" t="s">
        <v>1907</v>
      </c>
      <c r="C751" s="55" t="s">
        <v>725</v>
      </c>
      <c r="D751" s="55" t="s">
        <v>1909</v>
      </c>
      <c r="E751" s="55">
        <v>1.0</v>
      </c>
      <c r="F751" s="56">
        <v>426.89</v>
      </c>
      <c r="G751" s="55" t="str">
        <f t="shared" si="24"/>
        <v>FATURADO</v>
      </c>
      <c r="H751" s="55"/>
      <c r="I751" s="56">
        <v>426.89</v>
      </c>
      <c r="J751" s="53">
        <v>44902.0</v>
      </c>
      <c r="K751" s="55">
        <v>2009.0</v>
      </c>
      <c r="L751" s="55">
        <v>2750302.0</v>
      </c>
      <c r="M751" s="53"/>
      <c r="N751" s="53">
        <v>44937.0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48">
        <v>44862.0</v>
      </c>
      <c r="B752" s="63" t="s">
        <v>1907</v>
      </c>
      <c r="C752" s="50" t="s">
        <v>725</v>
      </c>
      <c r="D752" s="50" t="s">
        <v>1910</v>
      </c>
      <c r="E752" s="50">
        <v>1.0</v>
      </c>
      <c r="F752" s="51">
        <v>1167.22</v>
      </c>
      <c r="G752" s="50" t="str">
        <f t="shared" si="24"/>
        <v>FATURADO</v>
      </c>
      <c r="H752" s="50"/>
      <c r="I752" s="51">
        <v>1167.22</v>
      </c>
      <c r="J752" s="48">
        <v>44902.0</v>
      </c>
      <c r="K752" s="50">
        <v>2009.0</v>
      </c>
      <c r="L752" s="50">
        <v>2750302.0</v>
      </c>
      <c r="M752" s="48"/>
      <c r="N752" s="48">
        <v>44937.0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53">
        <v>44862.0</v>
      </c>
      <c r="B753" s="61" t="s">
        <v>1907</v>
      </c>
      <c r="C753" s="55" t="s">
        <v>725</v>
      </c>
      <c r="D753" s="55" t="s">
        <v>1911</v>
      </c>
      <c r="E753" s="55">
        <v>10.0</v>
      </c>
      <c r="F753" s="56">
        <v>202.86</v>
      </c>
      <c r="G753" s="55" t="str">
        <f t="shared" si="24"/>
        <v>FATURADO</v>
      </c>
      <c r="H753" s="55"/>
      <c r="I753" s="56">
        <v>202.86</v>
      </c>
      <c r="J753" s="53">
        <v>44902.0</v>
      </c>
      <c r="K753" s="55">
        <v>2009.0</v>
      </c>
      <c r="L753" s="55">
        <v>2750302.0</v>
      </c>
      <c r="M753" s="53"/>
      <c r="N753" s="53">
        <v>44937.0</v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48">
        <v>44862.0</v>
      </c>
      <c r="B754" s="63" t="s">
        <v>1907</v>
      </c>
      <c r="C754" s="50" t="s">
        <v>725</v>
      </c>
      <c r="D754" s="50" t="s">
        <v>1912</v>
      </c>
      <c r="E754" s="50">
        <v>20.0</v>
      </c>
      <c r="F754" s="51">
        <v>378.75</v>
      </c>
      <c r="G754" s="50" t="str">
        <f t="shared" si="24"/>
        <v>FATURADO</v>
      </c>
      <c r="H754" s="50"/>
      <c r="I754" s="51">
        <v>378.75</v>
      </c>
      <c r="J754" s="48">
        <v>44902.0</v>
      </c>
      <c r="K754" s="50">
        <v>2009.0</v>
      </c>
      <c r="L754" s="50">
        <v>2750302.0</v>
      </c>
      <c r="M754" s="48"/>
      <c r="N754" s="48">
        <v>44937.0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53">
        <v>44862.0</v>
      </c>
      <c r="B755" s="61" t="s">
        <v>1907</v>
      </c>
      <c r="C755" s="55" t="s">
        <v>725</v>
      </c>
      <c r="D755" s="55" t="s">
        <v>1719</v>
      </c>
      <c r="E755" s="55">
        <v>24.0</v>
      </c>
      <c r="F755" s="56">
        <v>326.34</v>
      </c>
      <c r="G755" s="55" t="str">
        <f t="shared" si="24"/>
        <v>FATURADO</v>
      </c>
      <c r="H755" s="55"/>
      <c r="I755" s="56">
        <v>326.34</v>
      </c>
      <c r="J755" s="53">
        <v>44902.0</v>
      </c>
      <c r="K755" s="55">
        <v>2009.0</v>
      </c>
      <c r="L755" s="55">
        <v>2750302.0</v>
      </c>
      <c r="M755" s="53"/>
      <c r="N755" s="53">
        <v>44937.0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48">
        <v>44862.0</v>
      </c>
      <c r="B756" s="63" t="s">
        <v>1907</v>
      </c>
      <c r="C756" s="50" t="s">
        <v>725</v>
      </c>
      <c r="D756" s="50" t="s">
        <v>1718</v>
      </c>
      <c r="E756" s="50">
        <v>24.0</v>
      </c>
      <c r="F756" s="51">
        <v>359.22</v>
      </c>
      <c r="G756" s="50" t="str">
        <f t="shared" si="24"/>
        <v>FATURADO</v>
      </c>
      <c r="H756" s="50"/>
      <c r="I756" s="51">
        <v>359.22</v>
      </c>
      <c r="J756" s="48">
        <v>44902.0</v>
      </c>
      <c r="K756" s="50">
        <v>2009.0</v>
      </c>
      <c r="L756" s="50">
        <v>2750302.0</v>
      </c>
      <c r="M756" s="48"/>
      <c r="N756" s="48">
        <v>44937.0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53">
        <v>44862.0</v>
      </c>
      <c r="B757" s="61" t="s">
        <v>1907</v>
      </c>
      <c r="C757" s="55" t="s">
        <v>725</v>
      </c>
      <c r="D757" s="55" t="s">
        <v>1913</v>
      </c>
      <c r="E757" s="55">
        <v>2.0</v>
      </c>
      <c r="F757" s="56">
        <v>6.63</v>
      </c>
      <c r="G757" s="55" t="str">
        <f t="shared" si="24"/>
        <v>FATURADO</v>
      </c>
      <c r="H757" s="55"/>
      <c r="I757" s="56">
        <v>6.63</v>
      </c>
      <c r="J757" s="53">
        <v>44902.0</v>
      </c>
      <c r="K757" s="55">
        <v>2009.0</v>
      </c>
      <c r="L757" s="55">
        <v>2750302.0</v>
      </c>
      <c r="M757" s="53"/>
      <c r="N757" s="53">
        <v>44937.0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48">
        <v>44862.0</v>
      </c>
      <c r="B758" s="63" t="s">
        <v>1907</v>
      </c>
      <c r="C758" s="50" t="s">
        <v>725</v>
      </c>
      <c r="D758" s="50" t="s">
        <v>1914</v>
      </c>
      <c r="E758" s="50">
        <v>10.0</v>
      </c>
      <c r="F758" s="51">
        <v>444.59</v>
      </c>
      <c r="G758" s="50" t="str">
        <f t="shared" si="24"/>
        <v>FATURADO</v>
      </c>
      <c r="H758" s="50"/>
      <c r="I758" s="51">
        <v>444.59</v>
      </c>
      <c r="J758" s="48">
        <v>44902.0</v>
      </c>
      <c r="K758" s="50">
        <v>2009.0</v>
      </c>
      <c r="L758" s="50">
        <v>2750302.0</v>
      </c>
      <c r="M758" s="48"/>
      <c r="N758" s="48">
        <v>44937.0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53">
        <v>44862.0</v>
      </c>
      <c r="B759" s="54" t="s">
        <v>1907</v>
      </c>
      <c r="C759" s="55" t="s">
        <v>725</v>
      </c>
      <c r="D759" s="55" t="s">
        <v>1915</v>
      </c>
      <c r="E759" s="55">
        <v>1.0</v>
      </c>
      <c r="F759" s="56">
        <v>26.67</v>
      </c>
      <c r="G759" s="55" t="str">
        <f t="shared" si="24"/>
        <v>FATURADO</v>
      </c>
      <c r="H759" s="55"/>
      <c r="I759" s="56">
        <v>26.67</v>
      </c>
      <c r="J759" s="53">
        <v>44902.0</v>
      </c>
      <c r="K759" s="55">
        <v>2009.0</v>
      </c>
      <c r="L759" s="55">
        <v>2750302.0</v>
      </c>
      <c r="M759" s="53"/>
      <c r="N759" s="53">
        <v>44937.0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48">
        <v>44865.0</v>
      </c>
      <c r="B760" s="60">
        <v>2347.0</v>
      </c>
      <c r="C760" s="50" t="s">
        <v>1916</v>
      </c>
      <c r="D760" s="50" t="s">
        <v>1479</v>
      </c>
      <c r="E760" s="50">
        <v>2.0</v>
      </c>
      <c r="F760" s="51">
        <v>765.25</v>
      </c>
      <c r="G760" s="50" t="str">
        <f t="shared" si="24"/>
        <v>FATURADO</v>
      </c>
      <c r="H760" s="50"/>
      <c r="I760" s="51">
        <v>765.25</v>
      </c>
      <c r="J760" s="48">
        <v>44888.0</v>
      </c>
      <c r="K760" s="50">
        <v>1999.0</v>
      </c>
      <c r="L760" s="50" t="s">
        <v>1917</v>
      </c>
      <c r="M760" s="48"/>
      <c r="N760" s="48">
        <v>44888.0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53">
        <v>44865.0</v>
      </c>
      <c r="B761" s="67">
        <v>2309.0</v>
      </c>
      <c r="C761" s="55" t="s">
        <v>1918</v>
      </c>
      <c r="D761" s="55" t="s">
        <v>1919</v>
      </c>
      <c r="E761" s="55">
        <v>1.0</v>
      </c>
      <c r="F761" s="56">
        <v>4763.47</v>
      </c>
      <c r="G761" s="55" t="str">
        <f t="shared" si="24"/>
        <v>GANHOU</v>
      </c>
      <c r="H761" s="55"/>
      <c r="I761" s="56"/>
      <c r="J761" s="53"/>
      <c r="K761" s="55"/>
      <c r="L761" s="55">
        <v>4.502548213E9</v>
      </c>
      <c r="M761" s="53">
        <v>45003.0</v>
      </c>
      <c r="N761" s="53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48"/>
      <c r="B762" s="50"/>
      <c r="C762" s="50"/>
      <c r="D762" s="50"/>
      <c r="E762" s="50"/>
      <c r="F762" s="51"/>
      <c r="G762" s="50"/>
      <c r="H762" s="50"/>
      <c r="I762" s="51"/>
      <c r="J762" s="48"/>
      <c r="K762" s="50"/>
      <c r="L762" s="50"/>
      <c r="M762" s="48"/>
      <c r="N762" s="4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53">
        <v>44866.0</v>
      </c>
      <c r="B763" s="59">
        <v>2352.0</v>
      </c>
      <c r="C763" s="55" t="s">
        <v>188</v>
      </c>
      <c r="D763" s="55" t="s">
        <v>1920</v>
      </c>
      <c r="E763" s="55">
        <v>29.0</v>
      </c>
      <c r="F763" s="56">
        <v>48475.82</v>
      </c>
      <c r="G763" s="55" t="str">
        <f t="shared" ref="G763:G767" si="25">IF($K763&lt;&gt;"","FATURADO",IF($L763&lt;&gt;"","GANHOU"," "))</f>
        <v> </v>
      </c>
      <c r="H763" s="55"/>
      <c r="I763" s="56"/>
      <c r="J763" s="53"/>
      <c r="K763" s="55"/>
      <c r="L763" s="55"/>
      <c r="M763" s="53"/>
      <c r="N763" s="53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48">
        <v>44866.0</v>
      </c>
      <c r="B764" s="60">
        <v>2352.0</v>
      </c>
      <c r="C764" s="50" t="s">
        <v>188</v>
      </c>
      <c r="D764" s="50" t="s">
        <v>1921</v>
      </c>
      <c r="E764" s="50">
        <v>25.0</v>
      </c>
      <c r="F764" s="51">
        <v>27653.75</v>
      </c>
      <c r="G764" s="50" t="str">
        <f t="shared" si="25"/>
        <v> </v>
      </c>
      <c r="H764" s="50"/>
      <c r="I764" s="51"/>
      <c r="J764" s="48"/>
      <c r="K764" s="50"/>
      <c r="L764" s="50"/>
      <c r="M764" s="48"/>
      <c r="N764" s="4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53">
        <v>44866.0</v>
      </c>
      <c r="B765" s="67">
        <v>2354.0</v>
      </c>
      <c r="C765" s="55" t="s">
        <v>53</v>
      </c>
      <c r="D765" s="55" t="s">
        <v>1922</v>
      </c>
      <c r="E765" s="55"/>
      <c r="F765" s="56"/>
      <c r="G765" s="55" t="str">
        <f t="shared" si="25"/>
        <v> </v>
      </c>
      <c r="H765" s="55"/>
      <c r="I765" s="56"/>
      <c r="J765" s="53"/>
      <c r="K765" s="55"/>
      <c r="L765" s="55"/>
      <c r="M765" s="53"/>
      <c r="N765" s="53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48">
        <v>44866.0</v>
      </c>
      <c r="B766" s="57">
        <v>2353.0</v>
      </c>
      <c r="C766" s="50" t="s">
        <v>44</v>
      </c>
      <c r="D766" s="50" t="s">
        <v>1923</v>
      </c>
      <c r="E766" s="50">
        <v>4.0</v>
      </c>
      <c r="F766" s="51">
        <v>13593.64</v>
      </c>
      <c r="G766" s="50" t="str">
        <f t="shared" si="25"/>
        <v> </v>
      </c>
      <c r="H766" s="50"/>
      <c r="I766" s="51"/>
      <c r="J766" s="48"/>
      <c r="K766" s="50"/>
      <c r="L766" s="50"/>
      <c r="M766" s="48"/>
      <c r="N766" s="4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53">
        <v>44866.0</v>
      </c>
      <c r="B767" s="67" t="s">
        <v>1924</v>
      </c>
      <c r="C767" s="55" t="s">
        <v>1087</v>
      </c>
      <c r="D767" s="55" t="s">
        <v>1925</v>
      </c>
      <c r="E767" s="55">
        <v>1.0</v>
      </c>
      <c r="F767" s="56">
        <v>650.0</v>
      </c>
      <c r="G767" s="55" t="str">
        <f t="shared" si="25"/>
        <v> </v>
      </c>
      <c r="H767" s="55"/>
      <c r="I767" s="56"/>
      <c r="J767" s="53"/>
      <c r="K767" s="55"/>
      <c r="L767" s="55"/>
      <c r="M767" s="53"/>
      <c r="N767" s="53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48">
        <v>44868.0</v>
      </c>
      <c r="B768" s="49">
        <v>2356.0</v>
      </c>
      <c r="C768" s="50" t="s">
        <v>690</v>
      </c>
      <c r="D768" s="50" t="s">
        <v>1926</v>
      </c>
      <c r="E768" s="50">
        <v>2.0</v>
      </c>
      <c r="F768" s="51">
        <v>50643.2</v>
      </c>
      <c r="G768" s="50" t="s">
        <v>167</v>
      </c>
      <c r="H768" s="50"/>
      <c r="I768" s="51"/>
      <c r="J768" s="48"/>
      <c r="K768" s="50"/>
      <c r="L768" s="50">
        <v>4.501399181E9</v>
      </c>
      <c r="M768" s="48">
        <v>45192.0</v>
      </c>
      <c r="N768" s="4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53">
        <v>44873.0</v>
      </c>
      <c r="B769" s="59">
        <v>2359.0</v>
      </c>
      <c r="C769" s="55" t="s">
        <v>75</v>
      </c>
      <c r="D769" s="55" t="s">
        <v>1794</v>
      </c>
      <c r="E769" s="55">
        <v>5.0</v>
      </c>
      <c r="F769" s="56">
        <v>128.65</v>
      </c>
      <c r="G769" s="55" t="str">
        <f t="shared" ref="G769:G835" si="26">IF($K769&lt;&gt;"","FATURADO",IF($L769&lt;&gt;"","GANHOU"," "))</f>
        <v> </v>
      </c>
      <c r="H769" s="55"/>
      <c r="I769" s="56"/>
      <c r="J769" s="53"/>
      <c r="K769" s="55"/>
      <c r="L769" s="55"/>
      <c r="M769" s="53"/>
      <c r="N769" s="53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48">
        <v>44873.0</v>
      </c>
      <c r="B770" s="63">
        <v>2359.0</v>
      </c>
      <c r="C770" s="50" t="s">
        <v>75</v>
      </c>
      <c r="D770" s="50" t="s">
        <v>1927</v>
      </c>
      <c r="E770" s="50">
        <v>20.0</v>
      </c>
      <c r="F770" s="51">
        <v>1289.48</v>
      </c>
      <c r="G770" s="50" t="str">
        <f t="shared" si="26"/>
        <v> </v>
      </c>
      <c r="H770" s="50"/>
      <c r="I770" s="51"/>
      <c r="J770" s="48"/>
      <c r="K770" s="50"/>
      <c r="L770" s="50"/>
      <c r="M770" s="48"/>
      <c r="N770" s="4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53">
        <v>44873.0</v>
      </c>
      <c r="B771" s="61">
        <v>2359.0</v>
      </c>
      <c r="C771" s="55" t="s">
        <v>75</v>
      </c>
      <c r="D771" s="55" t="s">
        <v>1928</v>
      </c>
      <c r="E771" s="55">
        <v>100.0</v>
      </c>
      <c r="F771" s="56">
        <v>2926.61</v>
      </c>
      <c r="G771" s="55" t="str">
        <f t="shared" si="26"/>
        <v> </v>
      </c>
      <c r="H771" s="55"/>
      <c r="I771" s="56"/>
      <c r="J771" s="53"/>
      <c r="K771" s="55"/>
      <c r="L771" s="55"/>
      <c r="M771" s="53"/>
      <c r="N771" s="53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48">
        <v>44873.0</v>
      </c>
      <c r="B772" s="63">
        <v>2359.0</v>
      </c>
      <c r="C772" s="50" t="s">
        <v>75</v>
      </c>
      <c r="D772" s="50" t="s">
        <v>1929</v>
      </c>
      <c r="E772" s="50">
        <v>1.0</v>
      </c>
      <c r="F772" s="51">
        <v>951.81</v>
      </c>
      <c r="G772" s="50" t="str">
        <f t="shared" si="26"/>
        <v> </v>
      </c>
      <c r="H772" s="50"/>
      <c r="I772" s="51"/>
      <c r="J772" s="48"/>
      <c r="K772" s="50"/>
      <c r="L772" s="50"/>
      <c r="M772" s="48"/>
      <c r="N772" s="4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53">
        <v>44887.0</v>
      </c>
      <c r="B773" s="61">
        <v>2359.0</v>
      </c>
      <c r="C773" s="55" t="s">
        <v>75</v>
      </c>
      <c r="D773" s="55" t="s">
        <v>1930</v>
      </c>
      <c r="E773" s="55">
        <v>100.0</v>
      </c>
      <c r="F773" s="56">
        <v>76.99</v>
      </c>
      <c r="G773" s="55" t="str">
        <f t="shared" si="26"/>
        <v> </v>
      </c>
      <c r="H773" s="55"/>
      <c r="I773" s="56"/>
      <c r="J773" s="53"/>
      <c r="K773" s="55"/>
      <c r="L773" s="55"/>
      <c r="M773" s="53"/>
      <c r="N773" s="53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48">
        <v>44887.0</v>
      </c>
      <c r="B774" s="63">
        <v>2359.0</v>
      </c>
      <c r="C774" s="50" t="s">
        <v>75</v>
      </c>
      <c r="D774" s="50" t="s">
        <v>1927</v>
      </c>
      <c r="E774" s="50">
        <v>100.0</v>
      </c>
      <c r="F774" s="51">
        <v>5870.91</v>
      </c>
      <c r="G774" s="50" t="str">
        <f t="shared" si="26"/>
        <v> </v>
      </c>
      <c r="H774" s="50"/>
      <c r="I774" s="51"/>
      <c r="J774" s="48"/>
      <c r="K774" s="50"/>
      <c r="L774" s="50"/>
      <c r="M774" s="48"/>
      <c r="N774" s="4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53">
        <v>44887.0</v>
      </c>
      <c r="B775" s="61">
        <v>2359.0</v>
      </c>
      <c r="C775" s="55" t="s">
        <v>75</v>
      </c>
      <c r="D775" s="55" t="s">
        <v>1584</v>
      </c>
      <c r="E775" s="55">
        <v>1.0</v>
      </c>
      <c r="F775" s="56">
        <v>796.63</v>
      </c>
      <c r="G775" s="55" t="str">
        <f t="shared" si="26"/>
        <v> </v>
      </c>
      <c r="H775" s="55"/>
      <c r="I775" s="56"/>
      <c r="J775" s="53"/>
      <c r="K775" s="55"/>
      <c r="L775" s="55"/>
      <c r="M775" s="53"/>
      <c r="N775" s="53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48">
        <v>44887.0</v>
      </c>
      <c r="B776" s="63">
        <v>2359.0</v>
      </c>
      <c r="C776" s="50" t="s">
        <v>75</v>
      </c>
      <c r="D776" s="50" t="s">
        <v>1931</v>
      </c>
      <c r="E776" s="50">
        <v>1.0</v>
      </c>
      <c r="F776" s="51">
        <v>2469.48</v>
      </c>
      <c r="G776" s="50" t="str">
        <f t="shared" si="26"/>
        <v> </v>
      </c>
      <c r="H776" s="50"/>
      <c r="I776" s="51"/>
      <c r="J776" s="48"/>
      <c r="K776" s="50"/>
      <c r="L776" s="50"/>
      <c r="M776" s="48"/>
      <c r="N776" s="4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53">
        <v>44887.0</v>
      </c>
      <c r="B777" s="61">
        <v>2359.0</v>
      </c>
      <c r="C777" s="55" t="s">
        <v>75</v>
      </c>
      <c r="D777" s="55" t="s">
        <v>1932</v>
      </c>
      <c r="E777" s="55">
        <v>150.0</v>
      </c>
      <c r="F777" s="56">
        <v>870.0</v>
      </c>
      <c r="G777" s="55" t="str">
        <f t="shared" si="26"/>
        <v> </v>
      </c>
      <c r="H777" s="55"/>
      <c r="I777" s="56"/>
      <c r="J777" s="53"/>
      <c r="K777" s="55"/>
      <c r="L777" s="55"/>
      <c r="M777" s="53"/>
      <c r="N777" s="53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48">
        <v>44873.0</v>
      </c>
      <c r="B778" s="57">
        <v>2360.0</v>
      </c>
      <c r="C778" s="50" t="s">
        <v>222</v>
      </c>
      <c r="D778" s="50" t="s">
        <v>1809</v>
      </c>
      <c r="E778" s="50">
        <v>1.0</v>
      </c>
      <c r="F778" s="51">
        <v>285.25</v>
      </c>
      <c r="G778" s="50" t="str">
        <f t="shared" si="26"/>
        <v>FATURADO</v>
      </c>
      <c r="H778" s="50"/>
      <c r="I778" s="51">
        <v>285.25</v>
      </c>
      <c r="J778" s="48">
        <v>44882.0</v>
      </c>
      <c r="K778" s="50">
        <v>1994.0</v>
      </c>
      <c r="L778" s="50">
        <v>4.503545038E9</v>
      </c>
      <c r="M778" s="48">
        <v>44879.0</v>
      </c>
      <c r="N778" s="48">
        <v>44912.0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53">
        <v>44875.0</v>
      </c>
      <c r="B779" s="67">
        <v>2362.0</v>
      </c>
      <c r="C779" s="55" t="s">
        <v>188</v>
      </c>
      <c r="D779" s="55" t="s">
        <v>1933</v>
      </c>
      <c r="E779" s="55">
        <v>5.0</v>
      </c>
      <c r="F779" s="56">
        <v>12399.54</v>
      </c>
      <c r="G779" s="55" t="str">
        <f t="shared" si="26"/>
        <v>GANHOU</v>
      </c>
      <c r="H779" s="80" t="s">
        <v>1934</v>
      </c>
      <c r="I779" s="56"/>
      <c r="J779" s="53"/>
      <c r="K779" s="55"/>
      <c r="L779" s="55">
        <v>4.400571959E9</v>
      </c>
      <c r="M779" s="53">
        <v>45101.0</v>
      </c>
      <c r="N779" s="53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48">
        <v>44875.0</v>
      </c>
      <c r="B780" s="57">
        <v>2363.0</v>
      </c>
      <c r="C780" s="50" t="s">
        <v>44</v>
      </c>
      <c r="D780" s="50" t="s">
        <v>1935</v>
      </c>
      <c r="E780" s="50">
        <v>1.0</v>
      </c>
      <c r="F780" s="51">
        <v>4164.52</v>
      </c>
      <c r="G780" s="50" t="str">
        <f t="shared" si="26"/>
        <v> </v>
      </c>
      <c r="H780" s="81"/>
      <c r="I780" s="51"/>
      <c r="J780" s="48"/>
      <c r="K780" s="50"/>
      <c r="L780" s="50"/>
      <c r="M780" s="48"/>
      <c r="N780" s="4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53">
        <v>44875.0</v>
      </c>
      <c r="B781" s="59">
        <v>2364.0</v>
      </c>
      <c r="C781" s="55" t="s">
        <v>44</v>
      </c>
      <c r="D781" s="55" t="s">
        <v>1915</v>
      </c>
      <c r="E781" s="55">
        <v>54.0</v>
      </c>
      <c r="F781" s="56">
        <v>952.04</v>
      </c>
      <c r="G781" s="55" t="str">
        <f t="shared" si="26"/>
        <v>FATURADO</v>
      </c>
      <c r="H781" s="55"/>
      <c r="I781" s="56">
        <v>952.04</v>
      </c>
      <c r="J781" s="53">
        <v>44896.0</v>
      </c>
      <c r="K781" s="55">
        <v>2004.0</v>
      </c>
      <c r="L781" s="55">
        <v>4.501635503E9</v>
      </c>
      <c r="M781" s="53">
        <v>44896.0</v>
      </c>
      <c r="N781" s="53">
        <v>44927.0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48">
        <v>44875.0</v>
      </c>
      <c r="B782" s="49">
        <v>2365.0</v>
      </c>
      <c r="C782" s="50" t="s">
        <v>44</v>
      </c>
      <c r="D782" s="50" t="s">
        <v>1936</v>
      </c>
      <c r="E782" s="50">
        <v>104.0</v>
      </c>
      <c r="F782" s="51">
        <v>2982.99</v>
      </c>
      <c r="G782" s="50" t="str">
        <f t="shared" si="26"/>
        <v>FATURADO</v>
      </c>
      <c r="H782" s="50"/>
      <c r="I782" s="51">
        <v>2982.99</v>
      </c>
      <c r="J782" s="48">
        <v>44907.0</v>
      </c>
      <c r="K782" s="50">
        <v>2012.0</v>
      </c>
      <c r="L782" s="50">
        <v>4.50163462E9</v>
      </c>
      <c r="M782" s="48">
        <v>44895.0</v>
      </c>
      <c r="N782" s="48">
        <v>44946.0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53">
        <v>44875.0</v>
      </c>
      <c r="B783" s="61">
        <v>2365.0</v>
      </c>
      <c r="C783" s="55" t="s">
        <v>44</v>
      </c>
      <c r="D783" s="55" t="s">
        <v>1937</v>
      </c>
      <c r="E783" s="55">
        <v>33.0</v>
      </c>
      <c r="F783" s="56">
        <v>433.58</v>
      </c>
      <c r="G783" s="55" t="str">
        <f t="shared" si="26"/>
        <v>FATURADO</v>
      </c>
      <c r="H783" s="55"/>
      <c r="I783" s="56">
        <v>433.58</v>
      </c>
      <c r="J783" s="53">
        <v>44931.0</v>
      </c>
      <c r="K783" s="55">
        <v>2028.0</v>
      </c>
      <c r="L783" s="55">
        <v>4.50163462E9</v>
      </c>
      <c r="M783" s="53">
        <v>44925.0</v>
      </c>
      <c r="N783" s="53">
        <v>44967.0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48">
        <v>44875.0</v>
      </c>
      <c r="B784" s="63">
        <v>2365.0</v>
      </c>
      <c r="C784" s="50" t="s">
        <v>44</v>
      </c>
      <c r="D784" s="50" t="s">
        <v>1884</v>
      </c>
      <c r="E784" s="50">
        <v>100.0</v>
      </c>
      <c r="F784" s="51">
        <v>1338.64</v>
      </c>
      <c r="G784" s="50" t="str">
        <f t="shared" si="26"/>
        <v>FATURADO</v>
      </c>
      <c r="H784" s="50"/>
      <c r="I784" s="51">
        <v>1338.64</v>
      </c>
      <c r="J784" s="48">
        <v>44907.0</v>
      </c>
      <c r="K784" s="50">
        <v>2012.0</v>
      </c>
      <c r="L784" s="50">
        <v>4.50163462E9</v>
      </c>
      <c r="M784" s="48">
        <v>44895.0</v>
      </c>
      <c r="N784" s="48">
        <v>44946.0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53">
        <v>44875.0</v>
      </c>
      <c r="B785" s="59">
        <v>2366.0</v>
      </c>
      <c r="C785" s="55" t="s">
        <v>44</v>
      </c>
      <c r="D785" s="55" t="s">
        <v>1715</v>
      </c>
      <c r="E785" s="55">
        <v>11.0</v>
      </c>
      <c r="F785" s="56">
        <v>9457.25</v>
      </c>
      <c r="G785" s="55" t="str">
        <f t="shared" si="26"/>
        <v>FATURADO</v>
      </c>
      <c r="H785" s="55"/>
      <c r="I785" s="56">
        <v>9457.25</v>
      </c>
      <c r="J785" s="53">
        <v>44896.0</v>
      </c>
      <c r="K785" s="55">
        <v>2006.0</v>
      </c>
      <c r="L785" s="55">
        <v>4.501638866E9</v>
      </c>
      <c r="M785" s="53">
        <v>44903.0</v>
      </c>
      <c r="N785" s="53">
        <v>44927.0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48">
        <v>44875.0</v>
      </c>
      <c r="B786" s="63">
        <v>2366.0</v>
      </c>
      <c r="C786" s="50" t="s">
        <v>44</v>
      </c>
      <c r="D786" s="50" t="s">
        <v>1767</v>
      </c>
      <c r="E786" s="50">
        <v>5.0</v>
      </c>
      <c r="F786" s="51">
        <v>7069.74</v>
      </c>
      <c r="G786" s="50" t="str">
        <f t="shared" si="26"/>
        <v>FATURADO</v>
      </c>
      <c r="H786" s="50"/>
      <c r="I786" s="51">
        <v>7069.74</v>
      </c>
      <c r="J786" s="48">
        <v>44896.0</v>
      </c>
      <c r="K786" s="50">
        <v>2006.0</v>
      </c>
      <c r="L786" s="50">
        <v>4.501638866E9</v>
      </c>
      <c r="M786" s="48">
        <v>44903.0</v>
      </c>
      <c r="N786" s="48">
        <v>44927.0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53">
        <v>44875.0</v>
      </c>
      <c r="B787" s="61">
        <v>2366.0</v>
      </c>
      <c r="C787" s="55" t="s">
        <v>44</v>
      </c>
      <c r="D787" s="55" t="s">
        <v>1768</v>
      </c>
      <c r="E787" s="55">
        <v>5.0</v>
      </c>
      <c r="F787" s="56">
        <v>7079.32</v>
      </c>
      <c r="G787" s="55" t="str">
        <f t="shared" si="26"/>
        <v>FATURADO</v>
      </c>
      <c r="H787" s="55"/>
      <c r="I787" s="56">
        <v>7079.32</v>
      </c>
      <c r="J787" s="53">
        <v>44896.0</v>
      </c>
      <c r="K787" s="55">
        <v>2006.0</v>
      </c>
      <c r="L787" s="55">
        <v>4.501638866E9</v>
      </c>
      <c r="M787" s="53">
        <v>44903.0</v>
      </c>
      <c r="N787" s="53">
        <v>44927.0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48">
        <v>44875.0</v>
      </c>
      <c r="B788" s="63">
        <v>2366.0</v>
      </c>
      <c r="C788" s="50" t="s">
        <v>44</v>
      </c>
      <c r="D788" s="50" t="s">
        <v>1938</v>
      </c>
      <c r="E788" s="50">
        <v>5.0</v>
      </c>
      <c r="F788" s="51">
        <v>7356.98</v>
      </c>
      <c r="G788" s="50" t="str">
        <f t="shared" si="26"/>
        <v>FATURADO</v>
      </c>
      <c r="H788" s="50"/>
      <c r="I788" s="51">
        <v>7356.98</v>
      </c>
      <c r="J788" s="48">
        <v>44896.0</v>
      </c>
      <c r="K788" s="50">
        <v>2006.0</v>
      </c>
      <c r="L788" s="50">
        <v>4.501638866E9</v>
      </c>
      <c r="M788" s="48">
        <v>44903.0</v>
      </c>
      <c r="N788" s="48">
        <v>44927.0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53">
        <v>44875.0</v>
      </c>
      <c r="B789" s="61">
        <v>2366.0</v>
      </c>
      <c r="C789" s="55" t="s">
        <v>44</v>
      </c>
      <c r="D789" s="55" t="s">
        <v>1939</v>
      </c>
      <c r="E789" s="55">
        <v>10.0</v>
      </c>
      <c r="F789" s="56">
        <v>13722.71</v>
      </c>
      <c r="G789" s="55" t="str">
        <f t="shared" si="26"/>
        <v>FATURADO</v>
      </c>
      <c r="H789" s="55"/>
      <c r="I789" s="56">
        <v>13722.71</v>
      </c>
      <c r="J789" s="53">
        <v>44896.0</v>
      </c>
      <c r="K789" s="55">
        <v>2006.0</v>
      </c>
      <c r="L789" s="55">
        <v>4.501638866E9</v>
      </c>
      <c r="M789" s="53">
        <v>44903.0</v>
      </c>
      <c r="N789" s="53">
        <v>44927.0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48">
        <v>44875.0</v>
      </c>
      <c r="B790" s="63">
        <v>2366.0</v>
      </c>
      <c r="C790" s="50" t="s">
        <v>44</v>
      </c>
      <c r="D790" s="50" t="s">
        <v>1940</v>
      </c>
      <c r="E790" s="50">
        <v>1.0</v>
      </c>
      <c r="F790" s="51">
        <v>17700.0</v>
      </c>
      <c r="G790" s="50" t="str">
        <f t="shared" si="26"/>
        <v>FATURADO</v>
      </c>
      <c r="H790" s="50"/>
      <c r="I790" s="51">
        <v>17700.0</v>
      </c>
      <c r="J790" s="48">
        <v>44896.0</v>
      </c>
      <c r="K790" s="50">
        <v>2006.0</v>
      </c>
      <c r="L790" s="50">
        <v>4.501638866E9</v>
      </c>
      <c r="M790" s="48">
        <v>44903.0</v>
      </c>
      <c r="N790" s="48">
        <v>44927.0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53">
        <v>44875.0</v>
      </c>
      <c r="B791" s="61">
        <v>2366.0</v>
      </c>
      <c r="C791" s="55" t="s">
        <v>44</v>
      </c>
      <c r="D791" s="55" t="s">
        <v>1897</v>
      </c>
      <c r="E791" s="55">
        <v>180.0</v>
      </c>
      <c r="F791" s="56">
        <v>4378.13</v>
      </c>
      <c r="G791" s="55" t="str">
        <f t="shared" si="26"/>
        <v>FATURADO</v>
      </c>
      <c r="H791" s="55"/>
      <c r="I791" s="56">
        <v>4378.13</v>
      </c>
      <c r="J791" s="53">
        <v>44896.0</v>
      </c>
      <c r="K791" s="55">
        <v>2006.0</v>
      </c>
      <c r="L791" s="55">
        <v>4.501638866E9</v>
      </c>
      <c r="M791" s="53">
        <v>44903.0</v>
      </c>
      <c r="N791" s="53">
        <v>44927.0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48">
        <v>44875.0</v>
      </c>
      <c r="B792" s="63">
        <v>2366.0</v>
      </c>
      <c r="C792" s="50" t="s">
        <v>44</v>
      </c>
      <c r="D792" s="50" t="s">
        <v>1941</v>
      </c>
      <c r="E792" s="50">
        <v>114.0</v>
      </c>
      <c r="F792" s="51">
        <v>1284.88</v>
      </c>
      <c r="G792" s="50" t="str">
        <f t="shared" si="26"/>
        <v>FATURADO</v>
      </c>
      <c r="H792" s="50"/>
      <c r="I792" s="51">
        <v>1284.88</v>
      </c>
      <c r="J792" s="48">
        <v>44896.0</v>
      </c>
      <c r="K792" s="50">
        <v>2006.0</v>
      </c>
      <c r="L792" s="50">
        <v>4.501638866E9</v>
      </c>
      <c r="M792" s="48">
        <v>44903.0</v>
      </c>
      <c r="N792" s="48">
        <v>44927.0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53">
        <v>44875.0</v>
      </c>
      <c r="B793" s="61">
        <v>2402.0</v>
      </c>
      <c r="C793" s="55" t="s">
        <v>44</v>
      </c>
      <c r="D793" s="55" t="s">
        <v>1942</v>
      </c>
      <c r="E793" s="55">
        <v>150.0</v>
      </c>
      <c r="F793" s="56">
        <v>19426.94</v>
      </c>
      <c r="G793" s="55" t="str">
        <f t="shared" si="26"/>
        <v>GANHOU</v>
      </c>
      <c r="H793" s="55"/>
      <c r="I793" s="56"/>
      <c r="J793" s="53"/>
      <c r="K793" s="55"/>
      <c r="L793" s="55">
        <v>4.501638866E9</v>
      </c>
      <c r="M793" s="53">
        <v>44918.0</v>
      </c>
      <c r="N793" s="53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48">
        <v>44876.0</v>
      </c>
      <c r="B794" s="49">
        <v>2367.0</v>
      </c>
      <c r="C794" s="50" t="s">
        <v>19</v>
      </c>
      <c r="D794" s="50" t="s">
        <v>1943</v>
      </c>
      <c r="E794" s="50">
        <v>1.0</v>
      </c>
      <c r="F794" s="51">
        <v>8194.58</v>
      </c>
      <c r="G794" s="50" t="str">
        <f t="shared" si="26"/>
        <v>FATURADO</v>
      </c>
      <c r="H794" s="52" t="s">
        <v>1944</v>
      </c>
      <c r="I794" s="51">
        <v>8194.58</v>
      </c>
      <c r="J794" s="48">
        <v>44888.0</v>
      </c>
      <c r="K794" s="50">
        <v>1998.0</v>
      </c>
      <c r="L794" s="50">
        <v>4.50041432E9</v>
      </c>
      <c r="M794" s="48"/>
      <c r="N794" s="48">
        <v>44918.0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53">
        <v>44876.0</v>
      </c>
      <c r="B795" s="54">
        <v>2367.0</v>
      </c>
      <c r="C795" s="55" t="s">
        <v>19</v>
      </c>
      <c r="D795" s="55" t="s">
        <v>1943</v>
      </c>
      <c r="E795" s="55">
        <v>1.0</v>
      </c>
      <c r="F795" s="56">
        <v>8194.58</v>
      </c>
      <c r="G795" s="55" t="str">
        <f t="shared" si="26"/>
        <v>GANHOU</v>
      </c>
      <c r="H795" s="62"/>
      <c r="I795" s="56"/>
      <c r="J795" s="53"/>
      <c r="K795" s="55"/>
      <c r="L795" s="55">
        <v>4.50041432E9</v>
      </c>
      <c r="M795" s="53">
        <v>45002.0</v>
      </c>
      <c r="N795" s="53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48">
        <v>44876.0</v>
      </c>
      <c r="B796" s="63">
        <v>2368.0</v>
      </c>
      <c r="C796" s="50" t="s">
        <v>77</v>
      </c>
      <c r="D796" s="50" t="s">
        <v>1715</v>
      </c>
      <c r="E796" s="50">
        <v>11.0</v>
      </c>
      <c r="F796" s="51">
        <v>9457.24</v>
      </c>
      <c r="G796" s="50" t="str">
        <f t="shared" si="26"/>
        <v> </v>
      </c>
      <c r="H796" s="50"/>
      <c r="I796" s="51"/>
      <c r="J796" s="48"/>
      <c r="K796" s="50"/>
      <c r="L796" s="50"/>
      <c r="M796" s="48"/>
      <c r="N796" s="4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53">
        <v>44876.0</v>
      </c>
      <c r="B797" s="61">
        <v>2368.0</v>
      </c>
      <c r="C797" s="55" t="s">
        <v>77</v>
      </c>
      <c r="D797" s="55" t="s">
        <v>1767</v>
      </c>
      <c r="E797" s="55">
        <v>5.0</v>
      </c>
      <c r="F797" s="56">
        <v>7069.73</v>
      </c>
      <c r="G797" s="55" t="str">
        <f t="shared" si="26"/>
        <v> </v>
      </c>
      <c r="H797" s="55"/>
      <c r="I797" s="56"/>
      <c r="J797" s="53"/>
      <c r="K797" s="55"/>
      <c r="L797" s="55"/>
      <c r="M797" s="53"/>
      <c r="N797" s="53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48">
        <v>44876.0</v>
      </c>
      <c r="B798" s="63">
        <v>2368.0</v>
      </c>
      <c r="C798" s="50" t="s">
        <v>77</v>
      </c>
      <c r="D798" s="50" t="s">
        <v>1768</v>
      </c>
      <c r="E798" s="50">
        <v>5.0</v>
      </c>
      <c r="F798" s="51">
        <v>7079.29</v>
      </c>
      <c r="G798" s="50" t="str">
        <f t="shared" si="26"/>
        <v> </v>
      </c>
      <c r="H798" s="50"/>
      <c r="I798" s="51"/>
      <c r="J798" s="48"/>
      <c r="K798" s="50"/>
      <c r="L798" s="50"/>
      <c r="M798" s="48"/>
      <c r="N798" s="4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53">
        <v>44876.0</v>
      </c>
      <c r="B799" s="61">
        <v>2368.0</v>
      </c>
      <c r="C799" s="55" t="s">
        <v>77</v>
      </c>
      <c r="D799" s="55" t="s">
        <v>1938</v>
      </c>
      <c r="E799" s="55">
        <v>5.0</v>
      </c>
      <c r="F799" s="56">
        <v>7357.02</v>
      </c>
      <c r="G799" s="55" t="str">
        <f t="shared" si="26"/>
        <v> </v>
      </c>
      <c r="H799" s="55"/>
      <c r="I799" s="56"/>
      <c r="J799" s="53"/>
      <c r="K799" s="55"/>
      <c r="L799" s="55"/>
      <c r="M799" s="53"/>
      <c r="N799" s="53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48">
        <v>44876.0</v>
      </c>
      <c r="B800" s="63">
        <v>2368.0</v>
      </c>
      <c r="C800" s="50" t="s">
        <v>77</v>
      </c>
      <c r="D800" s="50" t="s">
        <v>1939</v>
      </c>
      <c r="E800" s="50">
        <v>5.0</v>
      </c>
      <c r="F800" s="51">
        <v>13722.67</v>
      </c>
      <c r="G800" s="50" t="str">
        <f t="shared" si="26"/>
        <v> </v>
      </c>
      <c r="H800" s="50"/>
      <c r="I800" s="51"/>
      <c r="J800" s="48"/>
      <c r="K800" s="50"/>
      <c r="L800" s="50"/>
      <c r="M800" s="48"/>
      <c r="N800" s="4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53">
        <v>44876.0</v>
      </c>
      <c r="B801" s="61">
        <v>2368.0</v>
      </c>
      <c r="C801" s="55" t="s">
        <v>77</v>
      </c>
      <c r="D801" s="55" t="s">
        <v>1940</v>
      </c>
      <c r="E801" s="55">
        <v>1.0</v>
      </c>
      <c r="F801" s="56">
        <v>17700.0</v>
      </c>
      <c r="G801" s="55" t="str">
        <f t="shared" si="26"/>
        <v> </v>
      </c>
      <c r="H801" s="55"/>
      <c r="I801" s="56"/>
      <c r="J801" s="53"/>
      <c r="K801" s="55"/>
      <c r="L801" s="55"/>
      <c r="M801" s="53"/>
      <c r="N801" s="53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48">
        <v>44876.0</v>
      </c>
      <c r="B802" s="63">
        <v>2368.0</v>
      </c>
      <c r="C802" s="50" t="s">
        <v>77</v>
      </c>
      <c r="D802" s="50" t="s">
        <v>1897</v>
      </c>
      <c r="E802" s="50">
        <v>180.0</v>
      </c>
      <c r="F802" s="51">
        <v>4376.66</v>
      </c>
      <c r="G802" s="50" t="str">
        <f t="shared" si="26"/>
        <v> </v>
      </c>
      <c r="H802" s="50"/>
      <c r="I802" s="51"/>
      <c r="J802" s="48"/>
      <c r="K802" s="50"/>
      <c r="L802" s="50"/>
      <c r="M802" s="48"/>
      <c r="N802" s="4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53">
        <v>44876.0</v>
      </c>
      <c r="B803" s="61">
        <v>2368.0</v>
      </c>
      <c r="C803" s="55" t="s">
        <v>77</v>
      </c>
      <c r="D803" s="55" t="s">
        <v>1941</v>
      </c>
      <c r="E803" s="55">
        <v>114.0</v>
      </c>
      <c r="F803" s="56">
        <v>1284.14</v>
      </c>
      <c r="G803" s="55" t="str">
        <f t="shared" si="26"/>
        <v> </v>
      </c>
      <c r="H803" s="55"/>
      <c r="I803" s="56"/>
      <c r="J803" s="53"/>
      <c r="K803" s="55"/>
      <c r="L803" s="55"/>
      <c r="M803" s="53"/>
      <c r="N803" s="53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48">
        <v>44876.0</v>
      </c>
      <c r="B804" s="63">
        <v>2368.0</v>
      </c>
      <c r="C804" s="50" t="s">
        <v>77</v>
      </c>
      <c r="D804" s="50" t="s">
        <v>1942</v>
      </c>
      <c r="E804" s="50">
        <v>150.0</v>
      </c>
      <c r="F804" s="51">
        <v>19426.94</v>
      </c>
      <c r="G804" s="50" t="str">
        <f t="shared" si="26"/>
        <v> </v>
      </c>
      <c r="H804" s="50"/>
      <c r="I804" s="51"/>
      <c r="J804" s="48"/>
      <c r="K804" s="50"/>
      <c r="L804" s="50"/>
      <c r="M804" s="48"/>
      <c r="N804" s="4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53">
        <v>44876.0</v>
      </c>
      <c r="B805" s="59">
        <v>2369.0</v>
      </c>
      <c r="C805" s="55" t="s">
        <v>44</v>
      </c>
      <c r="D805" s="55" t="s">
        <v>1945</v>
      </c>
      <c r="E805" s="55">
        <v>1.0</v>
      </c>
      <c r="F805" s="56">
        <v>1832.2</v>
      </c>
      <c r="G805" s="55" t="str">
        <f t="shared" si="26"/>
        <v>FATURADO</v>
      </c>
      <c r="H805" s="55"/>
      <c r="I805" s="56">
        <v>1832.2</v>
      </c>
      <c r="J805" s="53">
        <v>44896.0</v>
      </c>
      <c r="K805" s="55">
        <v>2005.0</v>
      </c>
      <c r="L805" s="55">
        <v>4.501638416E9</v>
      </c>
      <c r="M805" s="53">
        <v>44902.0</v>
      </c>
      <c r="N805" s="53">
        <v>44927.0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48">
        <v>44876.0</v>
      </c>
      <c r="B806" s="63">
        <v>2369.0</v>
      </c>
      <c r="C806" s="50" t="s">
        <v>44</v>
      </c>
      <c r="D806" s="50" t="s">
        <v>837</v>
      </c>
      <c r="E806" s="50">
        <v>2.0</v>
      </c>
      <c r="F806" s="51">
        <v>2542.06</v>
      </c>
      <c r="G806" s="50" t="str">
        <f t="shared" si="26"/>
        <v>FATURADO</v>
      </c>
      <c r="H806" s="50"/>
      <c r="I806" s="51">
        <v>2542.06</v>
      </c>
      <c r="J806" s="48">
        <v>44896.0</v>
      </c>
      <c r="K806" s="50">
        <v>2005.0</v>
      </c>
      <c r="L806" s="50">
        <v>4.501638416E9</v>
      </c>
      <c r="M806" s="48"/>
      <c r="N806" s="48">
        <v>44927.0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53">
        <v>44876.0</v>
      </c>
      <c r="B807" s="54">
        <v>2369.0</v>
      </c>
      <c r="C807" s="55" t="s">
        <v>44</v>
      </c>
      <c r="D807" s="55" t="s">
        <v>837</v>
      </c>
      <c r="E807" s="55">
        <v>5.0</v>
      </c>
      <c r="F807" s="56">
        <v>6355.13</v>
      </c>
      <c r="G807" s="55" t="str">
        <f t="shared" si="26"/>
        <v>GANHOU</v>
      </c>
      <c r="H807" s="55"/>
      <c r="I807" s="56"/>
      <c r="J807" s="53"/>
      <c r="K807" s="55"/>
      <c r="L807" s="55">
        <v>4.501638416E9</v>
      </c>
      <c r="M807" s="53">
        <v>44977.0</v>
      </c>
      <c r="N807" s="53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48">
        <v>44879.0</v>
      </c>
      <c r="B808" s="60">
        <v>2371.0</v>
      </c>
      <c r="C808" s="50" t="s">
        <v>1946</v>
      </c>
      <c r="D808" s="50" t="s">
        <v>1947</v>
      </c>
      <c r="E808" s="50">
        <v>1.0</v>
      </c>
      <c r="F808" s="51">
        <v>2451.67</v>
      </c>
      <c r="G808" s="50" t="str">
        <f t="shared" si="26"/>
        <v> </v>
      </c>
      <c r="H808" s="52" t="s">
        <v>1948</v>
      </c>
      <c r="I808" s="51"/>
      <c r="J808" s="48"/>
      <c r="K808" s="50"/>
      <c r="L808" s="50"/>
      <c r="M808" s="48"/>
      <c r="N808" s="4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53">
        <v>44881.0</v>
      </c>
      <c r="B809" s="59">
        <v>2372.0</v>
      </c>
      <c r="C809" s="55" t="s">
        <v>19</v>
      </c>
      <c r="D809" s="55" t="s">
        <v>221</v>
      </c>
      <c r="E809" s="55">
        <v>7.0</v>
      </c>
      <c r="F809" s="56">
        <v>6499.66</v>
      </c>
      <c r="G809" s="55" t="str">
        <f t="shared" si="26"/>
        <v> </v>
      </c>
      <c r="H809" s="62" t="s">
        <v>1949</v>
      </c>
      <c r="I809" s="56"/>
      <c r="J809" s="53"/>
      <c r="K809" s="55"/>
      <c r="L809" s="55"/>
      <c r="M809" s="53"/>
      <c r="N809" s="53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48">
        <v>44881.0</v>
      </c>
      <c r="B810" s="60">
        <v>2372.0</v>
      </c>
      <c r="C810" s="50" t="s">
        <v>19</v>
      </c>
      <c r="D810" s="50" t="s">
        <v>168</v>
      </c>
      <c r="E810" s="50">
        <v>9.0</v>
      </c>
      <c r="F810" s="51">
        <v>8722.92</v>
      </c>
      <c r="G810" s="50" t="str">
        <f t="shared" si="26"/>
        <v> </v>
      </c>
      <c r="H810" s="50"/>
      <c r="I810" s="51"/>
      <c r="J810" s="48"/>
      <c r="K810" s="50"/>
      <c r="L810" s="50"/>
      <c r="M810" s="48"/>
      <c r="N810" s="4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53">
        <v>44882.0</v>
      </c>
      <c r="B811" s="67">
        <v>2376.0</v>
      </c>
      <c r="C811" s="55" t="s">
        <v>44</v>
      </c>
      <c r="D811" s="55" t="s">
        <v>1950</v>
      </c>
      <c r="E811" s="55">
        <v>1.0</v>
      </c>
      <c r="F811" s="56">
        <v>6744.25</v>
      </c>
      <c r="G811" s="55" t="str">
        <f t="shared" si="26"/>
        <v> </v>
      </c>
      <c r="H811" s="62" t="s">
        <v>1951</v>
      </c>
      <c r="I811" s="56"/>
      <c r="J811" s="53"/>
      <c r="K811" s="55"/>
      <c r="L811" s="55"/>
      <c r="M811" s="53"/>
      <c r="N811" s="53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48">
        <v>44883.0</v>
      </c>
      <c r="B812" s="57">
        <v>2377.0</v>
      </c>
      <c r="C812" s="50" t="s">
        <v>19</v>
      </c>
      <c r="D812" s="50" t="s">
        <v>825</v>
      </c>
      <c r="E812" s="50">
        <v>2.0</v>
      </c>
      <c r="F812" s="51">
        <v>3000.28</v>
      </c>
      <c r="G812" s="50" t="str">
        <f t="shared" si="26"/>
        <v>FATURADO</v>
      </c>
      <c r="H812" s="50"/>
      <c r="I812" s="51">
        <v>3000.28</v>
      </c>
      <c r="J812" s="48">
        <v>44895.0</v>
      </c>
      <c r="K812" s="50">
        <v>2003.0</v>
      </c>
      <c r="L812" s="50">
        <v>4.500415715E9</v>
      </c>
      <c r="M812" s="48">
        <v>44897.0</v>
      </c>
      <c r="N812" s="48">
        <v>44927.0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53">
        <v>44886.0</v>
      </c>
      <c r="B813" s="67">
        <v>2379.0</v>
      </c>
      <c r="C813" s="55" t="s">
        <v>44</v>
      </c>
      <c r="D813" s="55" t="s">
        <v>1952</v>
      </c>
      <c r="E813" s="55">
        <v>4.0</v>
      </c>
      <c r="F813" s="56">
        <v>159600.0</v>
      </c>
      <c r="G813" s="55" t="str">
        <f t="shared" si="26"/>
        <v> </v>
      </c>
      <c r="H813" s="62" t="s">
        <v>1953</v>
      </c>
      <c r="I813" s="56"/>
      <c r="J813" s="53"/>
      <c r="K813" s="55"/>
      <c r="L813" s="55"/>
      <c r="M813" s="53"/>
      <c r="N813" s="53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48">
        <v>44886.0</v>
      </c>
      <c r="B814" s="57">
        <v>2381.0</v>
      </c>
      <c r="C814" s="50" t="s">
        <v>77</v>
      </c>
      <c r="D814" s="50" t="s">
        <v>1427</v>
      </c>
      <c r="E814" s="50">
        <v>2.0</v>
      </c>
      <c r="F814" s="51">
        <v>3000.28</v>
      </c>
      <c r="G814" s="50" t="str">
        <f t="shared" si="26"/>
        <v> </v>
      </c>
      <c r="H814" s="50"/>
      <c r="I814" s="51"/>
      <c r="J814" s="48"/>
      <c r="K814" s="50"/>
      <c r="L814" s="50"/>
      <c r="M814" s="48"/>
      <c r="N814" s="4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53">
        <v>44886.0</v>
      </c>
      <c r="B815" s="67">
        <v>2380.0</v>
      </c>
      <c r="C815" s="55" t="s">
        <v>1954</v>
      </c>
      <c r="D815" s="55" t="s">
        <v>1955</v>
      </c>
      <c r="E815" s="55">
        <v>1.0</v>
      </c>
      <c r="F815" s="56">
        <v>22687.75</v>
      </c>
      <c r="G815" s="55" t="str">
        <f t="shared" si="26"/>
        <v> </v>
      </c>
      <c r="H815" s="55"/>
      <c r="I815" s="56"/>
      <c r="J815" s="53"/>
      <c r="K815" s="55"/>
      <c r="L815" s="55"/>
      <c r="M815" s="53"/>
      <c r="N815" s="53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48">
        <v>44886.0</v>
      </c>
      <c r="B816" s="49">
        <v>2382.0</v>
      </c>
      <c r="C816" s="50" t="s">
        <v>44</v>
      </c>
      <c r="D816" s="50" t="s">
        <v>1956</v>
      </c>
      <c r="E816" s="50">
        <v>1.0</v>
      </c>
      <c r="F816" s="51">
        <v>973.74</v>
      </c>
      <c r="G816" s="50" t="str">
        <f t="shared" si="26"/>
        <v> </v>
      </c>
      <c r="H816" s="50"/>
      <c r="I816" s="51"/>
      <c r="J816" s="48"/>
      <c r="K816" s="50"/>
      <c r="L816" s="50"/>
      <c r="M816" s="48"/>
      <c r="N816" s="4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53">
        <v>44886.0</v>
      </c>
      <c r="B817" s="61">
        <v>2382.0</v>
      </c>
      <c r="C817" s="55" t="s">
        <v>44</v>
      </c>
      <c r="D817" s="55" t="s">
        <v>1957</v>
      </c>
      <c r="E817" s="55">
        <v>1.0</v>
      </c>
      <c r="F817" s="56">
        <v>6022.44</v>
      </c>
      <c r="G817" s="55" t="str">
        <f t="shared" si="26"/>
        <v> </v>
      </c>
      <c r="H817" s="55"/>
      <c r="I817" s="56"/>
      <c r="J817" s="53"/>
      <c r="K817" s="55"/>
      <c r="L817" s="55"/>
      <c r="M817" s="53"/>
      <c r="N817" s="53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48">
        <v>44886.0</v>
      </c>
      <c r="B818" s="60">
        <v>2382.0</v>
      </c>
      <c r="C818" s="50" t="s">
        <v>44</v>
      </c>
      <c r="D818" s="50" t="s">
        <v>1429</v>
      </c>
      <c r="E818" s="50">
        <v>2.0</v>
      </c>
      <c r="F818" s="51">
        <v>7474.15</v>
      </c>
      <c r="G818" s="50" t="str">
        <f t="shared" si="26"/>
        <v> </v>
      </c>
      <c r="H818" s="50"/>
      <c r="I818" s="51"/>
      <c r="J818" s="48"/>
      <c r="K818" s="50"/>
      <c r="L818" s="50"/>
      <c r="M818" s="48"/>
      <c r="N818" s="4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53">
        <v>44886.0</v>
      </c>
      <c r="B819" s="59">
        <v>2384.0</v>
      </c>
      <c r="C819" s="55" t="s">
        <v>44</v>
      </c>
      <c r="D819" s="55" t="s">
        <v>1956</v>
      </c>
      <c r="E819" s="55">
        <v>2.0</v>
      </c>
      <c r="F819" s="56">
        <v>1947.48</v>
      </c>
      <c r="G819" s="55" t="str">
        <f t="shared" si="26"/>
        <v> </v>
      </c>
      <c r="H819" s="55"/>
      <c r="I819" s="56"/>
      <c r="J819" s="53"/>
      <c r="K819" s="55"/>
      <c r="L819" s="55"/>
      <c r="M819" s="53"/>
      <c r="N819" s="53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48">
        <v>44886.0</v>
      </c>
      <c r="B820" s="60">
        <v>2384.0</v>
      </c>
      <c r="C820" s="50" t="s">
        <v>44</v>
      </c>
      <c r="D820" s="50" t="s">
        <v>1956</v>
      </c>
      <c r="E820" s="50">
        <v>4.0</v>
      </c>
      <c r="F820" s="51">
        <v>3894.96</v>
      </c>
      <c r="G820" s="50" t="str">
        <f t="shared" si="26"/>
        <v> </v>
      </c>
      <c r="H820" s="50"/>
      <c r="I820" s="51"/>
      <c r="J820" s="48"/>
      <c r="K820" s="50"/>
      <c r="L820" s="50"/>
      <c r="M820" s="48"/>
      <c r="N820" s="4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53">
        <v>44887.0</v>
      </c>
      <c r="B821" s="59">
        <v>2387.0</v>
      </c>
      <c r="C821" s="55" t="s">
        <v>77</v>
      </c>
      <c r="D821" s="55" t="s">
        <v>1956</v>
      </c>
      <c r="E821" s="55">
        <v>1.0</v>
      </c>
      <c r="F821" s="56">
        <v>973.74</v>
      </c>
      <c r="G821" s="55" t="str">
        <f t="shared" si="26"/>
        <v> </v>
      </c>
      <c r="H821" s="55"/>
      <c r="I821" s="56"/>
      <c r="J821" s="53"/>
      <c r="K821" s="55"/>
      <c r="L821" s="55"/>
      <c r="M821" s="53"/>
      <c r="N821" s="53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48">
        <v>44887.0</v>
      </c>
      <c r="B822" s="63">
        <v>2387.0</v>
      </c>
      <c r="C822" s="50" t="s">
        <v>77</v>
      </c>
      <c r="D822" s="50" t="s">
        <v>1957</v>
      </c>
      <c r="E822" s="50">
        <v>1.0</v>
      </c>
      <c r="F822" s="51">
        <v>6022.44</v>
      </c>
      <c r="G822" s="50" t="str">
        <f t="shared" si="26"/>
        <v> </v>
      </c>
      <c r="H822" s="50"/>
      <c r="I822" s="51"/>
      <c r="J822" s="48"/>
      <c r="K822" s="50"/>
      <c r="L822" s="50"/>
      <c r="M822" s="48"/>
      <c r="N822" s="4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53">
        <v>44887.0</v>
      </c>
      <c r="B823" s="54">
        <v>2387.0</v>
      </c>
      <c r="C823" s="55" t="s">
        <v>77</v>
      </c>
      <c r="D823" s="55" t="s">
        <v>1429</v>
      </c>
      <c r="E823" s="55">
        <v>2.0</v>
      </c>
      <c r="F823" s="56">
        <v>7474.15</v>
      </c>
      <c r="G823" s="55" t="str">
        <f t="shared" si="26"/>
        <v> </v>
      </c>
      <c r="H823" s="55"/>
      <c r="I823" s="56"/>
      <c r="J823" s="53"/>
      <c r="K823" s="55"/>
      <c r="L823" s="55"/>
      <c r="M823" s="53"/>
      <c r="N823" s="53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48">
        <v>44888.0</v>
      </c>
      <c r="B824" s="49">
        <v>2393.0</v>
      </c>
      <c r="C824" s="50" t="s">
        <v>1958</v>
      </c>
      <c r="D824" s="50" t="s">
        <v>1959</v>
      </c>
      <c r="E824" s="50">
        <v>3.0</v>
      </c>
      <c r="F824" s="51">
        <v>553.17</v>
      </c>
      <c r="G824" s="50" t="str">
        <f t="shared" si="26"/>
        <v> </v>
      </c>
      <c r="H824" s="52" t="s">
        <v>1960</v>
      </c>
      <c r="I824" s="51"/>
      <c r="J824" s="48"/>
      <c r="K824" s="50"/>
      <c r="L824" s="50"/>
      <c r="M824" s="48"/>
      <c r="N824" s="4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53">
        <v>44888.0</v>
      </c>
      <c r="B825" s="61">
        <v>2393.0</v>
      </c>
      <c r="C825" s="55" t="s">
        <v>1958</v>
      </c>
      <c r="D825" s="55" t="s">
        <v>1961</v>
      </c>
      <c r="E825" s="55">
        <v>5.0</v>
      </c>
      <c r="F825" s="56">
        <v>4302.56</v>
      </c>
      <c r="G825" s="55" t="str">
        <f t="shared" si="26"/>
        <v> </v>
      </c>
      <c r="H825" s="82" t="s">
        <v>1962</v>
      </c>
      <c r="I825" s="56"/>
      <c r="J825" s="53"/>
      <c r="K825" s="55"/>
      <c r="L825" s="55"/>
      <c r="M825" s="53"/>
      <c r="N825" s="53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48">
        <v>44888.0</v>
      </c>
      <c r="B826" s="63">
        <v>2393.0</v>
      </c>
      <c r="C826" s="50" t="s">
        <v>1958</v>
      </c>
      <c r="D826" s="50" t="s">
        <v>1963</v>
      </c>
      <c r="E826" s="50">
        <v>5.0</v>
      </c>
      <c r="F826" s="51">
        <v>2930.15</v>
      </c>
      <c r="G826" s="50" t="str">
        <f t="shared" si="26"/>
        <v> </v>
      </c>
      <c r="H826" s="50"/>
      <c r="I826" s="51"/>
      <c r="J826" s="48"/>
      <c r="K826" s="50"/>
      <c r="L826" s="50"/>
      <c r="M826" s="48"/>
      <c r="N826" s="4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53">
        <v>44888.0</v>
      </c>
      <c r="B827" s="61">
        <v>2393.0</v>
      </c>
      <c r="C827" s="55" t="s">
        <v>1958</v>
      </c>
      <c r="D827" s="55" t="s">
        <v>1964</v>
      </c>
      <c r="E827" s="55">
        <v>1.0</v>
      </c>
      <c r="F827" s="56">
        <v>219.12</v>
      </c>
      <c r="G827" s="55" t="str">
        <f t="shared" si="26"/>
        <v> </v>
      </c>
      <c r="H827" s="55"/>
      <c r="I827" s="56"/>
      <c r="J827" s="53"/>
      <c r="K827" s="55"/>
      <c r="L827" s="55"/>
      <c r="M827" s="53"/>
      <c r="N827" s="53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48">
        <v>44888.0</v>
      </c>
      <c r="B828" s="63">
        <v>2393.0</v>
      </c>
      <c r="C828" s="50" t="s">
        <v>1958</v>
      </c>
      <c r="D828" s="50" t="s">
        <v>1965</v>
      </c>
      <c r="E828" s="50">
        <v>5.0</v>
      </c>
      <c r="F828" s="51">
        <v>921.93</v>
      </c>
      <c r="G828" s="50" t="str">
        <f t="shared" si="26"/>
        <v> </v>
      </c>
      <c r="H828" s="50"/>
      <c r="I828" s="51"/>
      <c r="J828" s="48"/>
      <c r="K828" s="50"/>
      <c r="L828" s="50"/>
      <c r="M828" s="48"/>
      <c r="N828" s="4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53">
        <v>44888.0</v>
      </c>
      <c r="B829" s="54">
        <v>2393.0</v>
      </c>
      <c r="C829" s="55" t="s">
        <v>1958</v>
      </c>
      <c r="D829" s="55" t="s">
        <v>1966</v>
      </c>
      <c r="E829" s="55">
        <v>5.0</v>
      </c>
      <c r="F829" s="56">
        <v>1685.85</v>
      </c>
      <c r="G829" s="55" t="str">
        <f t="shared" si="26"/>
        <v> </v>
      </c>
      <c r="H829" s="55"/>
      <c r="I829" s="56"/>
      <c r="J829" s="53"/>
      <c r="K829" s="55"/>
      <c r="L829" s="55"/>
      <c r="M829" s="53"/>
      <c r="N829" s="53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48">
        <v>44888.0</v>
      </c>
      <c r="B830" s="49">
        <v>2391.0</v>
      </c>
      <c r="C830" s="50" t="s">
        <v>1442</v>
      </c>
      <c r="D830" s="50" t="s">
        <v>1967</v>
      </c>
      <c r="E830" s="50">
        <v>4.0</v>
      </c>
      <c r="F830" s="51">
        <v>1522.6</v>
      </c>
      <c r="G830" s="50" t="str">
        <f t="shared" si="26"/>
        <v>FATURADO</v>
      </c>
      <c r="H830" s="50"/>
      <c r="I830" s="51">
        <v>1522.6</v>
      </c>
      <c r="J830" s="48">
        <v>44922.0</v>
      </c>
      <c r="K830" s="50">
        <v>2025.0</v>
      </c>
      <c r="L830" s="50">
        <v>62984.0</v>
      </c>
      <c r="M830" s="48">
        <v>44903.0</v>
      </c>
      <c r="N830" s="48">
        <v>44922.0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53">
        <v>44888.0</v>
      </c>
      <c r="B831" s="59">
        <v>2391.0</v>
      </c>
      <c r="C831" s="55" t="s">
        <v>1442</v>
      </c>
      <c r="D831" s="55" t="s">
        <v>1967</v>
      </c>
      <c r="E831" s="55">
        <v>1.0</v>
      </c>
      <c r="F831" s="56">
        <v>380.65</v>
      </c>
      <c r="G831" s="55" t="str">
        <f t="shared" si="26"/>
        <v>GANHOU</v>
      </c>
      <c r="H831" s="55"/>
      <c r="I831" s="56"/>
      <c r="J831" s="53"/>
      <c r="K831" s="55"/>
      <c r="L831" s="55">
        <v>62984.0</v>
      </c>
      <c r="M831" s="53"/>
      <c r="N831" s="53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48">
        <v>44888.0</v>
      </c>
      <c r="B832" s="60">
        <v>2391.0</v>
      </c>
      <c r="C832" s="50" t="s">
        <v>1442</v>
      </c>
      <c r="D832" s="50" t="s">
        <v>1577</v>
      </c>
      <c r="E832" s="50">
        <v>4.0</v>
      </c>
      <c r="F832" s="51">
        <v>665.24</v>
      </c>
      <c r="G832" s="50" t="str">
        <f t="shared" si="26"/>
        <v>FATURADO</v>
      </c>
      <c r="H832" s="50"/>
      <c r="I832" s="51">
        <v>665.24</v>
      </c>
      <c r="J832" s="48">
        <v>44922.0</v>
      </c>
      <c r="K832" s="50">
        <v>2025.0</v>
      </c>
      <c r="L832" s="50">
        <v>62984.0</v>
      </c>
      <c r="M832" s="48">
        <v>44903.0</v>
      </c>
      <c r="N832" s="48">
        <v>44922.0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53">
        <v>44893.0</v>
      </c>
      <c r="B833" s="67">
        <v>2397.0</v>
      </c>
      <c r="C833" s="55" t="s">
        <v>188</v>
      </c>
      <c r="D833" s="55" t="s">
        <v>1968</v>
      </c>
      <c r="E833" s="55">
        <v>9.0</v>
      </c>
      <c r="F833" s="56">
        <v>9622.08</v>
      </c>
      <c r="G833" s="55" t="str">
        <f t="shared" si="26"/>
        <v> </v>
      </c>
      <c r="H833" s="55"/>
      <c r="I833" s="56"/>
      <c r="J833" s="53"/>
      <c r="K833" s="55"/>
      <c r="L833" s="55"/>
      <c r="M833" s="53"/>
      <c r="N833" s="53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48">
        <v>44893.0</v>
      </c>
      <c r="B834" s="57">
        <v>2398.0</v>
      </c>
      <c r="C834" s="50" t="s">
        <v>1954</v>
      </c>
      <c r="D834" s="50" t="s">
        <v>1969</v>
      </c>
      <c r="E834" s="50">
        <v>1.0</v>
      </c>
      <c r="F834" s="51">
        <v>5015.78</v>
      </c>
      <c r="G834" s="50" t="str">
        <f t="shared" si="26"/>
        <v> </v>
      </c>
      <c r="H834" s="50"/>
      <c r="I834" s="51"/>
      <c r="J834" s="48"/>
      <c r="K834" s="50"/>
      <c r="L834" s="50"/>
      <c r="M834" s="48"/>
      <c r="N834" s="4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53">
        <v>44894.0</v>
      </c>
      <c r="B835" s="55"/>
      <c r="C835" s="55" t="s">
        <v>1711</v>
      </c>
      <c r="D835" s="55" t="s">
        <v>1970</v>
      </c>
      <c r="E835" s="55">
        <v>1.0</v>
      </c>
      <c r="F835" s="56"/>
      <c r="G835" s="55" t="str">
        <f t="shared" si="26"/>
        <v> </v>
      </c>
      <c r="H835" s="62" t="s">
        <v>1971</v>
      </c>
      <c r="I835" s="56"/>
      <c r="J835" s="53"/>
      <c r="K835" s="55"/>
      <c r="L835" s="55"/>
      <c r="M835" s="53"/>
      <c r="N835" s="53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83"/>
      <c r="B836" s="84"/>
      <c r="C836" s="84"/>
      <c r="D836" s="84"/>
      <c r="E836" s="84"/>
      <c r="F836" s="85"/>
      <c r="G836" s="84"/>
      <c r="H836" s="86"/>
      <c r="I836" s="85"/>
      <c r="J836" s="83"/>
      <c r="K836" s="84"/>
      <c r="L836" s="84"/>
      <c r="M836" s="83"/>
      <c r="N836" s="4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53">
        <v>44896.0</v>
      </c>
      <c r="B837" s="59">
        <v>2412.0</v>
      </c>
      <c r="C837" s="55" t="s">
        <v>1972</v>
      </c>
      <c r="D837" s="55" t="s">
        <v>1973</v>
      </c>
      <c r="E837" s="55">
        <v>6.0</v>
      </c>
      <c r="F837" s="56">
        <v>354.9</v>
      </c>
      <c r="G837" s="55" t="str">
        <f t="shared" ref="G837:G840" si="27">IF($K837&lt;&gt;"","FATURADO",IF($L837&lt;&gt;"","GANHOU"," "))</f>
        <v> </v>
      </c>
      <c r="H837" s="62" t="s">
        <v>1974</v>
      </c>
      <c r="I837" s="56"/>
      <c r="J837" s="53"/>
      <c r="K837" s="55"/>
      <c r="L837" s="55"/>
      <c r="M837" s="53"/>
      <c r="N837" s="53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48">
        <v>44896.0</v>
      </c>
      <c r="B838" s="60">
        <v>2412.0</v>
      </c>
      <c r="C838" s="50" t="s">
        <v>1972</v>
      </c>
      <c r="D838" s="50" t="s">
        <v>1975</v>
      </c>
      <c r="E838" s="50">
        <v>2.0</v>
      </c>
      <c r="F838" s="51">
        <v>125.06</v>
      </c>
      <c r="G838" s="50" t="str">
        <f t="shared" si="27"/>
        <v> </v>
      </c>
      <c r="H838" s="50"/>
      <c r="I838" s="51"/>
      <c r="J838" s="48"/>
      <c r="K838" s="50"/>
      <c r="L838" s="50"/>
      <c r="M838" s="48"/>
      <c r="N838" s="4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53">
        <v>44896.0</v>
      </c>
      <c r="B839" s="54">
        <v>2404.0</v>
      </c>
      <c r="C839" s="55" t="s">
        <v>1711</v>
      </c>
      <c r="D839" s="55" t="s">
        <v>1976</v>
      </c>
      <c r="E839" s="55">
        <v>3.0</v>
      </c>
      <c r="F839" s="56">
        <v>4241.6</v>
      </c>
      <c r="G839" s="55" t="str">
        <f t="shared" si="27"/>
        <v> </v>
      </c>
      <c r="H839" s="55"/>
      <c r="I839" s="56"/>
      <c r="J839" s="53"/>
      <c r="K839" s="55"/>
      <c r="L839" s="55"/>
      <c r="M839" s="53"/>
      <c r="N839" s="53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48">
        <v>44896.0</v>
      </c>
      <c r="B840" s="57">
        <v>2407.0</v>
      </c>
      <c r="C840" s="50" t="s">
        <v>19</v>
      </c>
      <c r="D840" s="50" t="s">
        <v>1447</v>
      </c>
      <c r="E840" s="50">
        <v>300.0</v>
      </c>
      <c r="F840" s="51">
        <v>1050.0</v>
      </c>
      <c r="G840" s="50" t="str">
        <f t="shared" si="27"/>
        <v>FATURADO</v>
      </c>
      <c r="H840" s="50"/>
      <c r="I840" s="51">
        <v>1050.0</v>
      </c>
      <c r="J840" s="48">
        <v>44909.0</v>
      </c>
      <c r="K840" s="50">
        <v>2015.0</v>
      </c>
      <c r="L840" s="50">
        <v>4.500416525E9</v>
      </c>
      <c r="M840" s="48">
        <v>44911.0</v>
      </c>
      <c r="N840" s="48">
        <v>44946.0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0" customHeight="1">
      <c r="A841" s="53">
        <v>44897.0</v>
      </c>
      <c r="B841" s="67">
        <v>2410.0</v>
      </c>
      <c r="C841" s="55" t="s">
        <v>690</v>
      </c>
      <c r="D841" s="55" t="s">
        <v>1977</v>
      </c>
      <c r="E841" s="55">
        <v>1.0</v>
      </c>
      <c r="F841" s="56">
        <v>12763.94</v>
      </c>
      <c r="G841" s="55" t="s">
        <v>167</v>
      </c>
      <c r="H841" s="87" t="s">
        <v>1978</v>
      </c>
      <c r="I841" s="56"/>
      <c r="J841" s="53"/>
      <c r="K841" s="55"/>
      <c r="L841" s="55">
        <v>4.50139922E9</v>
      </c>
      <c r="M841" s="53">
        <v>45174.0</v>
      </c>
      <c r="N841" s="53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48">
        <v>44900.0</v>
      </c>
      <c r="B842" s="57">
        <v>2411.0</v>
      </c>
      <c r="C842" s="50" t="s">
        <v>44</v>
      </c>
      <c r="D842" s="50" t="s">
        <v>1979</v>
      </c>
      <c r="E842" s="50">
        <v>30.0</v>
      </c>
      <c r="F842" s="51">
        <v>1294.06</v>
      </c>
      <c r="G842" s="50" t="str">
        <f t="shared" ref="G842:G864" si="28">IF($K842&lt;&gt;"","FATURADO",IF($L842&lt;&gt;"","GANHOU"," "))</f>
        <v>FATURADO</v>
      </c>
      <c r="H842" s="50"/>
      <c r="I842" s="51">
        <v>1294.06</v>
      </c>
      <c r="J842" s="48">
        <v>44911.0</v>
      </c>
      <c r="K842" s="50">
        <v>2018.0</v>
      </c>
      <c r="L842" s="52">
        <v>4.501646041E9</v>
      </c>
      <c r="M842" s="48">
        <v>44915.0</v>
      </c>
      <c r="N842" s="48">
        <v>44946.0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53">
        <v>44902.0</v>
      </c>
      <c r="B843" s="67">
        <v>2414.0</v>
      </c>
      <c r="C843" s="55" t="s">
        <v>1980</v>
      </c>
      <c r="D843" s="55" t="s">
        <v>1981</v>
      </c>
      <c r="E843" s="55">
        <v>1.0</v>
      </c>
      <c r="F843" s="56">
        <v>5133.61</v>
      </c>
      <c r="G843" s="55" t="str">
        <f t="shared" si="28"/>
        <v> </v>
      </c>
      <c r="H843" s="55"/>
      <c r="I843" s="56"/>
      <c r="J843" s="53"/>
      <c r="K843" s="55"/>
      <c r="L843" s="55"/>
      <c r="M843" s="53"/>
      <c r="N843" s="53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48">
        <v>44902.0</v>
      </c>
      <c r="B844" s="49">
        <v>2420.0</v>
      </c>
      <c r="C844" s="50" t="s">
        <v>1982</v>
      </c>
      <c r="D844" s="50" t="s">
        <v>1983</v>
      </c>
      <c r="E844" s="50">
        <v>1.0</v>
      </c>
      <c r="F844" s="51">
        <v>6015.08</v>
      </c>
      <c r="G844" s="50" t="str">
        <f t="shared" si="28"/>
        <v> </v>
      </c>
      <c r="H844" s="52" t="s">
        <v>1984</v>
      </c>
      <c r="I844" s="51"/>
      <c r="J844" s="48"/>
      <c r="K844" s="50"/>
      <c r="L844" s="50"/>
      <c r="M844" s="48"/>
      <c r="N844" s="4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53">
        <v>44902.0</v>
      </c>
      <c r="B845" s="61"/>
      <c r="C845" s="55" t="s">
        <v>1982</v>
      </c>
      <c r="D845" s="55" t="s">
        <v>1985</v>
      </c>
      <c r="E845" s="55"/>
      <c r="F845" s="56"/>
      <c r="G845" s="55" t="str">
        <f t="shared" si="28"/>
        <v> </v>
      </c>
      <c r="H845" s="55"/>
      <c r="I845" s="56"/>
      <c r="J845" s="53"/>
      <c r="K845" s="55"/>
      <c r="L845" s="55"/>
      <c r="M845" s="53"/>
      <c r="N845" s="53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48">
        <v>44902.0</v>
      </c>
      <c r="B846" s="63">
        <v>2420.0</v>
      </c>
      <c r="C846" s="50" t="s">
        <v>1982</v>
      </c>
      <c r="D846" s="50" t="s">
        <v>1986</v>
      </c>
      <c r="E846" s="50">
        <v>1.0</v>
      </c>
      <c r="F846" s="51">
        <v>4861.57</v>
      </c>
      <c r="G846" s="50" t="str">
        <f t="shared" si="28"/>
        <v> </v>
      </c>
      <c r="H846" s="50"/>
      <c r="I846" s="51"/>
      <c r="J846" s="48"/>
      <c r="K846" s="50"/>
      <c r="L846" s="50"/>
      <c r="M846" s="48"/>
      <c r="N846" s="4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53">
        <v>44902.0</v>
      </c>
      <c r="B847" s="54">
        <v>2420.0</v>
      </c>
      <c r="C847" s="55" t="s">
        <v>1982</v>
      </c>
      <c r="D847" s="55" t="s">
        <v>1987</v>
      </c>
      <c r="E847" s="55">
        <v>1.0</v>
      </c>
      <c r="F847" s="56">
        <v>4913.56</v>
      </c>
      <c r="G847" s="55" t="str">
        <f t="shared" si="28"/>
        <v> </v>
      </c>
      <c r="H847" s="55"/>
      <c r="I847" s="56"/>
      <c r="J847" s="53"/>
      <c r="K847" s="55"/>
      <c r="L847" s="55"/>
      <c r="M847" s="53"/>
      <c r="N847" s="53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48">
        <v>44903.0</v>
      </c>
      <c r="B848" s="60">
        <v>2417.0</v>
      </c>
      <c r="C848" s="50" t="s">
        <v>188</v>
      </c>
      <c r="D848" s="50" t="s">
        <v>1988</v>
      </c>
      <c r="E848" s="50">
        <v>6.0</v>
      </c>
      <c r="F848" s="51">
        <v>5710.6</v>
      </c>
      <c r="G848" s="50" t="str">
        <f t="shared" si="28"/>
        <v> </v>
      </c>
      <c r="H848" s="50"/>
      <c r="I848" s="51"/>
      <c r="J848" s="48"/>
      <c r="K848" s="50"/>
      <c r="L848" s="50"/>
      <c r="M848" s="48"/>
      <c r="N848" s="4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53">
        <v>44903.0</v>
      </c>
      <c r="B849" s="67">
        <v>2418.0</v>
      </c>
      <c r="C849" s="55" t="s">
        <v>44</v>
      </c>
      <c r="D849" s="55" t="s">
        <v>853</v>
      </c>
      <c r="E849" s="55">
        <v>1.0</v>
      </c>
      <c r="F849" s="56">
        <v>5165.43</v>
      </c>
      <c r="G849" s="55" t="str">
        <f t="shared" si="28"/>
        <v> </v>
      </c>
      <c r="H849" s="55"/>
      <c r="I849" s="56"/>
      <c r="J849" s="53"/>
      <c r="K849" s="55"/>
      <c r="L849" s="55"/>
      <c r="M849" s="53"/>
      <c r="N849" s="53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48">
        <v>44904.0</v>
      </c>
      <c r="B850" s="50"/>
      <c r="C850" s="50" t="s">
        <v>77</v>
      </c>
      <c r="D850" s="50" t="s">
        <v>1989</v>
      </c>
      <c r="E850" s="50">
        <v>1.0</v>
      </c>
      <c r="F850" s="51"/>
      <c r="G850" s="50" t="str">
        <f t="shared" si="28"/>
        <v> </v>
      </c>
      <c r="H850" s="88" t="s">
        <v>1990</v>
      </c>
      <c r="I850" s="51"/>
      <c r="J850" s="48"/>
      <c r="K850" s="50"/>
      <c r="L850" s="50"/>
      <c r="M850" s="48"/>
      <c r="N850" s="4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53">
        <v>44904.0</v>
      </c>
      <c r="B851" s="89"/>
      <c r="C851" s="55" t="s">
        <v>1991</v>
      </c>
      <c r="D851" s="55" t="s">
        <v>1992</v>
      </c>
      <c r="E851" s="55">
        <v>1.0</v>
      </c>
      <c r="F851" s="56"/>
      <c r="G851" s="55" t="str">
        <f t="shared" si="28"/>
        <v> </v>
      </c>
      <c r="H851" s="55"/>
      <c r="I851" s="56"/>
      <c r="J851" s="53"/>
      <c r="K851" s="55"/>
      <c r="L851" s="55"/>
      <c r="M851" s="53"/>
      <c r="N851" s="53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0">
        <v>44908.0</v>
      </c>
      <c r="B852" s="91">
        <v>2423.0</v>
      </c>
      <c r="C852" s="50" t="s">
        <v>1161</v>
      </c>
      <c r="D852" s="50" t="s">
        <v>1993</v>
      </c>
      <c r="E852" s="50">
        <v>2.0</v>
      </c>
      <c r="F852" s="51">
        <v>224.01</v>
      </c>
      <c r="G852" s="50" t="str">
        <f t="shared" si="28"/>
        <v> </v>
      </c>
      <c r="H852" s="50"/>
      <c r="I852" s="51"/>
      <c r="J852" s="48"/>
      <c r="K852" s="50"/>
      <c r="L852" s="50"/>
      <c r="M852" s="48"/>
      <c r="N852" s="4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2">
        <v>44908.0</v>
      </c>
      <c r="B853" s="93">
        <v>2424.0</v>
      </c>
      <c r="C853" s="55" t="s">
        <v>44</v>
      </c>
      <c r="D853" s="55" t="s">
        <v>1994</v>
      </c>
      <c r="E853" s="55">
        <v>1.0</v>
      </c>
      <c r="F853" s="56">
        <v>6022.44</v>
      </c>
      <c r="G853" s="55" t="str">
        <f t="shared" si="28"/>
        <v> </v>
      </c>
      <c r="H853" s="55"/>
      <c r="I853" s="56"/>
      <c r="J853" s="53"/>
      <c r="K853" s="55"/>
      <c r="L853" s="55"/>
      <c r="M853" s="53"/>
      <c r="N853" s="53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48">
        <v>44909.0</v>
      </c>
      <c r="B854" s="49">
        <v>2425.0</v>
      </c>
      <c r="C854" s="50" t="s">
        <v>164</v>
      </c>
      <c r="D854" s="50" t="s">
        <v>1773</v>
      </c>
      <c r="E854" s="50">
        <v>88.0</v>
      </c>
      <c r="F854" s="51">
        <v>612.48</v>
      </c>
      <c r="G854" s="50" t="str">
        <f t="shared" si="28"/>
        <v>FATURADO</v>
      </c>
      <c r="H854" s="50"/>
      <c r="I854" s="51">
        <v>612.48</v>
      </c>
      <c r="J854" s="48">
        <v>44936.0</v>
      </c>
      <c r="K854" s="50">
        <v>2034.0</v>
      </c>
      <c r="L854" s="52">
        <v>4.500418644E9</v>
      </c>
      <c r="M854" s="48">
        <v>44929.0</v>
      </c>
      <c r="N854" s="48">
        <v>44967.0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53">
        <v>44909.0</v>
      </c>
      <c r="B855" s="54">
        <v>2425.0</v>
      </c>
      <c r="C855" s="55" t="s">
        <v>164</v>
      </c>
      <c r="D855" s="55" t="s">
        <v>1773</v>
      </c>
      <c r="E855" s="55">
        <v>72.0</v>
      </c>
      <c r="F855" s="56">
        <v>501.12</v>
      </c>
      <c r="G855" s="55" t="str">
        <f t="shared" si="28"/>
        <v>GANHOU</v>
      </c>
      <c r="H855" s="55"/>
      <c r="I855" s="56"/>
      <c r="J855" s="53"/>
      <c r="K855" s="55"/>
      <c r="L855" s="62">
        <v>4.500418644E9</v>
      </c>
      <c r="M855" s="53">
        <v>45017.0</v>
      </c>
      <c r="N855" s="53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48">
        <v>44909.0</v>
      </c>
      <c r="B856" s="60">
        <v>2426.0</v>
      </c>
      <c r="C856" s="50" t="s">
        <v>44</v>
      </c>
      <c r="D856" s="50" t="s">
        <v>1995</v>
      </c>
      <c r="E856" s="50">
        <v>1.0</v>
      </c>
      <c r="F856" s="51">
        <v>6066.6</v>
      </c>
      <c r="G856" s="50" t="str">
        <f t="shared" si="28"/>
        <v>GANHOU</v>
      </c>
      <c r="H856" s="50"/>
      <c r="I856" s="51"/>
      <c r="J856" s="48"/>
      <c r="K856" s="50"/>
      <c r="L856" s="52">
        <v>4.501670306E9</v>
      </c>
      <c r="M856" s="48">
        <v>45290.0</v>
      </c>
      <c r="N856" s="4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53">
        <v>44911.0</v>
      </c>
      <c r="B857" s="67">
        <v>2429.0</v>
      </c>
      <c r="C857" s="55" t="s">
        <v>44</v>
      </c>
      <c r="D857" s="55" t="s">
        <v>826</v>
      </c>
      <c r="E857" s="55">
        <v>2.0</v>
      </c>
      <c r="F857" s="56">
        <v>3845.1</v>
      </c>
      <c r="G857" s="55" t="str">
        <f t="shared" si="28"/>
        <v>FATURADO</v>
      </c>
      <c r="H857" s="55"/>
      <c r="I857" s="56">
        <v>3845.1</v>
      </c>
      <c r="J857" s="53">
        <v>44914.0</v>
      </c>
      <c r="K857" s="55">
        <v>2019.0</v>
      </c>
      <c r="L857" s="55">
        <v>4.501651577E9</v>
      </c>
      <c r="M857" s="53">
        <v>44915.0</v>
      </c>
      <c r="N857" s="53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48">
        <v>44911.0</v>
      </c>
      <c r="B858" s="57">
        <v>2430.0</v>
      </c>
      <c r="C858" s="50" t="s">
        <v>1996</v>
      </c>
      <c r="D858" s="50" t="s">
        <v>1997</v>
      </c>
      <c r="E858" s="50">
        <v>1.0</v>
      </c>
      <c r="F858" s="51">
        <v>18063.84</v>
      </c>
      <c r="G858" s="50" t="str">
        <f t="shared" si="28"/>
        <v> </v>
      </c>
      <c r="H858" s="52" t="s">
        <v>1998</v>
      </c>
      <c r="I858" s="51"/>
      <c r="J858" s="48"/>
      <c r="K858" s="50"/>
      <c r="L858" s="50"/>
      <c r="M858" s="48"/>
      <c r="N858" s="4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53">
        <v>44914.0</v>
      </c>
      <c r="B859" s="55"/>
      <c r="C859" s="55" t="s">
        <v>1999</v>
      </c>
      <c r="D859" s="55" t="s">
        <v>2000</v>
      </c>
      <c r="E859" s="55"/>
      <c r="F859" s="56"/>
      <c r="G859" s="55" t="str">
        <f t="shared" si="28"/>
        <v> </v>
      </c>
      <c r="H859" s="62" t="s">
        <v>2001</v>
      </c>
      <c r="I859" s="56"/>
      <c r="J859" s="53"/>
      <c r="K859" s="55"/>
      <c r="L859" s="55"/>
      <c r="M859" s="53"/>
      <c r="N859" s="53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48">
        <v>44914.0</v>
      </c>
      <c r="B860" s="57">
        <v>2431.0</v>
      </c>
      <c r="C860" s="50" t="s">
        <v>39</v>
      </c>
      <c r="D860" s="50" t="s">
        <v>2002</v>
      </c>
      <c r="E860" s="50">
        <v>1.0</v>
      </c>
      <c r="F860" s="51">
        <v>3156.53</v>
      </c>
      <c r="G860" s="50" t="str">
        <f t="shared" si="28"/>
        <v> </v>
      </c>
      <c r="H860" s="50"/>
      <c r="I860" s="51"/>
      <c r="J860" s="48"/>
      <c r="K860" s="50"/>
      <c r="L860" s="50"/>
      <c r="M860" s="48"/>
      <c r="N860" s="4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53">
        <v>44914.0</v>
      </c>
      <c r="B861" s="67">
        <v>2434.0</v>
      </c>
      <c r="C861" s="55" t="s">
        <v>44</v>
      </c>
      <c r="D861" s="55" t="s">
        <v>2003</v>
      </c>
      <c r="E861" s="55">
        <v>1.0</v>
      </c>
      <c r="F861" s="56">
        <v>62582.7</v>
      </c>
      <c r="G861" s="55" t="str">
        <f t="shared" si="28"/>
        <v> </v>
      </c>
      <c r="H861" s="55"/>
      <c r="I861" s="56"/>
      <c r="J861" s="53"/>
      <c r="K861" s="55"/>
      <c r="L861" s="55"/>
      <c r="M861" s="53"/>
      <c r="N861" s="53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48">
        <v>44915.0</v>
      </c>
      <c r="B862" s="57">
        <v>2436.0</v>
      </c>
      <c r="C862" s="50" t="s">
        <v>19</v>
      </c>
      <c r="D862" s="50" t="s">
        <v>825</v>
      </c>
      <c r="E862" s="50">
        <v>2.0</v>
      </c>
      <c r="F862" s="51">
        <v>3000.28</v>
      </c>
      <c r="G862" s="50" t="str">
        <f t="shared" si="28"/>
        <v> </v>
      </c>
      <c r="H862" s="50"/>
      <c r="I862" s="51"/>
      <c r="J862" s="48"/>
      <c r="K862" s="50"/>
      <c r="L862" s="50"/>
      <c r="M862" s="48"/>
      <c r="N862" s="4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53">
        <v>44917.0</v>
      </c>
      <c r="B863" s="59">
        <v>2438.0</v>
      </c>
      <c r="C863" s="55" t="s">
        <v>44</v>
      </c>
      <c r="D863" s="55" t="s">
        <v>1927</v>
      </c>
      <c r="E863" s="55">
        <v>50.0</v>
      </c>
      <c r="F863" s="56">
        <v>3381.0</v>
      </c>
      <c r="G863" s="55" t="str">
        <f t="shared" si="28"/>
        <v> </v>
      </c>
      <c r="H863" s="82" t="s">
        <v>2004</v>
      </c>
      <c r="I863" s="56"/>
      <c r="J863" s="53"/>
      <c r="K863" s="55"/>
      <c r="L863" s="55"/>
      <c r="M863" s="53"/>
      <c r="N863" s="53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48">
        <v>44917.0</v>
      </c>
      <c r="B864" s="49">
        <v>2442.0</v>
      </c>
      <c r="C864" s="50" t="s">
        <v>188</v>
      </c>
      <c r="D864" s="50"/>
      <c r="E864" s="50">
        <v>20.0</v>
      </c>
      <c r="F864" s="51">
        <v>390.0</v>
      </c>
      <c r="G864" s="50" t="str">
        <f t="shared" si="28"/>
        <v> </v>
      </c>
      <c r="H864" s="50"/>
      <c r="I864" s="51"/>
      <c r="J864" s="48"/>
      <c r="K864" s="50"/>
      <c r="L864" s="50"/>
      <c r="M864" s="48"/>
      <c r="N864" s="4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53">
        <v>44917.0</v>
      </c>
      <c r="B865" s="54">
        <v>2442.0</v>
      </c>
      <c r="C865" s="55" t="s">
        <v>188</v>
      </c>
      <c r="D865" s="55" t="s">
        <v>2005</v>
      </c>
      <c r="E865" s="55">
        <v>20.0</v>
      </c>
      <c r="F865" s="56">
        <v>390.0</v>
      </c>
      <c r="G865" s="55"/>
      <c r="H865" s="55"/>
      <c r="I865" s="56"/>
      <c r="J865" s="53"/>
      <c r="K865" s="55"/>
      <c r="L865" s="55"/>
      <c r="M865" s="53"/>
      <c r="N865" s="53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48">
        <v>44917.0</v>
      </c>
      <c r="B866" s="63">
        <v>2441.0</v>
      </c>
      <c r="C866" s="50" t="s">
        <v>1004</v>
      </c>
      <c r="D866" s="50" t="s">
        <v>197</v>
      </c>
      <c r="E866" s="50">
        <v>1.0</v>
      </c>
      <c r="F866" s="51">
        <v>975.17</v>
      </c>
      <c r="G866" s="50" t="str">
        <f t="shared" ref="G866:G976" si="29">IF($K866&lt;&gt;"","FATURADO",IF($L866&lt;&gt;"","GANHOU"," "))</f>
        <v> </v>
      </c>
      <c r="H866" s="50"/>
      <c r="I866" s="51"/>
      <c r="J866" s="48"/>
      <c r="K866" s="50"/>
      <c r="L866" s="50"/>
      <c r="M866" s="48"/>
      <c r="N866" s="4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53">
        <v>44917.0</v>
      </c>
      <c r="B867" s="54">
        <v>2441.0</v>
      </c>
      <c r="C867" s="55" t="s">
        <v>1004</v>
      </c>
      <c r="D867" s="55" t="s">
        <v>168</v>
      </c>
      <c r="E867" s="55">
        <v>3.0</v>
      </c>
      <c r="F867" s="56">
        <v>2744.8</v>
      </c>
      <c r="G867" s="55" t="str">
        <f t="shared" si="29"/>
        <v> </v>
      </c>
      <c r="H867" s="55"/>
      <c r="I867" s="56"/>
      <c r="J867" s="53"/>
      <c r="K867" s="55"/>
      <c r="L867" s="55"/>
      <c r="M867" s="53"/>
      <c r="N867" s="53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48">
        <v>44918.0</v>
      </c>
      <c r="B868" s="49" t="s">
        <v>2006</v>
      </c>
      <c r="C868" s="50" t="s">
        <v>19</v>
      </c>
      <c r="D868" s="50" t="s">
        <v>2007</v>
      </c>
      <c r="E868" s="50">
        <v>50.0</v>
      </c>
      <c r="F868" s="51">
        <v>1877.68</v>
      </c>
      <c r="G868" s="50" t="str">
        <f t="shared" si="29"/>
        <v>FATURADO</v>
      </c>
      <c r="H868" s="50"/>
      <c r="I868" s="51">
        <v>1877.68</v>
      </c>
      <c r="J868" s="48">
        <v>44936.0</v>
      </c>
      <c r="K868" s="50">
        <v>2033.0</v>
      </c>
      <c r="L868" s="50">
        <v>4.500419686E9</v>
      </c>
      <c r="M868" s="48">
        <v>44959.0</v>
      </c>
      <c r="N868" s="48">
        <v>44967.0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53">
        <v>44918.0</v>
      </c>
      <c r="B869" s="54">
        <v>2444.0</v>
      </c>
      <c r="C869" s="55" t="s">
        <v>19</v>
      </c>
      <c r="D869" s="55" t="s">
        <v>2008</v>
      </c>
      <c r="E869" s="55">
        <v>140.0</v>
      </c>
      <c r="F869" s="56">
        <v>492.8</v>
      </c>
      <c r="G869" s="55" t="str">
        <f t="shared" si="29"/>
        <v> </v>
      </c>
      <c r="H869" s="55"/>
      <c r="I869" s="56"/>
      <c r="J869" s="53"/>
      <c r="K869" s="55"/>
      <c r="L869" s="55"/>
      <c r="M869" s="53"/>
      <c r="N869" s="53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48">
        <v>44921.0</v>
      </c>
      <c r="B870" s="57">
        <v>2451.0</v>
      </c>
      <c r="C870" s="50" t="s">
        <v>2009</v>
      </c>
      <c r="D870" s="50" t="s">
        <v>2010</v>
      </c>
      <c r="E870" s="50">
        <v>5.0</v>
      </c>
      <c r="F870" s="51">
        <v>2714.05</v>
      </c>
      <c r="G870" s="50" t="str">
        <f t="shared" si="29"/>
        <v> </v>
      </c>
      <c r="H870" s="52" t="s">
        <v>2011</v>
      </c>
      <c r="I870" s="51"/>
      <c r="J870" s="48"/>
      <c r="K870" s="50"/>
      <c r="L870" s="50"/>
      <c r="M870" s="48"/>
      <c r="N870" s="4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53">
        <v>44921.0</v>
      </c>
      <c r="B871" s="67">
        <v>2447.0</v>
      </c>
      <c r="C871" s="55" t="s">
        <v>44</v>
      </c>
      <c r="D871" s="55" t="s">
        <v>2012</v>
      </c>
      <c r="E871" s="55">
        <v>1.0</v>
      </c>
      <c r="F871" s="56">
        <v>6433.09</v>
      </c>
      <c r="G871" s="55" t="str">
        <f t="shared" si="29"/>
        <v> </v>
      </c>
      <c r="H871" s="55"/>
      <c r="I871" s="56"/>
      <c r="J871" s="53"/>
      <c r="K871" s="55"/>
      <c r="L871" s="55"/>
      <c r="M871" s="53"/>
      <c r="N871" s="53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48">
        <v>44922.0</v>
      </c>
      <c r="B872" s="57">
        <v>2452.0</v>
      </c>
      <c r="C872" s="50" t="s">
        <v>44</v>
      </c>
      <c r="D872" s="50" t="s">
        <v>2013</v>
      </c>
      <c r="E872" s="50">
        <v>1.0</v>
      </c>
      <c r="F872" s="51">
        <v>3397.28</v>
      </c>
      <c r="G872" s="50" t="str">
        <f t="shared" si="29"/>
        <v> </v>
      </c>
      <c r="H872" s="52" t="s">
        <v>2014</v>
      </c>
      <c r="I872" s="51"/>
      <c r="J872" s="48"/>
      <c r="K872" s="50"/>
      <c r="L872" s="50"/>
      <c r="M872" s="48"/>
      <c r="N872" s="4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53">
        <v>44923.0</v>
      </c>
      <c r="B873" s="67">
        <v>2455.0</v>
      </c>
      <c r="C873" s="55" t="s">
        <v>44</v>
      </c>
      <c r="D873" s="55" t="s">
        <v>1052</v>
      </c>
      <c r="E873" s="55">
        <v>1.0</v>
      </c>
      <c r="F873" s="56">
        <v>616.11</v>
      </c>
      <c r="G873" s="55" t="str">
        <f t="shared" si="29"/>
        <v> </v>
      </c>
      <c r="H873" s="55"/>
      <c r="I873" s="56"/>
      <c r="J873" s="53"/>
      <c r="K873" s="55"/>
      <c r="L873" s="55"/>
      <c r="M873" s="53"/>
      <c r="N873" s="53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48">
        <v>44924.0</v>
      </c>
      <c r="B874" s="49">
        <v>2456.0</v>
      </c>
      <c r="C874" s="50" t="s">
        <v>2015</v>
      </c>
      <c r="D874" s="50" t="s">
        <v>2016</v>
      </c>
      <c r="E874" s="50">
        <v>5.0</v>
      </c>
      <c r="F874" s="51">
        <v>1952.15</v>
      </c>
      <c r="G874" s="50" t="str">
        <f t="shared" si="29"/>
        <v> </v>
      </c>
      <c r="H874" s="50"/>
      <c r="I874" s="51"/>
      <c r="J874" s="48"/>
      <c r="K874" s="50"/>
      <c r="L874" s="50"/>
      <c r="M874" s="48"/>
      <c r="N874" s="4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53">
        <v>44924.0</v>
      </c>
      <c r="B875" s="54">
        <v>2456.0</v>
      </c>
      <c r="C875" s="55" t="s">
        <v>2015</v>
      </c>
      <c r="D875" s="55" t="s">
        <v>2017</v>
      </c>
      <c r="E875" s="55">
        <v>1.0</v>
      </c>
      <c r="F875" s="56">
        <v>1107.69</v>
      </c>
      <c r="G875" s="55" t="str">
        <f t="shared" si="29"/>
        <v> </v>
      </c>
      <c r="H875" s="55"/>
      <c r="I875" s="56"/>
      <c r="J875" s="53"/>
      <c r="K875" s="55"/>
      <c r="L875" s="55"/>
      <c r="M875" s="53"/>
      <c r="N875" s="53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48">
        <v>44925.0</v>
      </c>
      <c r="B876" s="57">
        <v>2460.0</v>
      </c>
      <c r="C876" s="50" t="s">
        <v>44</v>
      </c>
      <c r="D876" s="50" t="s">
        <v>2018</v>
      </c>
      <c r="E876" s="50">
        <v>50.0</v>
      </c>
      <c r="F876" s="51">
        <v>350.0</v>
      </c>
      <c r="G876" s="50" t="str">
        <f t="shared" si="29"/>
        <v>FATURADO</v>
      </c>
      <c r="H876" s="50"/>
      <c r="I876" s="51">
        <v>350.0</v>
      </c>
      <c r="J876" s="48">
        <v>44970.0</v>
      </c>
      <c r="K876" s="50">
        <v>2056.0</v>
      </c>
      <c r="L876" s="50">
        <v>4.501667623E9</v>
      </c>
      <c r="M876" s="48">
        <v>44987.0</v>
      </c>
      <c r="N876" s="48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53">
        <v>44925.0</v>
      </c>
      <c r="B877" s="67">
        <v>2467.0</v>
      </c>
      <c r="C877" s="55" t="s">
        <v>19</v>
      </c>
      <c r="D877" s="55" t="s">
        <v>2019</v>
      </c>
      <c r="E877" s="55">
        <v>30.0</v>
      </c>
      <c r="F877" s="56">
        <v>585.0</v>
      </c>
      <c r="G877" s="55" t="str">
        <f t="shared" si="29"/>
        <v>FATURADO</v>
      </c>
      <c r="H877" s="55"/>
      <c r="I877" s="56">
        <v>585.0</v>
      </c>
      <c r="J877" s="53">
        <v>44944.0</v>
      </c>
      <c r="K877" s="55">
        <v>2046.0</v>
      </c>
      <c r="L877" s="62">
        <v>4.500419879E9</v>
      </c>
      <c r="M877" s="53">
        <v>44944.0</v>
      </c>
      <c r="N877" s="53">
        <v>44975.0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48">
        <v>44925.0</v>
      </c>
      <c r="B878" s="50"/>
      <c r="C878" s="50" t="s">
        <v>19</v>
      </c>
      <c r="D878" s="50" t="s">
        <v>2020</v>
      </c>
      <c r="E878" s="50">
        <v>3.0</v>
      </c>
      <c r="F878" s="51"/>
      <c r="G878" s="50" t="str">
        <f t="shared" si="29"/>
        <v> </v>
      </c>
      <c r="H878" s="50"/>
      <c r="I878" s="51"/>
      <c r="J878" s="48"/>
      <c r="K878" s="50"/>
      <c r="L878" s="50"/>
      <c r="M878" s="48"/>
      <c r="N878" s="48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53"/>
      <c r="B879" s="67">
        <v>2181.0</v>
      </c>
      <c r="C879" s="55" t="s">
        <v>188</v>
      </c>
      <c r="D879" s="55" t="s">
        <v>1771</v>
      </c>
      <c r="E879" s="55">
        <v>2.0</v>
      </c>
      <c r="F879" s="56">
        <v>7480.04</v>
      </c>
      <c r="G879" s="55" t="str">
        <f t="shared" si="29"/>
        <v>FATURADO</v>
      </c>
      <c r="H879" s="55"/>
      <c r="I879" s="56">
        <v>7480.04</v>
      </c>
      <c r="J879" s="53">
        <v>44944.0</v>
      </c>
      <c r="K879" s="55">
        <v>2044.0</v>
      </c>
      <c r="L879" s="55">
        <v>5.202092319E9</v>
      </c>
      <c r="M879" s="53"/>
      <c r="N879" s="53">
        <v>44991.0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48"/>
      <c r="B880" s="57">
        <v>2158.0</v>
      </c>
      <c r="C880" s="50" t="s">
        <v>188</v>
      </c>
      <c r="D880" s="50" t="s">
        <v>2021</v>
      </c>
      <c r="E880" s="50">
        <v>3.0</v>
      </c>
      <c r="F880" s="51">
        <v>11220.06</v>
      </c>
      <c r="G880" s="50" t="str">
        <f t="shared" si="29"/>
        <v>FATURADO</v>
      </c>
      <c r="H880" s="50"/>
      <c r="I880" s="51">
        <v>11220.06</v>
      </c>
      <c r="J880" s="48">
        <v>44944.0</v>
      </c>
      <c r="K880" s="50">
        <v>2045.0</v>
      </c>
      <c r="L880" s="50">
        <v>4.400555687E9</v>
      </c>
      <c r="M880" s="48"/>
      <c r="N880" s="48">
        <v>44991.0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53"/>
      <c r="B881" s="55"/>
      <c r="C881" s="55"/>
      <c r="D881" s="55"/>
      <c r="E881" s="55"/>
      <c r="F881" s="56"/>
      <c r="G881" s="55" t="str">
        <f t="shared" si="29"/>
        <v> </v>
      </c>
      <c r="H881" s="55"/>
      <c r="I881" s="56"/>
      <c r="J881" s="53"/>
      <c r="K881" s="55"/>
      <c r="L881" s="55"/>
      <c r="M881" s="53"/>
      <c r="N881" s="53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48"/>
      <c r="B882" s="50"/>
      <c r="C882" s="50"/>
      <c r="D882" s="50"/>
      <c r="E882" s="50"/>
      <c r="F882" s="51"/>
      <c r="G882" s="50" t="str">
        <f t="shared" si="29"/>
        <v> </v>
      </c>
      <c r="H882" s="50"/>
      <c r="I882" s="51"/>
      <c r="J882" s="48"/>
      <c r="K882" s="50"/>
      <c r="L882" s="50"/>
      <c r="M882" s="48"/>
      <c r="N882" s="48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53"/>
      <c r="B883" s="55"/>
      <c r="C883" s="55"/>
      <c r="D883" s="55"/>
      <c r="E883" s="55"/>
      <c r="F883" s="56"/>
      <c r="G883" s="55" t="str">
        <f t="shared" si="29"/>
        <v> </v>
      </c>
      <c r="H883" s="55"/>
      <c r="I883" s="56"/>
      <c r="J883" s="53"/>
      <c r="K883" s="55"/>
      <c r="L883" s="55"/>
      <c r="M883" s="53"/>
      <c r="N883" s="53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48"/>
      <c r="B884" s="50"/>
      <c r="C884" s="50"/>
      <c r="D884" s="50"/>
      <c r="E884" s="50"/>
      <c r="F884" s="51"/>
      <c r="G884" s="50" t="str">
        <f t="shared" si="29"/>
        <v> </v>
      </c>
      <c r="H884" s="50"/>
      <c r="I884" s="51"/>
      <c r="J884" s="48"/>
      <c r="K884" s="50"/>
      <c r="L884" s="50"/>
      <c r="M884" s="48"/>
      <c r="N884" s="48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53"/>
      <c r="B885" s="55"/>
      <c r="C885" s="55"/>
      <c r="D885" s="55"/>
      <c r="E885" s="55"/>
      <c r="F885" s="56"/>
      <c r="G885" s="55" t="str">
        <f t="shared" si="29"/>
        <v> </v>
      </c>
      <c r="H885" s="55"/>
      <c r="I885" s="56"/>
      <c r="J885" s="53"/>
      <c r="K885" s="55"/>
      <c r="L885" s="55"/>
      <c r="M885" s="53"/>
      <c r="N885" s="53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48"/>
      <c r="B886" s="50"/>
      <c r="C886" s="50"/>
      <c r="D886" s="50"/>
      <c r="E886" s="50"/>
      <c r="F886" s="51"/>
      <c r="G886" s="50" t="str">
        <f t="shared" si="29"/>
        <v> </v>
      </c>
      <c r="H886" s="50"/>
      <c r="I886" s="51"/>
      <c r="J886" s="48"/>
      <c r="K886" s="50"/>
      <c r="L886" s="50"/>
      <c r="M886" s="48"/>
      <c r="N886" s="48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53"/>
      <c r="B887" s="55"/>
      <c r="C887" s="55"/>
      <c r="D887" s="55"/>
      <c r="E887" s="55"/>
      <c r="F887" s="56"/>
      <c r="G887" s="55" t="str">
        <f t="shared" si="29"/>
        <v> </v>
      </c>
      <c r="H887" s="55"/>
      <c r="I887" s="56"/>
      <c r="J887" s="53"/>
      <c r="K887" s="55"/>
      <c r="L887" s="55"/>
      <c r="M887" s="53"/>
      <c r="N887" s="53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48"/>
      <c r="B888" s="50"/>
      <c r="C888" s="50"/>
      <c r="D888" s="50"/>
      <c r="E888" s="50"/>
      <c r="F888" s="51"/>
      <c r="G888" s="50" t="str">
        <f t="shared" si="29"/>
        <v> </v>
      </c>
      <c r="H888" s="50"/>
      <c r="I888" s="51"/>
      <c r="J888" s="48"/>
      <c r="K888" s="50"/>
      <c r="L888" s="50"/>
      <c r="M888" s="48"/>
      <c r="N888" s="48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53"/>
      <c r="B889" s="55"/>
      <c r="C889" s="55"/>
      <c r="D889" s="55"/>
      <c r="E889" s="55"/>
      <c r="F889" s="56"/>
      <c r="G889" s="55" t="str">
        <f t="shared" si="29"/>
        <v> </v>
      </c>
      <c r="H889" s="55"/>
      <c r="I889" s="56"/>
      <c r="J889" s="53"/>
      <c r="K889" s="55"/>
      <c r="L889" s="55"/>
      <c r="M889" s="53"/>
      <c r="N889" s="53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48"/>
      <c r="B890" s="50"/>
      <c r="C890" s="50"/>
      <c r="D890" s="50"/>
      <c r="E890" s="50"/>
      <c r="F890" s="51"/>
      <c r="G890" s="50" t="str">
        <f t="shared" si="29"/>
        <v> </v>
      </c>
      <c r="H890" s="50"/>
      <c r="I890" s="51"/>
      <c r="J890" s="48"/>
      <c r="K890" s="50"/>
      <c r="L890" s="50"/>
      <c r="M890" s="48"/>
      <c r="N890" s="48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53"/>
      <c r="B891" s="55"/>
      <c r="C891" s="55"/>
      <c r="D891" s="55"/>
      <c r="E891" s="55"/>
      <c r="F891" s="56"/>
      <c r="G891" s="55" t="str">
        <f t="shared" si="29"/>
        <v> </v>
      </c>
      <c r="H891" s="55"/>
      <c r="I891" s="56"/>
      <c r="J891" s="53"/>
      <c r="K891" s="55"/>
      <c r="L891" s="55"/>
      <c r="M891" s="53"/>
      <c r="N891" s="53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48"/>
      <c r="B892" s="50"/>
      <c r="C892" s="50"/>
      <c r="D892" s="50"/>
      <c r="E892" s="50"/>
      <c r="F892" s="51"/>
      <c r="G892" s="50" t="str">
        <f t="shared" si="29"/>
        <v> </v>
      </c>
      <c r="H892" s="50"/>
      <c r="I892" s="51"/>
      <c r="J892" s="48"/>
      <c r="K892" s="50"/>
      <c r="L892" s="50"/>
      <c r="M892" s="48"/>
      <c r="N892" s="48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53"/>
      <c r="B893" s="55"/>
      <c r="C893" s="55"/>
      <c r="D893" s="55"/>
      <c r="E893" s="55"/>
      <c r="F893" s="56"/>
      <c r="G893" s="55" t="str">
        <f t="shared" si="29"/>
        <v> </v>
      </c>
      <c r="H893" s="55"/>
      <c r="I893" s="56"/>
      <c r="J893" s="53"/>
      <c r="K893" s="55"/>
      <c r="L893" s="55"/>
      <c r="M893" s="53"/>
      <c r="N893" s="53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48"/>
      <c r="B894" s="50"/>
      <c r="C894" s="50"/>
      <c r="D894" s="50"/>
      <c r="E894" s="50"/>
      <c r="F894" s="51"/>
      <c r="G894" s="50" t="str">
        <f t="shared" si="29"/>
        <v> </v>
      </c>
      <c r="H894" s="50"/>
      <c r="I894" s="51"/>
      <c r="J894" s="48"/>
      <c r="K894" s="50"/>
      <c r="L894" s="50"/>
      <c r="M894" s="48"/>
      <c r="N894" s="48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53"/>
      <c r="B895" s="55"/>
      <c r="C895" s="55"/>
      <c r="D895" s="55"/>
      <c r="E895" s="55"/>
      <c r="F895" s="56"/>
      <c r="G895" s="55" t="str">
        <f t="shared" si="29"/>
        <v> </v>
      </c>
      <c r="H895" s="55"/>
      <c r="I895" s="56"/>
      <c r="J895" s="53"/>
      <c r="K895" s="55"/>
      <c r="L895" s="55"/>
      <c r="M895" s="53"/>
      <c r="N895" s="53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48"/>
      <c r="B896" s="50"/>
      <c r="C896" s="50"/>
      <c r="D896" s="50"/>
      <c r="E896" s="50"/>
      <c r="F896" s="51"/>
      <c r="G896" s="50" t="str">
        <f t="shared" si="29"/>
        <v> </v>
      </c>
      <c r="H896" s="50"/>
      <c r="I896" s="51"/>
      <c r="J896" s="48"/>
      <c r="K896" s="50"/>
      <c r="L896" s="50"/>
      <c r="M896" s="48"/>
      <c r="N896" s="48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53"/>
      <c r="B897" s="55"/>
      <c r="C897" s="55"/>
      <c r="D897" s="55"/>
      <c r="E897" s="55"/>
      <c r="F897" s="56"/>
      <c r="G897" s="55" t="str">
        <f t="shared" si="29"/>
        <v> </v>
      </c>
      <c r="H897" s="55"/>
      <c r="I897" s="56"/>
      <c r="J897" s="53"/>
      <c r="K897" s="55"/>
      <c r="L897" s="55"/>
      <c r="M897" s="53"/>
      <c r="N897" s="53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48"/>
      <c r="B898" s="50"/>
      <c r="C898" s="50"/>
      <c r="D898" s="50"/>
      <c r="E898" s="50"/>
      <c r="F898" s="51"/>
      <c r="G898" s="50" t="str">
        <f t="shared" si="29"/>
        <v> </v>
      </c>
      <c r="H898" s="50"/>
      <c r="I898" s="51"/>
      <c r="J898" s="48"/>
      <c r="K898" s="50"/>
      <c r="L898" s="50"/>
      <c r="M898" s="48"/>
      <c r="N898" s="48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53"/>
      <c r="B899" s="55"/>
      <c r="C899" s="55"/>
      <c r="D899" s="55"/>
      <c r="E899" s="55"/>
      <c r="F899" s="56"/>
      <c r="G899" s="55" t="str">
        <f t="shared" si="29"/>
        <v> </v>
      </c>
      <c r="H899" s="55"/>
      <c r="I899" s="56"/>
      <c r="J899" s="53"/>
      <c r="K899" s="55"/>
      <c r="L899" s="55"/>
      <c r="M899" s="53"/>
      <c r="N899" s="53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48"/>
      <c r="B900" s="50"/>
      <c r="C900" s="50"/>
      <c r="D900" s="50"/>
      <c r="E900" s="50"/>
      <c r="F900" s="51"/>
      <c r="G900" s="50" t="str">
        <f t="shared" si="29"/>
        <v> </v>
      </c>
      <c r="H900" s="50"/>
      <c r="I900" s="51"/>
      <c r="J900" s="48"/>
      <c r="K900" s="50"/>
      <c r="L900" s="50"/>
      <c r="M900" s="48"/>
      <c r="N900" s="48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53"/>
      <c r="B901" s="55"/>
      <c r="C901" s="55"/>
      <c r="D901" s="55"/>
      <c r="E901" s="55"/>
      <c r="F901" s="56"/>
      <c r="G901" s="55" t="str">
        <f t="shared" si="29"/>
        <v> </v>
      </c>
      <c r="H901" s="55"/>
      <c r="I901" s="56"/>
      <c r="J901" s="53"/>
      <c r="K901" s="55"/>
      <c r="L901" s="55"/>
      <c r="M901" s="53"/>
      <c r="N901" s="53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48"/>
      <c r="B902" s="50"/>
      <c r="C902" s="50"/>
      <c r="D902" s="50"/>
      <c r="E902" s="50"/>
      <c r="F902" s="51"/>
      <c r="G902" s="50" t="str">
        <f t="shared" si="29"/>
        <v> </v>
      </c>
      <c r="H902" s="50"/>
      <c r="I902" s="51"/>
      <c r="J902" s="48"/>
      <c r="K902" s="50"/>
      <c r="L902" s="50"/>
      <c r="M902" s="48"/>
      <c r="N902" s="48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53"/>
      <c r="B903" s="55"/>
      <c r="C903" s="55"/>
      <c r="D903" s="55"/>
      <c r="E903" s="55"/>
      <c r="F903" s="56"/>
      <c r="G903" s="55" t="str">
        <f t="shared" si="29"/>
        <v> </v>
      </c>
      <c r="H903" s="55"/>
      <c r="I903" s="56"/>
      <c r="J903" s="53"/>
      <c r="K903" s="55"/>
      <c r="L903" s="55"/>
      <c r="M903" s="53"/>
      <c r="N903" s="53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48"/>
      <c r="B904" s="50"/>
      <c r="C904" s="50"/>
      <c r="D904" s="50"/>
      <c r="E904" s="50"/>
      <c r="F904" s="51"/>
      <c r="G904" s="50" t="str">
        <f t="shared" si="29"/>
        <v> </v>
      </c>
      <c r="H904" s="50"/>
      <c r="I904" s="51"/>
      <c r="J904" s="48"/>
      <c r="K904" s="50"/>
      <c r="L904" s="50"/>
      <c r="M904" s="48"/>
      <c r="N904" s="48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53"/>
      <c r="B905" s="55"/>
      <c r="C905" s="55"/>
      <c r="D905" s="55"/>
      <c r="E905" s="55"/>
      <c r="F905" s="56"/>
      <c r="G905" s="55" t="str">
        <f t="shared" si="29"/>
        <v> </v>
      </c>
      <c r="H905" s="55"/>
      <c r="I905" s="56"/>
      <c r="J905" s="53"/>
      <c r="K905" s="55"/>
      <c r="L905" s="55"/>
      <c r="M905" s="53"/>
      <c r="N905" s="53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48"/>
      <c r="B906" s="50"/>
      <c r="C906" s="50"/>
      <c r="D906" s="50"/>
      <c r="E906" s="50"/>
      <c r="F906" s="51"/>
      <c r="G906" s="50" t="str">
        <f t="shared" si="29"/>
        <v> </v>
      </c>
      <c r="H906" s="50"/>
      <c r="I906" s="51"/>
      <c r="J906" s="48"/>
      <c r="K906" s="50"/>
      <c r="L906" s="50"/>
      <c r="M906" s="48"/>
      <c r="N906" s="48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53"/>
      <c r="B907" s="55"/>
      <c r="C907" s="55"/>
      <c r="D907" s="55"/>
      <c r="E907" s="55"/>
      <c r="F907" s="56"/>
      <c r="G907" s="55" t="str">
        <f t="shared" si="29"/>
        <v> </v>
      </c>
      <c r="H907" s="55"/>
      <c r="I907" s="56"/>
      <c r="J907" s="53"/>
      <c r="K907" s="55"/>
      <c r="L907" s="55"/>
      <c r="M907" s="53"/>
      <c r="N907" s="53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48"/>
      <c r="B908" s="50"/>
      <c r="C908" s="50"/>
      <c r="D908" s="50"/>
      <c r="E908" s="50"/>
      <c r="F908" s="51"/>
      <c r="G908" s="50" t="str">
        <f t="shared" si="29"/>
        <v> </v>
      </c>
      <c r="H908" s="50"/>
      <c r="I908" s="51"/>
      <c r="J908" s="48"/>
      <c r="K908" s="50"/>
      <c r="L908" s="50"/>
      <c r="M908" s="48"/>
      <c r="N908" s="48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53"/>
      <c r="B909" s="55"/>
      <c r="C909" s="55"/>
      <c r="D909" s="55"/>
      <c r="E909" s="55"/>
      <c r="F909" s="56"/>
      <c r="G909" s="55" t="str">
        <f t="shared" si="29"/>
        <v> </v>
      </c>
      <c r="H909" s="55"/>
      <c r="I909" s="56"/>
      <c r="J909" s="53"/>
      <c r="K909" s="55"/>
      <c r="L909" s="55"/>
      <c r="M909" s="53"/>
      <c r="N909" s="53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48"/>
      <c r="B910" s="50"/>
      <c r="C910" s="50"/>
      <c r="D910" s="50"/>
      <c r="E910" s="50"/>
      <c r="F910" s="51"/>
      <c r="G910" s="50" t="str">
        <f t="shared" si="29"/>
        <v> </v>
      </c>
      <c r="H910" s="50"/>
      <c r="I910" s="51"/>
      <c r="J910" s="48"/>
      <c r="K910" s="50"/>
      <c r="L910" s="50"/>
      <c r="M910" s="48"/>
      <c r="N910" s="48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53"/>
      <c r="B911" s="55"/>
      <c r="C911" s="55"/>
      <c r="D911" s="55"/>
      <c r="E911" s="55"/>
      <c r="F911" s="56"/>
      <c r="G911" s="55" t="str">
        <f t="shared" si="29"/>
        <v> </v>
      </c>
      <c r="H911" s="55"/>
      <c r="I911" s="56"/>
      <c r="J911" s="53"/>
      <c r="K911" s="55"/>
      <c r="L911" s="55"/>
      <c r="M911" s="53"/>
      <c r="N911" s="53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48"/>
      <c r="B912" s="50"/>
      <c r="C912" s="50"/>
      <c r="D912" s="50"/>
      <c r="E912" s="50"/>
      <c r="F912" s="51"/>
      <c r="G912" s="50" t="str">
        <f t="shared" si="29"/>
        <v> </v>
      </c>
      <c r="H912" s="50"/>
      <c r="I912" s="51"/>
      <c r="J912" s="48"/>
      <c r="K912" s="50"/>
      <c r="L912" s="50"/>
      <c r="M912" s="48"/>
      <c r="N912" s="48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53"/>
      <c r="B913" s="55"/>
      <c r="C913" s="55"/>
      <c r="D913" s="55"/>
      <c r="E913" s="55"/>
      <c r="F913" s="56"/>
      <c r="G913" s="55" t="str">
        <f t="shared" si="29"/>
        <v> </v>
      </c>
      <c r="H913" s="55"/>
      <c r="I913" s="56"/>
      <c r="J913" s="53"/>
      <c r="K913" s="55"/>
      <c r="L913" s="55"/>
      <c r="M913" s="53"/>
      <c r="N913" s="53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48"/>
      <c r="B914" s="50"/>
      <c r="C914" s="50"/>
      <c r="D914" s="50"/>
      <c r="E914" s="50"/>
      <c r="F914" s="51"/>
      <c r="G914" s="50" t="str">
        <f t="shared" si="29"/>
        <v> </v>
      </c>
      <c r="H914" s="50"/>
      <c r="I914" s="51"/>
      <c r="J914" s="48"/>
      <c r="K914" s="50"/>
      <c r="L914" s="50"/>
      <c r="M914" s="48"/>
      <c r="N914" s="48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53"/>
      <c r="B915" s="55"/>
      <c r="C915" s="55"/>
      <c r="D915" s="55"/>
      <c r="E915" s="55"/>
      <c r="F915" s="56"/>
      <c r="G915" s="55" t="str">
        <f t="shared" si="29"/>
        <v> </v>
      </c>
      <c r="H915" s="55"/>
      <c r="I915" s="56"/>
      <c r="J915" s="53"/>
      <c r="K915" s="55"/>
      <c r="L915" s="55"/>
      <c r="M915" s="53"/>
      <c r="N915" s="53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48"/>
      <c r="B916" s="50"/>
      <c r="C916" s="50"/>
      <c r="D916" s="50"/>
      <c r="E916" s="50"/>
      <c r="F916" s="51"/>
      <c r="G916" s="50" t="str">
        <f t="shared" si="29"/>
        <v> </v>
      </c>
      <c r="H916" s="50"/>
      <c r="I916" s="51"/>
      <c r="J916" s="48"/>
      <c r="K916" s="50"/>
      <c r="L916" s="50"/>
      <c r="M916" s="48"/>
      <c r="N916" s="48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53"/>
      <c r="B917" s="55"/>
      <c r="C917" s="55"/>
      <c r="D917" s="55"/>
      <c r="E917" s="55"/>
      <c r="F917" s="56"/>
      <c r="G917" s="55" t="str">
        <f t="shared" si="29"/>
        <v> </v>
      </c>
      <c r="H917" s="55"/>
      <c r="I917" s="56"/>
      <c r="J917" s="53"/>
      <c r="K917" s="55"/>
      <c r="L917" s="55"/>
      <c r="M917" s="53"/>
      <c r="N917" s="53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48"/>
      <c r="B918" s="50"/>
      <c r="C918" s="50"/>
      <c r="D918" s="50"/>
      <c r="E918" s="50"/>
      <c r="F918" s="51"/>
      <c r="G918" s="50" t="str">
        <f t="shared" si="29"/>
        <v> </v>
      </c>
      <c r="H918" s="50"/>
      <c r="I918" s="51"/>
      <c r="J918" s="48"/>
      <c r="K918" s="50"/>
      <c r="L918" s="50"/>
      <c r="M918" s="48"/>
      <c r="N918" s="48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53"/>
      <c r="B919" s="55"/>
      <c r="C919" s="55"/>
      <c r="D919" s="55"/>
      <c r="E919" s="55"/>
      <c r="F919" s="56"/>
      <c r="G919" s="55" t="str">
        <f t="shared" si="29"/>
        <v> </v>
      </c>
      <c r="H919" s="55"/>
      <c r="I919" s="56"/>
      <c r="J919" s="53"/>
      <c r="K919" s="55"/>
      <c r="L919" s="55"/>
      <c r="M919" s="53"/>
      <c r="N919" s="53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48"/>
      <c r="B920" s="50"/>
      <c r="C920" s="50"/>
      <c r="D920" s="50"/>
      <c r="E920" s="50"/>
      <c r="F920" s="51"/>
      <c r="G920" s="50" t="str">
        <f t="shared" si="29"/>
        <v> </v>
      </c>
      <c r="H920" s="50"/>
      <c r="I920" s="51"/>
      <c r="J920" s="48"/>
      <c r="K920" s="50"/>
      <c r="L920" s="50"/>
      <c r="M920" s="48"/>
      <c r="N920" s="48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53"/>
      <c r="B921" s="55"/>
      <c r="C921" s="55"/>
      <c r="D921" s="55"/>
      <c r="E921" s="55"/>
      <c r="F921" s="56"/>
      <c r="G921" s="55" t="str">
        <f t="shared" si="29"/>
        <v> </v>
      </c>
      <c r="H921" s="55"/>
      <c r="I921" s="56"/>
      <c r="J921" s="53"/>
      <c r="K921" s="55"/>
      <c r="L921" s="55"/>
      <c r="M921" s="53"/>
      <c r="N921" s="53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48"/>
      <c r="B922" s="50"/>
      <c r="C922" s="50"/>
      <c r="D922" s="50"/>
      <c r="E922" s="50"/>
      <c r="F922" s="51"/>
      <c r="G922" s="50" t="str">
        <f t="shared" si="29"/>
        <v> </v>
      </c>
      <c r="H922" s="50"/>
      <c r="I922" s="51"/>
      <c r="J922" s="48"/>
      <c r="K922" s="50"/>
      <c r="L922" s="50"/>
      <c r="M922" s="48"/>
      <c r="N922" s="48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53"/>
      <c r="B923" s="55"/>
      <c r="C923" s="55"/>
      <c r="D923" s="55"/>
      <c r="E923" s="55"/>
      <c r="F923" s="56"/>
      <c r="G923" s="55" t="str">
        <f t="shared" si="29"/>
        <v> </v>
      </c>
      <c r="H923" s="55"/>
      <c r="I923" s="56"/>
      <c r="J923" s="53"/>
      <c r="K923" s="55"/>
      <c r="L923" s="55"/>
      <c r="M923" s="53"/>
      <c r="N923" s="53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48"/>
      <c r="B924" s="50"/>
      <c r="C924" s="50"/>
      <c r="D924" s="50"/>
      <c r="E924" s="50"/>
      <c r="F924" s="51"/>
      <c r="G924" s="50" t="str">
        <f t="shared" si="29"/>
        <v> </v>
      </c>
      <c r="H924" s="50"/>
      <c r="I924" s="51"/>
      <c r="J924" s="48"/>
      <c r="K924" s="50"/>
      <c r="L924" s="50"/>
      <c r="M924" s="48"/>
      <c r="N924" s="48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53"/>
      <c r="B925" s="55"/>
      <c r="C925" s="55"/>
      <c r="D925" s="55"/>
      <c r="E925" s="55"/>
      <c r="F925" s="56"/>
      <c r="G925" s="55" t="str">
        <f t="shared" si="29"/>
        <v> </v>
      </c>
      <c r="H925" s="55"/>
      <c r="I925" s="56"/>
      <c r="J925" s="53"/>
      <c r="K925" s="55"/>
      <c r="L925" s="55"/>
      <c r="M925" s="53"/>
      <c r="N925" s="53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48"/>
      <c r="B926" s="50"/>
      <c r="C926" s="50"/>
      <c r="D926" s="50"/>
      <c r="E926" s="50"/>
      <c r="F926" s="51"/>
      <c r="G926" s="50" t="str">
        <f t="shared" si="29"/>
        <v> </v>
      </c>
      <c r="H926" s="50"/>
      <c r="I926" s="51"/>
      <c r="J926" s="48"/>
      <c r="K926" s="50"/>
      <c r="L926" s="50"/>
      <c r="M926" s="48"/>
      <c r="N926" s="48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53"/>
      <c r="B927" s="55"/>
      <c r="C927" s="55"/>
      <c r="D927" s="55"/>
      <c r="E927" s="55"/>
      <c r="F927" s="56"/>
      <c r="G927" s="55" t="str">
        <f t="shared" si="29"/>
        <v> </v>
      </c>
      <c r="H927" s="55"/>
      <c r="I927" s="56"/>
      <c r="J927" s="53"/>
      <c r="K927" s="55"/>
      <c r="L927" s="55"/>
      <c r="M927" s="53"/>
      <c r="N927" s="53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48"/>
      <c r="B928" s="50"/>
      <c r="C928" s="50"/>
      <c r="D928" s="50"/>
      <c r="E928" s="50"/>
      <c r="F928" s="51"/>
      <c r="G928" s="50" t="str">
        <f t="shared" si="29"/>
        <v> </v>
      </c>
      <c r="H928" s="50"/>
      <c r="I928" s="51"/>
      <c r="J928" s="48"/>
      <c r="K928" s="50"/>
      <c r="L928" s="50"/>
      <c r="M928" s="48"/>
      <c r="N928" s="48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53"/>
      <c r="B929" s="55"/>
      <c r="C929" s="55"/>
      <c r="D929" s="55"/>
      <c r="E929" s="55"/>
      <c r="F929" s="56"/>
      <c r="G929" s="55" t="str">
        <f t="shared" si="29"/>
        <v> </v>
      </c>
      <c r="H929" s="55"/>
      <c r="I929" s="56"/>
      <c r="J929" s="53"/>
      <c r="K929" s="55"/>
      <c r="L929" s="55"/>
      <c r="M929" s="53"/>
      <c r="N929" s="53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48"/>
      <c r="B930" s="50"/>
      <c r="C930" s="50"/>
      <c r="D930" s="50"/>
      <c r="E930" s="50"/>
      <c r="F930" s="51"/>
      <c r="G930" s="50" t="str">
        <f t="shared" si="29"/>
        <v> </v>
      </c>
      <c r="H930" s="50"/>
      <c r="I930" s="51"/>
      <c r="J930" s="48"/>
      <c r="K930" s="50"/>
      <c r="L930" s="50"/>
      <c r="M930" s="48"/>
      <c r="N930" s="48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53"/>
      <c r="B931" s="55"/>
      <c r="C931" s="55"/>
      <c r="D931" s="55"/>
      <c r="E931" s="55"/>
      <c r="F931" s="56"/>
      <c r="G931" s="55" t="str">
        <f t="shared" si="29"/>
        <v> </v>
      </c>
      <c r="H931" s="55"/>
      <c r="I931" s="56"/>
      <c r="J931" s="53"/>
      <c r="K931" s="55"/>
      <c r="L931" s="55"/>
      <c r="M931" s="53"/>
      <c r="N931" s="53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48"/>
      <c r="B932" s="50"/>
      <c r="C932" s="50"/>
      <c r="D932" s="50"/>
      <c r="E932" s="50"/>
      <c r="F932" s="51"/>
      <c r="G932" s="50" t="str">
        <f t="shared" si="29"/>
        <v> </v>
      </c>
      <c r="H932" s="50"/>
      <c r="I932" s="51"/>
      <c r="J932" s="48"/>
      <c r="K932" s="50"/>
      <c r="L932" s="50"/>
      <c r="M932" s="48"/>
      <c r="N932" s="48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53"/>
      <c r="B933" s="55"/>
      <c r="C933" s="55"/>
      <c r="D933" s="55"/>
      <c r="E933" s="55"/>
      <c r="F933" s="56"/>
      <c r="G933" s="55" t="str">
        <f t="shared" si="29"/>
        <v> </v>
      </c>
      <c r="H933" s="55"/>
      <c r="I933" s="56"/>
      <c r="J933" s="53"/>
      <c r="K933" s="55"/>
      <c r="L933" s="55"/>
      <c r="M933" s="53"/>
      <c r="N933" s="53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48"/>
      <c r="B934" s="50"/>
      <c r="C934" s="50"/>
      <c r="D934" s="50"/>
      <c r="E934" s="50"/>
      <c r="F934" s="51"/>
      <c r="G934" s="50" t="str">
        <f t="shared" si="29"/>
        <v> </v>
      </c>
      <c r="H934" s="50"/>
      <c r="I934" s="51"/>
      <c r="J934" s="48"/>
      <c r="K934" s="50"/>
      <c r="L934" s="50"/>
      <c r="M934" s="48"/>
      <c r="N934" s="48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53"/>
      <c r="B935" s="55"/>
      <c r="C935" s="55"/>
      <c r="D935" s="55"/>
      <c r="E935" s="55"/>
      <c r="F935" s="56"/>
      <c r="G935" s="55" t="str">
        <f t="shared" si="29"/>
        <v> </v>
      </c>
      <c r="H935" s="55"/>
      <c r="I935" s="56"/>
      <c r="J935" s="53"/>
      <c r="K935" s="55"/>
      <c r="L935" s="55"/>
      <c r="M935" s="53"/>
      <c r="N935" s="53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48"/>
      <c r="B936" s="50"/>
      <c r="C936" s="50"/>
      <c r="D936" s="50"/>
      <c r="E936" s="50"/>
      <c r="F936" s="51"/>
      <c r="G936" s="50" t="str">
        <f t="shared" si="29"/>
        <v> </v>
      </c>
      <c r="H936" s="50"/>
      <c r="I936" s="51"/>
      <c r="J936" s="48"/>
      <c r="K936" s="50"/>
      <c r="L936" s="50"/>
      <c r="M936" s="48"/>
      <c r="N936" s="48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53"/>
      <c r="B937" s="55"/>
      <c r="C937" s="55"/>
      <c r="D937" s="55"/>
      <c r="E937" s="55"/>
      <c r="F937" s="56"/>
      <c r="G937" s="55" t="str">
        <f t="shared" si="29"/>
        <v> </v>
      </c>
      <c r="H937" s="55"/>
      <c r="I937" s="56"/>
      <c r="J937" s="53"/>
      <c r="K937" s="55"/>
      <c r="L937" s="55"/>
      <c r="M937" s="53"/>
      <c r="N937" s="53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48"/>
      <c r="B938" s="50"/>
      <c r="C938" s="50"/>
      <c r="D938" s="50"/>
      <c r="E938" s="50"/>
      <c r="F938" s="51"/>
      <c r="G938" s="50" t="str">
        <f t="shared" si="29"/>
        <v> </v>
      </c>
      <c r="H938" s="50"/>
      <c r="I938" s="51"/>
      <c r="J938" s="48"/>
      <c r="K938" s="50"/>
      <c r="L938" s="50"/>
      <c r="M938" s="48"/>
      <c r="N938" s="48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53"/>
      <c r="B939" s="55"/>
      <c r="C939" s="55"/>
      <c r="D939" s="55"/>
      <c r="E939" s="55"/>
      <c r="F939" s="56"/>
      <c r="G939" s="55" t="str">
        <f t="shared" si="29"/>
        <v> </v>
      </c>
      <c r="H939" s="55"/>
      <c r="I939" s="56"/>
      <c r="J939" s="53"/>
      <c r="K939" s="55"/>
      <c r="L939" s="55"/>
      <c r="M939" s="53"/>
      <c r="N939" s="53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48"/>
      <c r="B940" s="50"/>
      <c r="C940" s="50"/>
      <c r="D940" s="50"/>
      <c r="E940" s="50"/>
      <c r="F940" s="51"/>
      <c r="G940" s="50" t="str">
        <f t="shared" si="29"/>
        <v> </v>
      </c>
      <c r="H940" s="50"/>
      <c r="I940" s="51"/>
      <c r="J940" s="48"/>
      <c r="K940" s="50"/>
      <c r="L940" s="50"/>
      <c r="M940" s="48"/>
      <c r="N940" s="48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53"/>
      <c r="B941" s="55"/>
      <c r="C941" s="55"/>
      <c r="D941" s="55"/>
      <c r="E941" s="55"/>
      <c r="F941" s="56"/>
      <c r="G941" s="55" t="str">
        <f t="shared" si="29"/>
        <v> </v>
      </c>
      <c r="H941" s="55"/>
      <c r="I941" s="56"/>
      <c r="J941" s="53"/>
      <c r="K941" s="55"/>
      <c r="L941" s="55"/>
      <c r="M941" s="53"/>
      <c r="N941" s="53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48"/>
      <c r="B942" s="50"/>
      <c r="C942" s="50"/>
      <c r="D942" s="50"/>
      <c r="E942" s="50"/>
      <c r="F942" s="51"/>
      <c r="G942" s="50" t="str">
        <f t="shared" si="29"/>
        <v> </v>
      </c>
      <c r="H942" s="50"/>
      <c r="I942" s="51"/>
      <c r="J942" s="48"/>
      <c r="K942" s="50"/>
      <c r="L942" s="50"/>
      <c r="M942" s="48"/>
      <c r="N942" s="48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53"/>
      <c r="B943" s="55"/>
      <c r="C943" s="55"/>
      <c r="D943" s="55"/>
      <c r="E943" s="55"/>
      <c r="F943" s="56"/>
      <c r="G943" s="55" t="str">
        <f t="shared" si="29"/>
        <v> </v>
      </c>
      <c r="H943" s="55"/>
      <c r="I943" s="56"/>
      <c r="J943" s="53"/>
      <c r="K943" s="55"/>
      <c r="L943" s="55"/>
      <c r="M943" s="53"/>
      <c r="N943" s="53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48"/>
      <c r="B944" s="50"/>
      <c r="C944" s="50"/>
      <c r="D944" s="50"/>
      <c r="E944" s="50"/>
      <c r="F944" s="51"/>
      <c r="G944" s="50" t="str">
        <f t="shared" si="29"/>
        <v> </v>
      </c>
      <c r="H944" s="50"/>
      <c r="I944" s="51"/>
      <c r="J944" s="48"/>
      <c r="K944" s="50"/>
      <c r="L944" s="50"/>
      <c r="M944" s="48"/>
      <c r="N944" s="48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53"/>
      <c r="B945" s="55"/>
      <c r="C945" s="55"/>
      <c r="D945" s="55"/>
      <c r="E945" s="55"/>
      <c r="F945" s="56"/>
      <c r="G945" s="55" t="str">
        <f t="shared" si="29"/>
        <v> </v>
      </c>
      <c r="H945" s="55"/>
      <c r="I945" s="56"/>
      <c r="J945" s="53"/>
      <c r="K945" s="55"/>
      <c r="L945" s="55"/>
      <c r="M945" s="53"/>
      <c r="N945" s="53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48"/>
      <c r="B946" s="50"/>
      <c r="C946" s="50"/>
      <c r="D946" s="50"/>
      <c r="E946" s="50"/>
      <c r="F946" s="51"/>
      <c r="G946" s="50" t="str">
        <f t="shared" si="29"/>
        <v> </v>
      </c>
      <c r="H946" s="50"/>
      <c r="I946" s="51"/>
      <c r="J946" s="48"/>
      <c r="K946" s="50"/>
      <c r="L946" s="50"/>
      <c r="M946" s="48"/>
      <c r="N946" s="48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53"/>
      <c r="B947" s="55"/>
      <c r="C947" s="55"/>
      <c r="D947" s="55"/>
      <c r="E947" s="55"/>
      <c r="F947" s="56"/>
      <c r="G947" s="55" t="str">
        <f t="shared" si="29"/>
        <v> </v>
      </c>
      <c r="H947" s="55"/>
      <c r="I947" s="56"/>
      <c r="J947" s="53"/>
      <c r="K947" s="55"/>
      <c r="L947" s="55"/>
      <c r="M947" s="53"/>
      <c r="N947" s="53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48"/>
      <c r="B948" s="50"/>
      <c r="C948" s="50"/>
      <c r="D948" s="50"/>
      <c r="E948" s="50"/>
      <c r="F948" s="51"/>
      <c r="G948" s="50" t="str">
        <f t="shared" si="29"/>
        <v> </v>
      </c>
      <c r="H948" s="50"/>
      <c r="I948" s="51"/>
      <c r="J948" s="48"/>
      <c r="K948" s="50"/>
      <c r="L948" s="50"/>
      <c r="M948" s="48"/>
      <c r="N948" s="48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53"/>
      <c r="B949" s="55"/>
      <c r="C949" s="55"/>
      <c r="D949" s="55"/>
      <c r="E949" s="55"/>
      <c r="F949" s="56"/>
      <c r="G949" s="55" t="str">
        <f t="shared" si="29"/>
        <v> </v>
      </c>
      <c r="H949" s="55"/>
      <c r="I949" s="56"/>
      <c r="J949" s="53"/>
      <c r="K949" s="55"/>
      <c r="L949" s="55"/>
      <c r="M949" s="53"/>
      <c r="N949" s="53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48"/>
      <c r="B950" s="50"/>
      <c r="C950" s="50"/>
      <c r="D950" s="50"/>
      <c r="E950" s="50"/>
      <c r="F950" s="51"/>
      <c r="G950" s="50" t="str">
        <f t="shared" si="29"/>
        <v> </v>
      </c>
      <c r="H950" s="50"/>
      <c r="I950" s="51"/>
      <c r="J950" s="48"/>
      <c r="K950" s="50"/>
      <c r="L950" s="50"/>
      <c r="M950" s="48"/>
      <c r="N950" s="48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53"/>
      <c r="B951" s="55"/>
      <c r="C951" s="55"/>
      <c r="D951" s="55"/>
      <c r="E951" s="55"/>
      <c r="F951" s="56"/>
      <c r="G951" s="55" t="str">
        <f t="shared" si="29"/>
        <v> </v>
      </c>
      <c r="H951" s="55"/>
      <c r="I951" s="56"/>
      <c r="J951" s="53"/>
      <c r="K951" s="55"/>
      <c r="L951" s="55"/>
      <c r="M951" s="53"/>
      <c r="N951" s="53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48"/>
      <c r="B952" s="50"/>
      <c r="C952" s="50"/>
      <c r="D952" s="50"/>
      <c r="E952" s="50"/>
      <c r="F952" s="51"/>
      <c r="G952" s="50" t="str">
        <f t="shared" si="29"/>
        <v> </v>
      </c>
      <c r="H952" s="50"/>
      <c r="I952" s="51"/>
      <c r="J952" s="48"/>
      <c r="K952" s="50"/>
      <c r="L952" s="50"/>
      <c r="M952" s="48"/>
      <c r="N952" s="48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53"/>
      <c r="B953" s="55"/>
      <c r="C953" s="55"/>
      <c r="D953" s="55"/>
      <c r="E953" s="55"/>
      <c r="F953" s="56"/>
      <c r="G953" s="55" t="str">
        <f t="shared" si="29"/>
        <v> </v>
      </c>
      <c r="H953" s="55"/>
      <c r="I953" s="56"/>
      <c r="J953" s="53"/>
      <c r="K953" s="55"/>
      <c r="L953" s="55"/>
      <c r="M953" s="53"/>
      <c r="N953" s="53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48"/>
      <c r="B954" s="50"/>
      <c r="C954" s="50"/>
      <c r="D954" s="50"/>
      <c r="E954" s="50"/>
      <c r="F954" s="51"/>
      <c r="G954" s="50" t="str">
        <f t="shared" si="29"/>
        <v> </v>
      </c>
      <c r="H954" s="50"/>
      <c r="I954" s="51"/>
      <c r="J954" s="48"/>
      <c r="K954" s="50"/>
      <c r="L954" s="50"/>
      <c r="M954" s="48"/>
      <c r="N954" s="48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53"/>
      <c r="B955" s="55"/>
      <c r="C955" s="55"/>
      <c r="D955" s="55"/>
      <c r="E955" s="55"/>
      <c r="F955" s="56"/>
      <c r="G955" s="55" t="str">
        <f t="shared" si="29"/>
        <v> </v>
      </c>
      <c r="H955" s="55"/>
      <c r="I955" s="56"/>
      <c r="J955" s="53"/>
      <c r="K955" s="55"/>
      <c r="L955" s="55"/>
      <c r="M955" s="53"/>
      <c r="N955" s="53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48"/>
      <c r="B956" s="50"/>
      <c r="C956" s="50"/>
      <c r="D956" s="50"/>
      <c r="E956" s="50"/>
      <c r="F956" s="51"/>
      <c r="G956" s="50" t="str">
        <f t="shared" si="29"/>
        <v> </v>
      </c>
      <c r="H956" s="50"/>
      <c r="I956" s="51"/>
      <c r="J956" s="48"/>
      <c r="K956" s="50"/>
      <c r="L956" s="50"/>
      <c r="M956" s="48"/>
      <c r="N956" s="48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53"/>
      <c r="B957" s="55"/>
      <c r="C957" s="55"/>
      <c r="D957" s="55"/>
      <c r="E957" s="55"/>
      <c r="F957" s="56"/>
      <c r="G957" s="55" t="str">
        <f t="shared" si="29"/>
        <v> </v>
      </c>
      <c r="H957" s="55"/>
      <c r="I957" s="56"/>
      <c r="J957" s="53"/>
      <c r="K957" s="55"/>
      <c r="L957" s="55"/>
      <c r="M957" s="53"/>
      <c r="N957" s="53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48"/>
      <c r="B958" s="50"/>
      <c r="C958" s="50"/>
      <c r="D958" s="50"/>
      <c r="E958" s="50"/>
      <c r="F958" s="51"/>
      <c r="G958" s="50" t="str">
        <f t="shared" si="29"/>
        <v> </v>
      </c>
      <c r="H958" s="50"/>
      <c r="I958" s="51"/>
      <c r="J958" s="48"/>
      <c r="K958" s="50"/>
      <c r="L958" s="50"/>
      <c r="M958" s="48"/>
      <c r="N958" s="48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53"/>
      <c r="B959" s="55"/>
      <c r="C959" s="55"/>
      <c r="D959" s="55"/>
      <c r="E959" s="55"/>
      <c r="F959" s="56"/>
      <c r="G959" s="55" t="str">
        <f t="shared" si="29"/>
        <v> </v>
      </c>
      <c r="H959" s="55"/>
      <c r="I959" s="56"/>
      <c r="J959" s="53"/>
      <c r="K959" s="55"/>
      <c r="L959" s="55"/>
      <c r="M959" s="53"/>
      <c r="N959" s="53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48"/>
      <c r="B960" s="50"/>
      <c r="C960" s="50"/>
      <c r="D960" s="50"/>
      <c r="E960" s="50"/>
      <c r="F960" s="51"/>
      <c r="G960" s="50" t="str">
        <f t="shared" si="29"/>
        <v> </v>
      </c>
      <c r="H960" s="50"/>
      <c r="I960" s="51"/>
      <c r="J960" s="48"/>
      <c r="K960" s="50"/>
      <c r="L960" s="50"/>
      <c r="M960" s="48"/>
      <c r="N960" s="48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53"/>
      <c r="B961" s="55"/>
      <c r="C961" s="55"/>
      <c r="D961" s="55"/>
      <c r="E961" s="55"/>
      <c r="F961" s="56"/>
      <c r="G961" s="55" t="str">
        <f t="shared" si="29"/>
        <v> </v>
      </c>
      <c r="H961" s="55"/>
      <c r="I961" s="56"/>
      <c r="J961" s="53"/>
      <c r="K961" s="55"/>
      <c r="L961" s="55"/>
      <c r="M961" s="53"/>
      <c r="N961" s="53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48"/>
      <c r="B962" s="50"/>
      <c r="C962" s="50"/>
      <c r="D962" s="50"/>
      <c r="E962" s="50"/>
      <c r="F962" s="51"/>
      <c r="G962" s="50" t="str">
        <f t="shared" si="29"/>
        <v> </v>
      </c>
      <c r="H962" s="50"/>
      <c r="I962" s="51"/>
      <c r="J962" s="48"/>
      <c r="K962" s="50"/>
      <c r="L962" s="50"/>
      <c r="M962" s="48"/>
      <c r="N962" s="48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53"/>
      <c r="B963" s="55"/>
      <c r="C963" s="55"/>
      <c r="D963" s="55"/>
      <c r="E963" s="55"/>
      <c r="F963" s="56"/>
      <c r="G963" s="55" t="str">
        <f t="shared" si="29"/>
        <v> </v>
      </c>
      <c r="H963" s="55"/>
      <c r="I963" s="56"/>
      <c r="J963" s="53"/>
      <c r="K963" s="55"/>
      <c r="L963" s="55"/>
      <c r="M963" s="53"/>
      <c r="N963" s="53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48"/>
      <c r="B964" s="50"/>
      <c r="C964" s="50"/>
      <c r="D964" s="50"/>
      <c r="E964" s="50"/>
      <c r="F964" s="51"/>
      <c r="G964" s="50" t="str">
        <f t="shared" si="29"/>
        <v> </v>
      </c>
      <c r="H964" s="50"/>
      <c r="I964" s="51"/>
      <c r="J964" s="48"/>
      <c r="K964" s="50"/>
      <c r="L964" s="50"/>
      <c r="M964" s="48"/>
      <c r="N964" s="48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53"/>
      <c r="B965" s="55"/>
      <c r="C965" s="55"/>
      <c r="D965" s="55"/>
      <c r="E965" s="55"/>
      <c r="F965" s="56"/>
      <c r="G965" s="55" t="str">
        <f t="shared" si="29"/>
        <v> </v>
      </c>
      <c r="H965" s="55"/>
      <c r="I965" s="56"/>
      <c r="J965" s="53"/>
      <c r="K965" s="55"/>
      <c r="L965" s="55"/>
      <c r="M965" s="53"/>
      <c r="N965" s="53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48"/>
      <c r="B966" s="50"/>
      <c r="C966" s="50"/>
      <c r="D966" s="50"/>
      <c r="E966" s="50"/>
      <c r="F966" s="51"/>
      <c r="G966" s="50" t="str">
        <f t="shared" si="29"/>
        <v> </v>
      </c>
      <c r="H966" s="50"/>
      <c r="I966" s="51"/>
      <c r="J966" s="48"/>
      <c r="K966" s="50"/>
      <c r="L966" s="50"/>
      <c r="M966" s="48"/>
      <c r="N966" s="48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53"/>
      <c r="B967" s="55"/>
      <c r="C967" s="55"/>
      <c r="D967" s="55"/>
      <c r="E967" s="55"/>
      <c r="F967" s="56"/>
      <c r="G967" s="55" t="str">
        <f t="shared" si="29"/>
        <v> </v>
      </c>
      <c r="H967" s="55"/>
      <c r="I967" s="56"/>
      <c r="J967" s="53"/>
      <c r="K967" s="55"/>
      <c r="L967" s="55"/>
      <c r="M967" s="53"/>
      <c r="N967" s="53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48"/>
      <c r="B968" s="50"/>
      <c r="C968" s="50"/>
      <c r="D968" s="50"/>
      <c r="E968" s="50"/>
      <c r="F968" s="51"/>
      <c r="G968" s="50" t="str">
        <f t="shared" si="29"/>
        <v> </v>
      </c>
      <c r="H968" s="50"/>
      <c r="I968" s="51"/>
      <c r="J968" s="48"/>
      <c r="K968" s="50"/>
      <c r="L968" s="50"/>
      <c r="M968" s="48"/>
      <c r="N968" s="48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53"/>
      <c r="B969" s="55"/>
      <c r="C969" s="55"/>
      <c r="D969" s="55"/>
      <c r="E969" s="55"/>
      <c r="F969" s="56"/>
      <c r="G969" s="55" t="str">
        <f t="shared" si="29"/>
        <v> </v>
      </c>
      <c r="H969" s="55"/>
      <c r="I969" s="56"/>
      <c r="J969" s="53"/>
      <c r="K969" s="55"/>
      <c r="L969" s="55"/>
      <c r="M969" s="53"/>
      <c r="N969" s="53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48"/>
      <c r="B970" s="50"/>
      <c r="C970" s="50"/>
      <c r="D970" s="50"/>
      <c r="E970" s="50"/>
      <c r="F970" s="51"/>
      <c r="G970" s="50" t="str">
        <f t="shared" si="29"/>
        <v> </v>
      </c>
      <c r="H970" s="50"/>
      <c r="I970" s="51"/>
      <c r="J970" s="48"/>
      <c r="K970" s="50"/>
      <c r="L970" s="50"/>
      <c r="M970" s="48"/>
      <c r="N970" s="48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53"/>
      <c r="B971" s="55"/>
      <c r="C971" s="55"/>
      <c r="D971" s="55"/>
      <c r="E971" s="55"/>
      <c r="F971" s="56"/>
      <c r="G971" s="55" t="str">
        <f t="shared" si="29"/>
        <v> </v>
      </c>
      <c r="H971" s="55"/>
      <c r="I971" s="56"/>
      <c r="J971" s="53"/>
      <c r="K971" s="55"/>
      <c r="L971" s="55"/>
      <c r="M971" s="53"/>
      <c r="N971" s="53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48"/>
      <c r="B972" s="50"/>
      <c r="C972" s="50"/>
      <c r="D972" s="50"/>
      <c r="E972" s="50"/>
      <c r="F972" s="51"/>
      <c r="G972" s="50" t="str">
        <f t="shared" si="29"/>
        <v> </v>
      </c>
      <c r="H972" s="50"/>
      <c r="I972" s="51"/>
      <c r="J972" s="48"/>
      <c r="K972" s="50"/>
      <c r="L972" s="50"/>
      <c r="M972" s="48"/>
      <c r="N972" s="48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53"/>
      <c r="B973" s="55"/>
      <c r="C973" s="55"/>
      <c r="D973" s="55"/>
      <c r="E973" s="55"/>
      <c r="F973" s="56"/>
      <c r="G973" s="55" t="str">
        <f t="shared" si="29"/>
        <v> </v>
      </c>
      <c r="H973" s="55"/>
      <c r="I973" s="56"/>
      <c r="J973" s="53"/>
      <c r="K973" s="55"/>
      <c r="L973" s="55"/>
      <c r="M973" s="53"/>
      <c r="N973" s="53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48"/>
      <c r="B974" s="50"/>
      <c r="C974" s="50"/>
      <c r="D974" s="50"/>
      <c r="E974" s="50"/>
      <c r="F974" s="51"/>
      <c r="G974" s="50" t="str">
        <f t="shared" si="29"/>
        <v> </v>
      </c>
      <c r="H974" s="50"/>
      <c r="I974" s="51"/>
      <c r="J974" s="48"/>
      <c r="K974" s="50"/>
      <c r="L974" s="50"/>
      <c r="M974" s="48"/>
      <c r="N974" s="48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53"/>
      <c r="B975" s="55"/>
      <c r="C975" s="55"/>
      <c r="D975" s="55"/>
      <c r="E975" s="55"/>
      <c r="F975" s="56"/>
      <c r="G975" s="55" t="str">
        <f t="shared" si="29"/>
        <v> </v>
      </c>
      <c r="H975" s="55"/>
      <c r="I975" s="56"/>
      <c r="J975" s="53"/>
      <c r="K975" s="55"/>
      <c r="L975" s="55"/>
      <c r="M975" s="53"/>
      <c r="N975" s="53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48"/>
      <c r="B976" s="50"/>
      <c r="C976" s="50"/>
      <c r="D976" s="50"/>
      <c r="E976" s="50"/>
      <c r="F976" s="51"/>
      <c r="G976" s="50" t="str">
        <f t="shared" si="29"/>
        <v> </v>
      </c>
      <c r="H976" s="50"/>
      <c r="I976" s="51"/>
      <c r="J976" s="48"/>
      <c r="K976" s="50"/>
      <c r="L976" s="50"/>
      <c r="M976" s="48"/>
      <c r="N976" s="48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40"/>
      <c r="B977" s="9"/>
      <c r="C977" s="9"/>
      <c r="D977" s="9"/>
      <c r="E977" s="9"/>
      <c r="F977" s="41"/>
      <c r="G977" s="9"/>
      <c r="H977" s="9"/>
      <c r="I977" s="41"/>
      <c r="J977" s="40"/>
      <c r="K977" s="9"/>
      <c r="L977" s="9"/>
      <c r="M977" s="40"/>
      <c r="N977" s="40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40"/>
      <c r="B978" s="9"/>
      <c r="C978" s="9"/>
      <c r="D978" s="9"/>
      <c r="E978" s="9"/>
      <c r="F978" s="41"/>
      <c r="G978" s="9"/>
      <c r="H978" s="9"/>
      <c r="I978" s="41"/>
      <c r="J978" s="40"/>
      <c r="K978" s="9"/>
      <c r="L978" s="9"/>
      <c r="M978" s="40"/>
      <c r="N978" s="40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40"/>
      <c r="B979" s="9"/>
      <c r="C979" s="9"/>
      <c r="D979" s="9"/>
      <c r="E979" s="9"/>
      <c r="F979" s="41"/>
      <c r="G979" s="9"/>
      <c r="H979" s="9"/>
      <c r="I979" s="41"/>
      <c r="J979" s="40"/>
      <c r="K979" s="9"/>
      <c r="L979" s="9"/>
      <c r="M979" s="40"/>
      <c r="N979" s="40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40"/>
      <c r="B980" s="9"/>
      <c r="C980" s="9"/>
      <c r="D980" s="9"/>
      <c r="E980" s="9"/>
      <c r="F980" s="41"/>
      <c r="G980" s="9"/>
      <c r="H980" s="9"/>
      <c r="I980" s="41"/>
      <c r="J980" s="40"/>
      <c r="K980" s="9"/>
      <c r="L980" s="9"/>
      <c r="M980" s="40"/>
      <c r="N980" s="40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40"/>
      <c r="B981" s="9"/>
      <c r="C981" s="9"/>
      <c r="D981" s="9"/>
      <c r="E981" s="9"/>
      <c r="F981" s="41"/>
      <c r="G981" s="9"/>
      <c r="H981" s="9"/>
      <c r="I981" s="41"/>
      <c r="J981" s="40"/>
      <c r="K981" s="9"/>
      <c r="L981" s="9"/>
      <c r="M981" s="40"/>
      <c r="N981" s="40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40"/>
      <c r="B982" s="9"/>
      <c r="C982" s="9"/>
      <c r="D982" s="9"/>
      <c r="E982" s="9"/>
      <c r="F982" s="41"/>
      <c r="G982" s="9"/>
      <c r="H982" s="9"/>
      <c r="I982" s="41"/>
      <c r="J982" s="40"/>
      <c r="K982" s="9"/>
      <c r="L982" s="9"/>
      <c r="M982" s="40"/>
      <c r="N982" s="40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40"/>
      <c r="B983" s="9"/>
      <c r="C983" s="9"/>
      <c r="D983" s="9"/>
      <c r="E983" s="9"/>
      <c r="F983" s="41"/>
      <c r="G983" s="9"/>
      <c r="H983" s="9"/>
      <c r="I983" s="41"/>
      <c r="J983" s="40"/>
      <c r="K983" s="9"/>
      <c r="L983" s="9"/>
      <c r="M983" s="40"/>
      <c r="N983" s="40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40"/>
      <c r="B984" s="9"/>
      <c r="C984" s="9"/>
      <c r="D984" s="9"/>
      <c r="E984" s="9"/>
      <c r="F984" s="41"/>
      <c r="G984" s="9"/>
      <c r="H984" s="9"/>
      <c r="I984" s="41"/>
      <c r="J984" s="40"/>
      <c r="K984" s="9"/>
      <c r="L984" s="9"/>
      <c r="M984" s="40"/>
      <c r="N984" s="40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40"/>
      <c r="B985" s="9"/>
      <c r="C985" s="9"/>
      <c r="D985" s="9"/>
      <c r="E985" s="9"/>
      <c r="F985" s="41"/>
      <c r="G985" s="9"/>
      <c r="H985" s="9"/>
      <c r="I985" s="41"/>
      <c r="J985" s="40"/>
      <c r="K985" s="9"/>
      <c r="L985" s="9"/>
      <c r="M985" s="40"/>
      <c r="N985" s="40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40"/>
      <c r="B986" s="9"/>
      <c r="C986" s="9"/>
      <c r="D986" s="9"/>
      <c r="E986" s="9"/>
      <c r="F986" s="41"/>
      <c r="G986" s="9"/>
      <c r="H986" s="9"/>
      <c r="I986" s="41"/>
      <c r="J986" s="40"/>
      <c r="K986" s="9"/>
      <c r="L986" s="9"/>
      <c r="M986" s="40"/>
      <c r="N986" s="40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40"/>
      <c r="B987" s="9"/>
      <c r="C987" s="9"/>
      <c r="D987" s="9"/>
      <c r="E987" s="9"/>
      <c r="F987" s="41"/>
      <c r="G987" s="9"/>
      <c r="H987" s="9"/>
      <c r="I987" s="41"/>
      <c r="J987" s="40"/>
      <c r="K987" s="9"/>
      <c r="L987" s="9"/>
      <c r="M987" s="40"/>
      <c r="N987" s="40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40"/>
      <c r="B988" s="9"/>
      <c r="C988" s="9"/>
      <c r="D988" s="9"/>
      <c r="E988" s="9"/>
      <c r="F988" s="41"/>
      <c r="G988" s="9"/>
      <c r="H988" s="9"/>
      <c r="I988" s="41"/>
      <c r="J988" s="40"/>
      <c r="K988" s="9"/>
      <c r="L988" s="9"/>
      <c r="M988" s="40"/>
      <c r="N988" s="40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40"/>
      <c r="B989" s="9"/>
      <c r="C989" s="9"/>
      <c r="D989" s="9"/>
      <c r="E989" s="9"/>
      <c r="F989" s="41"/>
      <c r="G989" s="9"/>
      <c r="H989" s="9"/>
      <c r="I989" s="41"/>
      <c r="J989" s="40"/>
      <c r="K989" s="9"/>
      <c r="L989" s="9"/>
      <c r="M989" s="40"/>
      <c r="N989" s="40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40"/>
      <c r="B990" s="9"/>
      <c r="C990" s="9"/>
      <c r="D990" s="9"/>
      <c r="E990" s="9"/>
      <c r="F990" s="41"/>
      <c r="G990" s="9"/>
      <c r="H990" s="9"/>
      <c r="I990" s="41"/>
      <c r="J990" s="40"/>
      <c r="K990" s="9"/>
      <c r="L990" s="9"/>
      <c r="M990" s="40"/>
      <c r="N990" s="40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40"/>
      <c r="B991" s="9"/>
      <c r="C991" s="9"/>
      <c r="D991" s="9"/>
      <c r="E991" s="9"/>
      <c r="F991" s="41"/>
      <c r="G991" s="9"/>
      <c r="H991" s="9"/>
      <c r="I991" s="41"/>
      <c r="J991" s="40"/>
      <c r="K991" s="9"/>
      <c r="L991" s="9"/>
      <c r="M991" s="40"/>
      <c r="N991" s="40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40"/>
      <c r="B992" s="9"/>
      <c r="C992" s="9"/>
      <c r="D992" s="9"/>
      <c r="E992" s="9"/>
      <c r="F992" s="41"/>
      <c r="G992" s="9"/>
      <c r="H992" s="9"/>
      <c r="I992" s="41"/>
      <c r="J992" s="40"/>
      <c r="K992" s="9"/>
      <c r="L992" s="9"/>
      <c r="M992" s="40"/>
      <c r="N992" s="40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40"/>
      <c r="B993" s="9"/>
      <c r="C993" s="9"/>
      <c r="D993" s="9"/>
      <c r="E993" s="9"/>
      <c r="F993" s="41"/>
      <c r="G993" s="9"/>
      <c r="H993" s="9"/>
      <c r="I993" s="41"/>
      <c r="J993" s="40"/>
      <c r="K993" s="9"/>
      <c r="L993" s="9"/>
      <c r="M993" s="40"/>
      <c r="N993" s="40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40"/>
      <c r="B994" s="9"/>
      <c r="C994" s="9"/>
      <c r="D994" s="9"/>
      <c r="E994" s="9"/>
      <c r="F994" s="41"/>
      <c r="G994" s="9"/>
      <c r="H994" s="9"/>
      <c r="I994" s="41"/>
      <c r="J994" s="40"/>
      <c r="K994" s="9"/>
      <c r="L994" s="9"/>
      <c r="M994" s="40"/>
      <c r="N994" s="40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40"/>
      <c r="B995" s="9"/>
      <c r="C995" s="9"/>
      <c r="D995" s="9"/>
      <c r="E995" s="9"/>
      <c r="F995" s="41"/>
      <c r="G995" s="9"/>
      <c r="H995" s="9"/>
      <c r="I995" s="41"/>
      <c r="J995" s="40"/>
      <c r="K995" s="9"/>
      <c r="L995" s="9"/>
      <c r="M995" s="40"/>
      <c r="N995" s="40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40"/>
      <c r="B996" s="9"/>
      <c r="C996" s="9"/>
      <c r="D996" s="9"/>
      <c r="E996" s="9"/>
      <c r="F996" s="41"/>
      <c r="G996" s="9"/>
      <c r="H996" s="9"/>
      <c r="I996" s="41"/>
      <c r="J996" s="40"/>
      <c r="K996" s="9"/>
      <c r="L996" s="9"/>
      <c r="M996" s="40"/>
      <c r="N996" s="40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40"/>
      <c r="B997" s="9"/>
      <c r="C997" s="9"/>
      <c r="D997" s="9"/>
      <c r="E997" s="9"/>
      <c r="F997" s="41"/>
      <c r="G997" s="9"/>
      <c r="H997" s="9"/>
      <c r="I997" s="41"/>
      <c r="J997" s="40"/>
      <c r="K997" s="9"/>
      <c r="L997" s="9"/>
      <c r="M997" s="40"/>
      <c r="N997" s="40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40"/>
      <c r="B998" s="9"/>
      <c r="C998" s="9"/>
      <c r="D998" s="9"/>
      <c r="E998" s="9"/>
      <c r="F998" s="41"/>
      <c r="G998" s="9"/>
      <c r="H998" s="9"/>
      <c r="I998" s="41"/>
      <c r="J998" s="40"/>
      <c r="K998" s="9"/>
      <c r="L998" s="9"/>
      <c r="M998" s="40"/>
      <c r="N998" s="40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40"/>
      <c r="B999" s="9"/>
      <c r="C999" s="9"/>
      <c r="D999" s="9"/>
      <c r="E999" s="9"/>
      <c r="F999" s="41"/>
      <c r="G999" s="9"/>
      <c r="H999" s="9"/>
      <c r="I999" s="41"/>
      <c r="J999" s="40"/>
      <c r="K999" s="9"/>
      <c r="L999" s="9"/>
      <c r="M999" s="40"/>
      <c r="N999" s="40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40"/>
      <c r="B1000" s="9"/>
      <c r="C1000" s="9"/>
      <c r="D1000" s="9"/>
      <c r="E1000" s="9"/>
      <c r="F1000" s="41"/>
      <c r="G1000" s="9"/>
      <c r="H1000" s="9"/>
      <c r="I1000" s="41"/>
      <c r="J1000" s="40"/>
      <c r="K1000" s="9"/>
      <c r="L1000" s="9"/>
      <c r="M1000" s="40"/>
      <c r="N1000" s="40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Z$43"/>
  <conditionalFormatting sqref="G1:G1000 H429 H508 H609 H656 I509">
    <cfRule type="cellIs" dxfId="4" priority="1" operator="equal">
      <formula>"FATURADO"</formula>
    </cfRule>
  </conditionalFormatting>
  <conditionalFormatting sqref="G1:G1000 H429 H508 H609 H656 I509">
    <cfRule type="cellIs" dxfId="5" priority="2" operator="equal">
      <formula>"Em andamento "</formula>
    </cfRule>
  </conditionalFormatting>
  <conditionalFormatting sqref="G1:G1000 H429 H508 H609 H656 I509">
    <cfRule type="cellIs" dxfId="6" priority="3" operator="equal">
      <formula>"Em andamento"</formula>
    </cfRule>
  </conditionalFormatting>
  <conditionalFormatting sqref="G1:G1000 H429 H508 H609 H656 I509">
    <cfRule type="cellIs" dxfId="7" priority="4" operator="equal">
      <formula>"Em andamento"</formula>
    </cfRule>
  </conditionalFormatting>
  <conditionalFormatting sqref="G1:G1000 H429 H508 H609 H656 I509">
    <cfRule type="cellIs" dxfId="8" priority="5" operator="equal">
      <formula>"GANHOU"</formula>
    </cfRule>
  </conditionalFormatting>
  <conditionalFormatting sqref="G1:G1000 H429 H508 H609 H656 I509">
    <cfRule type="cellIs" dxfId="4" priority="6" operator="equal">
      <formula>"FATURADO "</formula>
    </cfRule>
  </conditionalFormatting>
  <conditionalFormatting sqref="G1:G1000 H429 H508 H609 H656 I509">
    <cfRule type="cellIs" dxfId="5" priority="7" operator="equal">
      <formula>"Em andamento"</formula>
    </cfRule>
  </conditionalFormatting>
  <printOptions/>
  <pageMargins bottom="0.787401575" footer="0.0" header="0.0" left="0.511811024" right="0.511811024" top="0.7874015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5.57"/>
    <col customWidth="1" min="8" max="26" width="8.71"/>
  </cols>
  <sheetData>
    <row r="1" ht="14.25" customHeight="1">
      <c r="G1" s="94"/>
    </row>
    <row r="2" ht="14.25" customHeight="1">
      <c r="B2" s="95">
        <v>44564.0</v>
      </c>
      <c r="C2" s="95">
        <v>1657.0</v>
      </c>
      <c r="D2" s="95" t="s">
        <v>1132</v>
      </c>
      <c r="E2" s="95" t="s">
        <v>1133</v>
      </c>
      <c r="F2" s="95">
        <v>10.0</v>
      </c>
      <c r="G2" s="94">
        <v>14210.55</v>
      </c>
      <c r="H2" s="95" t="s">
        <v>167</v>
      </c>
      <c r="I2" s="95" t="s">
        <v>1134</v>
      </c>
    </row>
    <row r="3" ht="14.25" hidden="1" customHeight="1">
      <c r="B3" s="95">
        <v>44564.0</v>
      </c>
      <c r="C3" s="95">
        <v>1657.0</v>
      </c>
      <c r="D3" s="95" t="s">
        <v>1132</v>
      </c>
      <c r="E3" s="95" t="s">
        <v>1135</v>
      </c>
      <c r="F3" s="95">
        <v>10.0</v>
      </c>
      <c r="G3" s="95">
        <v>40559.91</v>
      </c>
      <c r="H3" s="95" t="s">
        <v>167</v>
      </c>
    </row>
    <row r="4" ht="14.25" hidden="1" customHeight="1">
      <c r="B4" s="95">
        <v>44564.0</v>
      </c>
      <c r="C4" s="95">
        <v>1654.0</v>
      </c>
      <c r="D4" s="95" t="s">
        <v>44</v>
      </c>
      <c r="E4" s="95" t="s">
        <v>1136</v>
      </c>
      <c r="F4" s="95">
        <v>1.0</v>
      </c>
      <c r="G4" s="95">
        <v>5962.38</v>
      </c>
      <c r="H4" s="95" t="s">
        <v>167</v>
      </c>
      <c r="I4" s="95" t="s">
        <v>1137</v>
      </c>
    </row>
    <row r="5" ht="14.25" hidden="1" customHeight="1">
      <c r="B5" s="95">
        <v>44566.0</v>
      </c>
      <c r="D5" s="95" t="s">
        <v>44</v>
      </c>
      <c r="E5" s="95" t="s">
        <v>1138</v>
      </c>
      <c r="F5" s="95">
        <v>4.0</v>
      </c>
      <c r="H5" s="95" t="s">
        <v>167</v>
      </c>
    </row>
    <row r="6" ht="14.25" hidden="1" customHeight="1">
      <c r="B6" s="95">
        <v>44567.0</v>
      </c>
      <c r="C6" s="95">
        <v>1658.0</v>
      </c>
      <c r="D6" s="95" t="s">
        <v>25</v>
      </c>
      <c r="E6" s="95" t="s">
        <v>1139</v>
      </c>
      <c r="F6" s="95">
        <v>1.0</v>
      </c>
      <c r="G6" s="95">
        <v>5002.0</v>
      </c>
      <c r="H6" s="95" t="s">
        <v>167</v>
      </c>
    </row>
    <row r="7" ht="14.25" hidden="1" customHeight="1">
      <c r="B7" s="95">
        <v>44567.0</v>
      </c>
      <c r="C7" s="95">
        <v>1656.0</v>
      </c>
      <c r="D7" s="95" t="s">
        <v>44</v>
      </c>
      <c r="E7" s="95" t="s">
        <v>1140</v>
      </c>
      <c r="F7" s="95">
        <v>1.0</v>
      </c>
      <c r="G7" s="95">
        <v>814.23</v>
      </c>
      <c r="H7" s="95" t="s">
        <v>21</v>
      </c>
      <c r="J7" s="95">
        <v>814.23</v>
      </c>
      <c r="K7" s="95">
        <v>44571.0</v>
      </c>
      <c r="L7" s="95">
        <v>1661.0</v>
      </c>
      <c r="M7" s="95">
        <v>4.501482789E9</v>
      </c>
      <c r="O7" s="95">
        <v>44602.0</v>
      </c>
    </row>
    <row r="8" ht="14.25" hidden="1" customHeight="1">
      <c r="B8" s="95">
        <v>44567.0</v>
      </c>
      <c r="C8" s="95">
        <v>1656.0</v>
      </c>
      <c r="D8" s="95" t="s">
        <v>44</v>
      </c>
      <c r="E8" s="95" t="s">
        <v>1141</v>
      </c>
      <c r="F8" s="95">
        <v>2.0</v>
      </c>
      <c r="G8" s="95">
        <v>2573.56</v>
      </c>
      <c r="H8" s="95" t="s">
        <v>21</v>
      </c>
      <c r="J8" s="95">
        <v>2573.56</v>
      </c>
      <c r="K8" s="95">
        <v>44571.0</v>
      </c>
      <c r="L8" s="95">
        <v>1661.0</v>
      </c>
      <c r="M8" s="95">
        <v>4.501482789E9</v>
      </c>
      <c r="O8" s="95">
        <v>44602.0</v>
      </c>
    </row>
    <row r="9" ht="14.25" hidden="1" customHeight="1">
      <c r="B9" s="95">
        <v>44571.0</v>
      </c>
      <c r="C9" s="95">
        <v>1661.0</v>
      </c>
      <c r="D9" s="95" t="s">
        <v>188</v>
      </c>
      <c r="E9" s="95" t="s">
        <v>1142</v>
      </c>
      <c r="F9" s="95">
        <v>1.0</v>
      </c>
      <c r="G9" s="95">
        <v>6019.19</v>
      </c>
      <c r="H9" s="95" t="s">
        <v>180</v>
      </c>
      <c r="J9" s="95">
        <v>6019.19</v>
      </c>
      <c r="K9" s="95">
        <v>44757.0</v>
      </c>
      <c r="L9" s="95">
        <v>1869.0</v>
      </c>
      <c r="M9" s="95">
        <v>5.201980038E9</v>
      </c>
      <c r="N9" s="95">
        <v>44585.0</v>
      </c>
      <c r="O9" s="95">
        <v>44803.0</v>
      </c>
    </row>
    <row r="10" ht="14.25" hidden="1" customHeight="1">
      <c r="B10" s="95">
        <v>44572.0</v>
      </c>
      <c r="C10" s="95">
        <v>1673.0</v>
      </c>
      <c r="D10" s="95" t="s">
        <v>1143</v>
      </c>
      <c r="E10" s="95" t="s">
        <v>1144</v>
      </c>
      <c r="F10" s="95">
        <v>3.0</v>
      </c>
      <c r="G10" s="95">
        <v>11105.54</v>
      </c>
      <c r="H10" s="95" t="s">
        <v>167</v>
      </c>
      <c r="I10" s="95" t="s">
        <v>1145</v>
      </c>
    </row>
    <row r="11" ht="14.25" hidden="1" customHeight="1">
      <c r="B11" s="95">
        <v>44572.0</v>
      </c>
      <c r="C11" s="95">
        <v>1673.0</v>
      </c>
      <c r="D11" s="95" t="s">
        <v>1143</v>
      </c>
      <c r="E11" s="95" t="s">
        <v>1146</v>
      </c>
      <c r="F11" s="95">
        <v>2.0</v>
      </c>
      <c r="G11" s="95">
        <v>11816.65</v>
      </c>
      <c r="H11" s="95" t="s">
        <v>167</v>
      </c>
      <c r="I11" s="95" t="s">
        <v>1147</v>
      </c>
    </row>
    <row r="12" ht="14.25" hidden="1" customHeight="1">
      <c r="B12" s="95">
        <v>44572.0</v>
      </c>
      <c r="C12" s="95">
        <v>1673.0</v>
      </c>
      <c r="D12" s="95" t="s">
        <v>1143</v>
      </c>
      <c r="E12" s="95" t="s">
        <v>1148</v>
      </c>
      <c r="F12" s="95">
        <v>3.0</v>
      </c>
      <c r="H12" s="95" t="s">
        <v>1149</v>
      </c>
    </row>
    <row r="13" ht="14.25" hidden="1" customHeight="1">
      <c r="B13" s="95">
        <v>44572.0</v>
      </c>
      <c r="C13" s="95">
        <v>1673.0</v>
      </c>
      <c r="D13" s="95" t="s">
        <v>1143</v>
      </c>
      <c r="E13" s="95" t="s">
        <v>1150</v>
      </c>
      <c r="F13" s="95">
        <v>3.0</v>
      </c>
      <c r="G13" s="95">
        <v>13120.01</v>
      </c>
      <c r="H13" s="95" t="s">
        <v>167</v>
      </c>
    </row>
    <row r="14" ht="14.25" hidden="1" customHeight="1">
      <c r="B14" s="95">
        <v>44573.0</v>
      </c>
      <c r="D14" s="95" t="s">
        <v>75</v>
      </c>
      <c r="E14" s="95" t="s">
        <v>1151</v>
      </c>
      <c r="F14" s="95">
        <v>2.0</v>
      </c>
      <c r="H14" s="95" t="s">
        <v>18</v>
      </c>
    </row>
    <row r="15" ht="14.25" hidden="1" customHeight="1">
      <c r="B15" s="95">
        <v>44574.0</v>
      </c>
      <c r="D15" s="95" t="s">
        <v>44</v>
      </c>
      <c r="E15" s="95" t="s">
        <v>1152</v>
      </c>
      <c r="F15" s="95">
        <v>2.0</v>
      </c>
      <c r="H15" s="95" t="s">
        <v>18</v>
      </c>
    </row>
    <row r="16" ht="14.25" hidden="1" customHeight="1">
      <c r="B16" s="95">
        <v>44574.0</v>
      </c>
      <c r="D16" s="95" t="s">
        <v>44</v>
      </c>
      <c r="E16" s="95" t="s">
        <v>1152</v>
      </c>
      <c r="F16" s="95">
        <v>4.0</v>
      </c>
      <c r="H16" s="95" t="s">
        <v>18</v>
      </c>
    </row>
    <row r="17" ht="14.25" hidden="1" customHeight="1">
      <c r="B17" s="95">
        <v>44574.0</v>
      </c>
      <c r="C17" s="95">
        <v>1674.0</v>
      </c>
      <c r="D17" s="95" t="s">
        <v>548</v>
      </c>
      <c r="E17" s="95" t="s">
        <v>1153</v>
      </c>
      <c r="F17" s="95">
        <v>1.0</v>
      </c>
      <c r="G17" s="95">
        <v>1166.51</v>
      </c>
      <c r="H17" s="95" t="s">
        <v>167</v>
      </c>
    </row>
    <row r="18" ht="14.25" hidden="1" customHeight="1">
      <c r="B18" s="95">
        <v>44575.0</v>
      </c>
      <c r="D18" s="95" t="s">
        <v>44</v>
      </c>
      <c r="E18" s="95" t="s">
        <v>1154</v>
      </c>
      <c r="F18" s="95">
        <v>1.0</v>
      </c>
      <c r="H18" s="95" t="s">
        <v>18</v>
      </c>
    </row>
    <row r="19" ht="14.25" hidden="1" customHeight="1">
      <c r="B19" s="95">
        <v>44575.0</v>
      </c>
      <c r="C19" s="95">
        <v>1694.0</v>
      </c>
      <c r="D19" s="95" t="s">
        <v>19</v>
      </c>
      <c r="E19" s="95" t="s">
        <v>1155</v>
      </c>
      <c r="F19" s="95">
        <v>300.0</v>
      </c>
      <c r="G19" s="95">
        <v>1050.0</v>
      </c>
      <c r="H19" s="95" t="s">
        <v>180</v>
      </c>
      <c r="J19" s="95">
        <v>1050.0</v>
      </c>
      <c r="K19" s="95">
        <v>44587.0</v>
      </c>
      <c r="L19" s="95">
        <v>1679.0</v>
      </c>
      <c r="M19" s="95">
        <v>4.500383826E9</v>
      </c>
      <c r="O19" s="95">
        <v>44618.0</v>
      </c>
    </row>
    <row r="20" ht="14.25" hidden="1" customHeight="1">
      <c r="B20" s="95">
        <v>44578.0</v>
      </c>
      <c r="D20" s="95" t="s">
        <v>790</v>
      </c>
      <c r="E20" s="95" t="s">
        <v>1156</v>
      </c>
      <c r="F20" s="95">
        <v>5.0</v>
      </c>
      <c r="H20" s="95" t="s">
        <v>18</v>
      </c>
    </row>
    <row r="21" ht="14.25" hidden="1" customHeight="1">
      <c r="B21" s="95">
        <v>44578.0</v>
      </c>
      <c r="D21" s="95" t="s">
        <v>790</v>
      </c>
      <c r="E21" s="95" t="s">
        <v>1157</v>
      </c>
      <c r="F21" s="95">
        <v>10.0</v>
      </c>
      <c r="H21" s="95" t="s">
        <v>18</v>
      </c>
    </row>
    <row r="22" ht="14.25" hidden="1" customHeight="1">
      <c r="B22" s="95">
        <v>44578.0</v>
      </c>
      <c r="D22" s="95" t="s">
        <v>790</v>
      </c>
      <c r="E22" s="95" t="s">
        <v>1158</v>
      </c>
      <c r="F22" s="95">
        <v>5.0</v>
      </c>
      <c r="H22" s="95" t="s">
        <v>18</v>
      </c>
    </row>
    <row r="23" ht="14.25" hidden="1" customHeight="1">
      <c r="B23" s="95">
        <v>44579.0</v>
      </c>
      <c r="D23" s="95" t="s">
        <v>188</v>
      </c>
      <c r="E23" s="95" t="s">
        <v>1159</v>
      </c>
      <c r="F23" s="95">
        <v>6.0</v>
      </c>
      <c r="H23" s="95" t="s">
        <v>18</v>
      </c>
    </row>
    <row r="24" ht="14.25" hidden="1" customHeight="1">
      <c r="B24" s="95">
        <v>44579.0</v>
      </c>
      <c r="D24" s="95" t="s">
        <v>188</v>
      </c>
      <c r="E24" s="95" t="s">
        <v>1160</v>
      </c>
      <c r="F24" s="95">
        <v>4.0</v>
      </c>
      <c r="H24" s="95" t="s">
        <v>18</v>
      </c>
    </row>
    <row r="25" ht="14.25" hidden="1" customHeight="1">
      <c r="B25" s="95">
        <v>44579.0</v>
      </c>
      <c r="C25" s="95">
        <v>1682.0</v>
      </c>
      <c r="D25" s="95" t="s">
        <v>1161</v>
      </c>
      <c r="E25" s="95" t="s">
        <v>1162</v>
      </c>
      <c r="F25" s="95">
        <v>1.0</v>
      </c>
      <c r="G25" s="95">
        <v>2731.45</v>
      </c>
      <c r="H25" s="95" t="s">
        <v>167</v>
      </c>
      <c r="I25" s="95" t="s">
        <v>1163</v>
      </c>
    </row>
    <row r="26" ht="14.25" hidden="1" customHeight="1">
      <c r="B26" s="95">
        <v>44581.0</v>
      </c>
      <c r="C26" s="95">
        <v>1684.0</v>
      </c>
      <c r="D26" s="95" t="s">
        <v>77</v>
      </c>
      <c r="E26" s="95" t="s">
        <v>1164</v>
      </c>
      <c r="F26" s="95">
        <v>1.0</v>
      </c>
      <c r="G26" s="95">
        <v>40656.15</v>
      </c>
      <c r="H26" s="95" t="s">
        <v>167</v>
      </c>
      <c r="I26" s="95" t="s">
        <v>1165</v>
      </c>
    </row>
    <row r="27" ht="14.25" hidden="1" customHeight="1">
      <c r="B27" s="95">
        <v>44582.0</v>
      </c>
      <c r="C27" s="95">
        <v>1691.0</v>
      </c>
      <c r="D27" s="95" t="s">
        <v>46</v>
      </c>
      <c r="E27" s="95" t="s">
        <v>1166</v>
      </c>
      <c r="F27" s="95">
        <v>1.0</v>
      </c>
      <c r="G27" s="95">
        <v>16570.14</v>
      </c>
      <c r="H27" s="95" t="s">
        <v>167</v>
      </c>
      <c r="I27" s="95" t="s">
        <v>1167</v>
      </c>
    </row>
    <row r="28" ht="14.25" hidden="1" customHeight="1">
      <c r="B28" s="95">
        <v>44582.0</v>
      </c>
      <c r="D28" s="95" t="s">
        <v>25</v>
      </c>
      <c r="E28" s="95" t="s">
        <v>1168</v>
      </c>
      <c r="F28" s="95">
        <v>20.0</v>
      </c>
      <c r="H28" s="95" t="s">
        <v>18</v>
      </c>
    </row>
    <row r="29" ht="14.25" hidden="1" customHeight="1">
      <c r="B29" s="95">
        <v>44582.0</v>
      </c>
      <c r="C29" s="95">
        <v>1688.0</v>
      </c>
      <c r="D29" s="95" t="s">
        <v>19</v>
      </c>
      <c r="E29" s="95" t="s">
        <v>1169</v>
      </c>
      <c r="F29" s="95">
        <v>300.0</v>
      </c>
      <c r="G29" s="95">
        <v>1701.0</v>
      </c>
      <c r="H29" s="95" t="s">
        <v>21</v>
      </c>
      <c r="J29" s="95">
        <v>1701.0</v>
      </c>
      <c r="K29" s="95">
        <v>44656.0</v>
      </c>
      <c r="L29" s="95">
        <v>1755.0</v>
      </c>
      <c r="M29" s="95">
        <v>4.500384697E9</v>
      </c>
      <c r="N29" s="95">
        <v>44652.0</v>
      </c>
      <c r="O29" s="95">
        <v>44686.0</v>
      </c>
    </row>
    <row r="30" ht="14.25" hidden="1" customHeight="1">
      <c r="B30" s="95">
        <v>44585.0</v>
      </c>
      <c r="C30" s="95">
        <v>1690.0</v>
      </c>
      <c r="D30" s="95" t="s">
        <v>1170</v>
      </c>
      <c r="E30" s="95" t="s">
        <v>778</v>
      </c>
      <c r="F30" s="95">
        <v>2.0</v>
      </c>
      <c r="G30" s="95">
        <v>336.68</v>
      </c>
      <c r="H30" s="95" t="s">
        <v>167</v>
      </c>
      <c r="I30" s="95" t="s">
        <v>1171</v>
      </c>
    </row>
    <row r="31" ht="14.25" hidden="1" customHeight="1">
      <c r="B31" s="95">
        <v>44586.0</v>
      </c>
      <c r="C31" s="95">
        <v>1693.0</v>
      </c>
      <c r="D31" s="95" t="s">
        <v>188</v>
      </c>
      <c r="E31" s="95" t="s">
        <v>1172</v>
      </c>
      <c r="F31" s="95">
        <v>3.0</v>
      </c>
      <c r="G31" s="95">
        <v>2823.93</v>
      </c>
      <c r="H31" s="95" t="s">
        <v>167</v>
      </c>
      <c r="I31" s="95" t="s">
        <v>1173</v>
      </c>
    </row>
    <row r="32" ht="14.25" hidden="1" customHeight="1">
      <c r="B32" s="95">
        <v>44586.0</v>
      </c>
      <c r="C32" s="95">
        <v>1693.0</v>
      </c>
      <c r="D32" s="95" t="s">
        <v>188</v>
      </c>
      <c r="E32" s="95" t="s">
        <v>1174</v>
      </c>
      <c r="F32" s="95">
        <v>1.0</v>
      </c>
      <c r="G32" s="95">
        <v>1168.76</v>
      </c>
      <c r="H32" s="95" t="s">
        <v>167</v>
      </c>
    </row>
    <row r="33" ht="14.25" hidden="1" customHeight="1">
      <c r="B33" s="95">
        <v>44586.0</v>
      </c>
      <c r="C33" s="95">
        <v>1693.0</v>
      </c>
      <c r="D33" s="95" t="s">
        <v>188</v>
      </c>
      <c r="E33" s="95" t="s">
        <v>1175</v>
      </c>
      <c r="F33" s="95">
        <v>1.0</v>
      </c>
      <c r="G33" s="95">
        <v>86.47</v>
      </c>
      <c r="H33" s="95" t="s">
        <v>167</v>
      </c>
    </row>
    <row r="34" ht="14.25" hidden="1" customHeight="1">
      <c r="B34" s="95">
        <v>44586.0</v>
      </c>
      <c r="C34" s="95">
        <v>1693.0</v>
      </c>
      <c r="D34" s="95" t="s">
        <v>188</v>
      </c>
      <c r="E34" s="95" t="s">
        <v>1176</v>
      </c>
      <c r="F34" s="95">
        <v>1.0</v>
      </c>
      <c r="G34" s="95">
        <v>6045.89</v>
      </c>
      <c r="H34" s="95" t="s">
        <v>167</v>
      </c>
    </row>
    <row r="35" ht="14.25" hidden="1" customHeight="1">
      <c r="B35" s="95">
        <v>44586.0</v>
      </c>
      <c r="C35" s="95">
        <v>1696.0</v>
      </c>
      <c r="D35" s="95" t="s">
        <v>44</v>
      </c>
      <c r="E35" s="95" t="s">
        <v>1177</v>
      </c>
      <c r="F35" s="95">
        <v>2.0</v>
      </c>
      <c r="H35" s="95" t="s">
        <v>167</v>
      </c>
    </row>
    <row r="36" ht="14.25" hidden="1" customHeight="1">
      <c r="B36" s="95">
        <v>44586.0</v>
      </c>
      <c r="C36" s="95">
        <v>1706.0</v>
      </c>
      <c r="D36" s="95" t="s">
        <v>44</v>
      </c>
      <c r="E36" s="95" t="s">
        <v>778</v>
      </c>
      <c r="F36" s="95">
        <v>2.0</v>
      </c>
      <c r="G36" s="95">
        <v>279.02</v>
      </c>
      <c r="H36" s="95" t="s">
        <v>180</v>
      </c>
      <c r="J36" s="95">
        <v>279.02</v>
      </c>
      <c r="K36" s="95">
        <v>44629.0</v>
      </c>
      <c r="L36" s="95">
        <v>1703.0</v>
      </c>
      <c r="M36" s="95">
        <v>4.501494237E9</v>
      </c>
      <c r="N36" s="95">
        <v>44729.0</v>
      </c>
      <c r="O36" s="95">
        <v>44661.0</v>
      </c>
    </row>
    <row r="37" ht="14.25" hidden="1" customHeight="1">
      <c r="B37" s="95">
        <v>44586.0</v>
      </c>
      <c r="C37" s="95">
        <v>1695.0</v>
      </c>
      <c r="D37" s="95" t="s">
        <v>77</v>
      </c>
      <c r="E37" s="95" t="s">
        <v>778</v>
      </c>
      <c r="F37" s="95">
        <v>2.0</v>
      </c>
      <c r="G37" s="95">
        <v>279.02</v>
      </c>
      <c r="H37" s="95" t="s">
        <v>167</v>
      </c>
    </row>
    <row r="38" ht="14.25" hidden="1" customHeight="1">
      <c r="B38" s="95">
        <v>44588.0</v>
      </c>
      <c r="C38" s="95">
        <v>1700.0</v>
      </c>
      <c r="D38" s="95" t="s">
        <v>1178</v>
      </c>
      <c r="E38" s="95" t="s">
        <v>1179</v>
      </c>
      <c r="F38" s="95">
        <v>2.0</v>
      </c>
      <c r="G38" s="95">
        <v>6910.59</v>
      </c>
      <c r="H38" s="95" t="s">
        <v>167</v>
      </c>
      <c r="I38" s="95" t="s">
        <v>1180</v>
      </c>
    </row>
    <row r="39" ht="14.25" hidden="1" customHeight="1">
      <c r="B39" s="95">
        <v>44588.0</v>
      </c>
      <c r="C39" s="95">
        <v>1700.0</v>
      </c>
      <c r="D39" s="95" t="s">
        <v>1178</v>
      </c>
      <c r="E39" s="95" t="s">
        <v>1181</v>
      </c>
      <c r="F39" s="95">
        <v>20.0</v>
      </c>
      <c r="G39" s="95">
        <v>20124.7</v>
      </c>
      <c r="H39" s="95" t="s">
        <v>167</v>
      </c>
    </row>
    <row r="40" ht="14.25" hidden="1" customHeight="1">
      <c r="B40" s="95">
        <v>44588.0</v>
      </c>
      <c r="C40" s="95">
        <v>1709.0</v>
      </c>
      <c r="D40" s="95" t="s">
        <v>1182</v>
      </c>
      <c r="E40" s="95" t="s">
        <v>1183</v>
      </c>
      <c r="F40" s="95">
        <v>2.0</v>
      </c>
      <c r="G40" s="95">
        <v>27859.91</v>
      </c>
      <c r="H40" s="95" t="s">
        <v>180</v>
      </c>
      <c r="I40" s="95" t="s">
        <v>1184</v>
      </c>
      <c r="J40" s="95">
        <v>27859.91</v>
      </c>
      <c r="K40" s="95">
        <v>44748.0</v>
      </c>
      <c r="L40" s="95">
        <v>1857.0</v>
      </c>
      <c r="M40" s="95" t="s">
        <v>1185</v>
      </c>
      <c r="N40" s="95" t="s">
        <v>1186</v>
      </c>
      <c r="O40" s="95">
        <v>44778.0</v>
      </c>
    </row>
    <row r="41" ht="14.25" hidden="1" customHeight="1">
      <c r="B41" s="95">
        <v>44592.0</v>
      </c>
      <c r="C41" s="95">
        <v>1714.0</v>
      </c>
      <c r="D41" s="95" t="s">
        <v>1187</v>
      </c>
      <c r="E41" s="95" t="s">
        <v>1188</v>
      </c>
      <c r="F41" s="95">
        <v>1.0</v>
      </c>
      <c r="G41" s="95">
        <v>10133.75</v>
      </c>
      <c r="H41" s="95" t="s">
        <v>167</v>
      </c>
      <c r="I41" s="95" t="s">
        <v>1189</v>
      </c>
    </row>
    <row r="42" ht="14.25" hidden="1" customHeight="1">
      <c r="B42" s="95">
        <v>44592.0</v>
      </c>
      <c r="D42" s="95" t="s">
        <v>1190</v>
      </c>
      <c r="E42" s="95" t="s">
        <v>1191</v>
      </c>
      <c r="F42" s="95">
        <v>64.0</v>
      </c>
      <c r="H42" s="95" t="s">
        <v>18</v>
      </c>
      <c r="I42" s="95" t="s">
        <v>1192</v>
      </c>
    </row>
    <row r="43" ht="14.25" hidden="1" customHeight="1">
      <c r="B43" s="95">
        <v>44592.0</v>
      </c>
      <c r="C43" s="95">
        <v>1715.0</v>
      </c>
      <c r="D43" s="95" t="s">
        <v>1193</v>
      </c>
      <c r="E43" s="95" t="s">
        <v>1194</v>
      </c>
      <c r="F43" s="95">
        <v>8.0</v>
      </c>
      <c r="G43" s="95">
        <v>3978.39</v>
      </c>
      <c r="H43" s="95" t="s">
        <v>167</v>
      </c>
      <c r="I43" s="95" t="s">
        <v>1195</v>
      </c>
    </row>
    <row r="44" ht="14.25" hidden="1" customHeight="1"/>
    <row r="45" ht="14.25" hidden="1" customHeight="1">
      <c r="B45" s="95">
        <v>44593.0</v>
      </c>
      <c r="C45" s="95">
        <v>1705.0</v>
      </c>
      <c r="D45" s="95" t="s">
        <v>159</v>
      </c>
      <c r="E45" s="95" t="s">
        <v>1196</v>
      </c>
      <c r="F45" s="95">
        <v>1.0</v>
      </c>
      <c r="H45" s="95" t="s">
        <v>167</v>
      </c>
    </row>
    <row r="46" ht="14.25" hidden="1" customHeight="1">
      <c r="B46" s="95">
        <v>44593.0</v>
      </c>
      <c r="C46" s="95">
        <v>1708.0</v>
      </c>
      <c r="D46" s="95" t="s">
        <v>44</v>
      </c>
      <c r="E46" s="95" t="s">
        <v>354</v>
      </c>
      <c r="F46" s="95">
        <v>2.0</v>
      </c>
      <c r="G46" s="95">
        <v>1552.35</v>
      </c>
      <c r="H46" s="95" t="s">
        <v>180</v>
      </c>
      <c r="J46" s="95">
        <v>1552.35</v>
      </c>
      <c r="K46" s="95">
        <v>44603.0</v>
      </c>
      <c r="L46" s="95">
        <v>1686.0</v>
      </c>
      <c r="M46" s="95">
        <v>4.501499678E9</v>
      </c>
      <c r="N46" s="95">
        <v>44603.0</v>
      </c>
      <c r="O46" s="95">
        <v>44640.0</v>
      </c>
    </row>
    <row r="47" ht="14.25" hidden="1" customHeight="1">
      <c r="B47" s="95">
        <v>44593.0</v>
      </c>
      <c r="C47" s="95">
        <v>1708.0</v>
      </c>
      <c r="D47" s="95" t="s">
        <v>44</v>
      </c>
      <c r="E47" s="95" t="s">
        <v>837</v>
      </c>
      <c r="F47" s="95">
        <v>1.0</v>
      </c>
      <c r="G47" s="95">
        <v>1219.11</v>
      </c>
      <c r="H47" s="95" t="s">
        <v>180</v>
      </c>
      <c r="J47" s="95">
        <v>1219.11</v>
      </c>
      <c r="K47" s="95">
        <v>44603.0</v>
      </c>
      <c r="L47" s="95">
        <v>1686.0</v>
      </c>
      <c r="M47" s="95">
        <v>4.501499678E9</v>
      </c>
      <c r="O47" s="95">
        <v>44640.0</v>
      </c>
    </row>
    <row r="48" ht="14.25" hidden="1" customHeight="1">
      <c r="B48" s="95">
        <v>44593.0</v>
      </c>
      <c r="C48" s="95">
        <v>1708.0</v>
      </c>
      <c r="D48" s="95" t="s">
        <v>44</v>
      </c>
      <c r="E48" s="95" t="s">
        <v>837</v>
      </c>
      <c r="F48" s="95">
        <v>1.0</v>
      </c>
      <c r="G48" s="95">
        <v>1219.11</v>
      </c>
      <c r="H48" s="95" t="s">
        <v>180</v>
      </c>
      <c r="J48" s="95">
        <v>1219.11</v>
      </c>
      <c r="K48" s="95">
        <v>44658.0</v>
      </c>
      <c r="L48" s="95">
        <v>1756.0</v>
      </c>
      <c r="M48" s="95">
        <v>4.501499678E9</v>
      </c>
      <c r="N48" s="95">
        <v>44676.0</v>
      </c>
      <c r="O48" s="95">
        <v>44691.0</v>
      </c>
    </row>
    <row r="49" ht="14.25" hidden="1" customHeight="1">
      <c r="B49" s="95">
        <v>44594.0</v>
      </c>
      <c r="D49" s="95" t="s">
        <v>457</v>
      </c>
      <c r="E49" s="95" t="s">
        <v>1197</v>
      </c>
      <c r="F49" s="95">
        <v>21.0</v>
      </c>
      <c r="H49" s="95" t="s">
        <v>241</v>
      </c>
      <c r="I49" s="95" t="s">
        <v>1198</v>
      </c>
    </row>
    <row r="50" ht="14.25" hidden="1" customHeight="1">
      <c r="B50" s="95">
        <v>44594.0</v>
      </c>
      <c r="D50" s="95" t="s">
        <v>457</v>
      </c>
      <c r="E50" s="95" t="s">
        <v>1199</v>
      </c>
      <c r="F50" s="95">
        <v>1.0</v>
      </c>
      <c r="H50" s="95" t="s">
        <v>241</v>
      </c>
    </row>
    <row r="51" ht="14.25" hidden="1" customHeight="1">
      <c r="B51" s="95">
        <v>44594.0</v>
      </c>
      <c r="D51" s="95" t="s">
        <v>457</v>
      </c>
      <c r="E51" s="95" t="s">
        <v>1200</v>
      </c>
      <c r="F51" s="95">
        <v>1.0</v>
      </c>
      <c r="H51" s="95" t="s">
        <v>241</v>
      </c>
    </row>
    <row r="52" ht="14.25" hidden="1" customHeight="1">
      <c r="B52" s="95">
        <v>44594.0</v>
      </c>
      <c r="D52" s="95" t="s">
        <v>44</v>
      </c>
      <c r="E52" s="95" t="s">
        <v>1201</v>
      </c>
      <c r="F52" s="95">
        <v>20.0</v>
      </c>
      <c r="H52" s="95" t="s">
        <v>241</v>
      </c>
    </row>
    <row r="53" ht="14.25" hidden="1" customHeight="1">
      <c r="B53" s="95">
        <v>44594.0</v>
      </c>
      <c r="D53" s="95" t="s">
        <v>44</v>
      </c>
      <c r="E53" s="95" t="s">
        <v>1152</v>
      </c>
      <c r="F53" s="95">
        <v>4.0</v>
      </c>
      <c r="H53" s="95" t="s">
        <v>241</v>
      </c>
    </row>
    <row r="54" ht="14.25" hidden="1" customHeight="1">
      <c r="B54" s="95">
        <v>44595.0</v>
      </c>
      <c r="D54" s="95" t="s">
        <v>1202</v>
      </c>
      <c r="E54" s="95" t="s">
        <v>1203</v>
      </c>
      <c r="F54" s="95">
        <v>50.0</v>
      </c>
      <c r="H54" s="95" t="s">
        <v>241</v>
      </c>
      <c r="I54" s="95" t="s">
        <v>1204</v>
      </c>
    </row>
    <row r="55" ht="14.25" hidden="1" customHeight="1">
      <c r="B55" s="95">
        <v>44595.0</v>
      </c>
      <c r="D55" s="95" t="s">
        <v>1202</v>
      </c>
      <c r="E55" s="95" t="s">
        <v>1205</v>
      </c>
      <c r="F55" s="95">
        <v>50.0</v>
      </c>
      <c r="H55" s="95" t="s">
        <v>241</v>
      </c>
    </row>
    <row r="56" ht="14.25" hidden="1" customHeight="1">
      <c r="B56" s="95">
        <v>44595.0</v>
      </c>
      <c r="C56" s="95">
        <v>1716.0</v>
      </c>
      <c r="D56" s="95" t="s">
        <v>44</v>
      </c>
      <c r="E56" s="95" t="s">
        <v>1206</v>
      </c>
      <c r="F56" s="95">
        <v>1.0</v>
      </c>
      <c r="G56" s="95">
        <v>1545.22</v>
      </c>
      <c r="H56" s="95" t="s">
        <v>180</v>
      </c>
      <c r="J56" s="95">
        <v>1545.22</v>
      </c>
      <c r="K56" s="95">
        <v>44608.0</v>
      </c>
      <c r="L56" s="95">
        <v>1691.0</v>
      </c>
      <c r="M56" s="95">
        <v>4.501500848E9</v>
      </c>
      <c r="O56" s="95">
        <v>44640.0</v>
      </c>
    </row>
    <row r="57" ht="14.25" hidden="1" customHeight="1">
      <c r="B57" s="95">
        <v>44596.0</v>
      </c>
      <c r="D57" s="95" t="s">
        <v>44</v>
      </c>
      <c r="E57" s="95" t="s">
        <v>1207</v>
      </c>
      <c r="F57" s="95">
        <v>7.0</v>
      </c>
      <c r="H57" s="95" t="s">
        <v>241</v>
      </c>
    </row>
    <row r="58" ht="14.25" hidden="1" customHeight="1">
      <c r="B58" s="95">
        <v>44596.0</v>
      </c>
      <c r="C58" s="95">
        <v>1717.0</v>
      </c>
      <c r="D58" s="95" t="s">
        <v>159</v>
      </c>
      <c r="E58" s="95" t="s">
        <v>1208</v>
      </c>
      <c r="H58" s="95" t="s">
        <v>167</v>
      </c>
    </row>
    <row r="59" ht="14.25" hidden="1" customHeight="1">
      <c r="B59" s="95">
        <v>44596.0</v>
      </c>
      <c r="C59" s="95">
        <v>1717.0</v>
      </c>
      <c r="D59" s="95" t="s">
        <v>159</v>
      </c>
      <c r="E59" s="95" t="s">
        <v>1209</v>
      </c>
      <c r="H59" s="95" t="s">
        <v>167</v>
      </c>
    </row>
    <row r="60" ht="14.25" hidden="1" customHeight="1">
      <c r="B60" s="95">
        <v>44596.0</v>
      </c>
      <c r="C60" s="95">
        <v>1718.0</v>
      </c>
      <c r="D60" s="95" t="s">
        <v>19</v>
      </c>
      <c r="E60" s="95" t="s">
        <v>1210</v>
      </c>
      <c r="F60" s="95">
        <v>30.0</v>
      </c>
      <c r="G60" s="95">
        <v>580.2</v>
      </c>
      <c r="H60" s="95" t="s">
        <v>180</v>
      </c>
      <c r="J60" s="95">
        <v>580.2</v>
      </c>
      <c r="K60" s="95">
        <v>44608.0</v>
      </c>
      <c r="L60" s="95">
        <v>1692.0</v>
      </c>
      <c r="M60" s="95">
        <v>4.500385457E9</v>
      </c>
      <c r="N60" s="95">
        <v>44607.0</v>
      </c>
    </row>
    <row r="61" ht="14.25" hidden="1" customHeight="1">
      <c r="B61" s="95">
        <v>44599.0</v>
      </c>
      <c r="D61" s="95" t="s">
        <v>457</v>
      </c>
      <c r="E61" s="95" t="s">
        <v>1211</v>
      </c>
      <c r="F61" s="95">
        <v>2.0</v>
      </c>
      <c r="H61" s="95" t="s">
        <v>241</v>
      </c>
    </row>
    <row r="62" ht="14.25" hidden="1" customHeight="1">
      <c r="B62" s="95">
        <v>44600.0</v>
      </c>
      <c r="C62" s="95">
        <v>1722.0</v>
      </c>
      <c r="D62" s="95" t="s">
        <v>1212</v>
      </c>
      <c r="E62" s="95" t="s">
        <v>1213</v>
      </c>
      <c r="F62" s="95">
        <v>1.0</v>
      </c>
      <c r="G62" s="95">
        <v>40467.23</v>
      </c>
      <c r="H62" s="95" t="s">
        <v>167</v>
      </c>
      <c r="I62" s="95" t="s">
        <v>1214</v>
      </c>
    </row>
    <row r="63" ht="14.25" hidden="1" customHeight="1">
      <c r="B63" s="95">
        <v>44601.0</v>
      </c>
      <c r="C63" s="95">
        <v>1731.0</v>
      </c>
      <c r="D63" s="95" t="s">
        <v>19</v>
      </c>
      <c r="E63" s="95" t="s">
        <v>1215</v>
      </c>
      <c r="F63" s="95">
        <v>2.0</v>
      </c>
      <c r="G63" s="95">
        <v>4297.74</v>
      </c>
      <c r="H63" s="95" t="s">
        <v>180</v>
      </c>
      <c r="I63" s="95" t="s">
        <v>1216</v>
      </c>
      <c r="J63" s="95">
        <v>4297.74</v>
      </c>
      <c r="K63" s="95">
        <v>44628.0</v>
      </c>
      <c r="L63" s="95">
        <v>1700.0</v>
      </c>
      <c r="M63" s="95">
        <v>4.500386115E9</v>
      </c>
      <c r="O63" s="95">
        <v>44627.0</v>
      </c>
    </row>
    <row r="64" ht="14.25" hidden="1" customHeight="1">
      <c r="B64" s="95">
        <v>44601.0</v>
      </c>
      <c r="C64" s="95">
        <v>1728.0</v>
      </c>
      <c r="D64" s="95" t="s">
        <v>1217</v>
      </c>
      <c r="E64" s="95" t="s">
        <v>1218</v>
      </c>
      <c r="F64" s="95">
        <v>120.0</v>
      </c>
      <c r="G64" s="95">
        <v>3756.0</v>
      </c>
      <c r="H64" s="95" t="s">
        <v>180</v>
      </c>
      <c r="J64" s="95">
        <v>3756.0</v>
      </c>
      <c r="K64" s="95">
        <v>44607.0</v>
      </c>
      <c r="L64" s="95">
        <v>1690.0</v>
      </c>
      <c r="M64" s="95">
        <v>2.022000337E9</v>
      </c>
    </row>
    <row r="65" ht="14.25" hidden="1" customHeight="1">
      <c r="B65" s="95">
        <v>44601.0</v>
      </c>
      <c r="C65" s="95">
        <v>1728.0</v>
      </c>
      <c r="D65" s="95" t="s">
        <v>1217</v>
      </c>
      <c r="E65" s="95" t="s">
        <v>1219</v>
      </c>
      <c r="F65" s="95">
        <v>100.0</v>
      </c>
      <c r="G65" s="95">
        <v>1348.0</v>
      </c>
      <c r="H65" s="95" t="s">
        <v>180</v>
      </c>
      <c r="I65" s="95" t="s">
        <v>1220</v>
      </c>
      <c r="J65" s="95">
        <v>1348.0</v>
      </c>
      <c r="K65" s="95">
        <v>44607.0</v>
      </c>
      <c r="L65" s="95">
        <v>1690.0</v>
      </c>
      <c r="M65" s="95">
        <v>2.022000337E9</v>
      </c>
    </row>
    <row r="66" ht="14.25" hidden="1" customHeight="1">
      <c r="B66" s="95">
        <v>44601.0</v>
      </c>
      <c r="C66" s="95">
        <v>1728.0</v>
      </c>
      <c r="D66" s="95" t="s">
        <v>1217</v>
      </c>
      <c r="E66" s="95" t="s">
        <v>1221</v>
      </c>
      <c r="F66" s="95">
        <v>100.0</v>
      </c>
      <c r="G66" s="95">
        <v>2696.0</v>
      </c>
      <c r="H66" s="95" t="s">
        <v>180</v>
      </c>
      <c r="J66" s="95">
        <v>2696.0</v>
      </c>
      <c r="K66" s="95">
        <v>44607.0</v>
      </c>
      <c r="L66" s="95">
        <v>1690.0</v>
      </c>
      <c r="M66" s="95">
        <v>2.022000337E9</v>
      </c>
    </row>
    <row r="67" ht="14.25" hidden="1" customHeight="1">
      <c r="B67" s="95">
        <v>44601.0</v>
      </c>
      <c r="C67" s="95">
        <v>1736.0</v>
      </c>
      <c r="D67" s="95" t="s">
        <v>1222</v>
      </c>
      <c r="E67" s="95" t="s">
        <v>1223</v>
      </c>
      <c r="F67" s="95">
        <v>10.0</v>
      </c>
      <c r="H67" s="95" t="s">
        <v>167</v>
      </c>
      <c r="I67" s="95" t="s">
        <v>1224</v>
      </c>
    </row>
    <row r="68" ht="14.25" hidden="1" customHeight="1">
      <c r="B68" s="95">
        <v>44601.0</v>
      </c>
      <c r="C68" s="95">
        <v>1736.0</v>
      </c>
      <c r="D68" s="95" t="s">
        <v>1222</v>
      </c>
      <c r="E68" s="95" t="s">
        <v>1225</v>
      </c>
      <c r="F68" s="95">
        <v>10.0</v>
      </c>
      <c r="H68" s="95" t="s">
        <v>167</v>
      </c>
    </row>
    <row r="69" ht="14.25" hidden="1" customHeight="1">
      <c r="B69" s="95">
        <v>44601.0</v>
      </c>
      <c r="C69" s="95">
        <v>1736.0</v>
      </c>
      <c r="D69" s="95" t="s">
        <v>1222</v>
      </c>
      <c r="E69" s="95" t="s">
        <v>1226</v>
      </c>
      <c r="F69" s="95">
        <v>10.0</v>
      </c>
      <c r="H69" s="95" t="s">
        <v>167</v>
      </c>
    </row>
    <row r="70" ht="14.25" hidden="1" customHeight="1">
      <c r="B70" s="95">
        <v>44601.0</v>
      </c>
      <c r="C70" s="95">
        <v>1736.0</v>
      </c>
      <c r="D70" s="95" t="s">
        <v>1222</v>
      </c>
      <c r="E70" s="95" t="s">
        <v>1227</v>
      </c>
      <c r="F70" s="95">
        <v>10.0</v>
      </c>
      <c r="H70" s="95" t="s">
        <v>167</v>
      </c>
    </row>
    <row r="71" ht="14.25" hidden="1" customHeight="1">
      <c r="B71" s="95">
        <v>44601.0</v>
      </c>
      <c r="C71" s="95">
        <v>1736.0</v>
      </c>
      <c r="D71" s="95" t="s">
        <v>1222</v>
      </c>
      <c r="E71" s="95" t="s">
        <v>1228</v>
      </c>
      <c r="F71" s="95">
        <v>10.0</v>
      </c>
      <c r="H71" s="95" t="s">
        <v>167</v>
      </c>
    </row>
    <row r="72" ht="14.25" hidden="1" customHeight="1">
      <c r="B72" s="95">
        <v>44601.0</v>
      </c>
      <c r="C72" s="95">
        <v>1736.0</v>
      </c>
      <c r="D72" s="95" t="s">
        <v>1222</v>
      </c>
      <c r="E72" s="95" t="s">
        <v>1229</v>
      </c>
      <c r="F72" s="95">
        <v>10.0</v>
      </c>
      <c r="H72" s="95" t="s">
        <v>167</v>
      </c>
    </row>
    <row r="73" ht="14.25" hidden="1" customHeight="1">
      <c r="B73" s="95">
        <v>44601.0</v>
      </c>
      <c r="C73" s="95">
        <v>1736.0</v>
      </c>
      <c r="D73" s="95" t="s">
        <v>1222</v>
      </c>
      <c r="E73" s="95" t="s">
        <v>1230</v>
      </c>
      <c r="F73" s="95">
        <v>10.0</v>
      </c>
      <c r="H73" s="95" t="s">
        <v>167</v>
      </c>
    </row>
    <row r="74" ht="14.25" hidden="1" customHeight="1">
      <c r="B74" s="95">
        <v>44601.0</v>
      </c>
      <c r="C74" s="95">
        <v>1736.0</v>
      </c>
      <c r="D74" s="95" t="s">
        <v>1222</v>
      </c>
      <c r="E74" s="95" t="s">
        <v>1231</v>
      </c>
      <c r="F74" s="95">
        <v>10.0</v>
      </c>
      <c r="H74" s="95" t="s">
        <v>167</v>
      </c>
    </row>
    <row r="75" ht="14.25" hidden="1" customHeight="1">
      <c r="B75" s="95">
        <v>44601.0</v>
      </c>
      <c r="C75" s="95">
        <v>1736.0</v>
      </c>
      <c r="D75" s="95" t="s">
        <v>1222</v>
      </c>
      <c r="E75" s="95" t="s">
        <v>1232</v>
      </c>
      <c r="F75" s="95">
        <v>10.0</v>
      </c>
      <c r="H75" s="95" t="s">
        <v>167</v>
      </c>
    </row>
    <row r="76" ht="14.25" hidden="1" customHeight="1">
      <c r="B76" s="95">
        <v>44601.0</v>
      </c>
      <c r="C76" s="95">
        <v>1736.0</v>
      </c>
      <c r="D76" s="95" t="s">
        <v>1222</v>
      </c>
      <c r="E76" s="95" t="s">
        <v>1233</v>
      </c>
      <c r="F76" s="95">
        <v>10.0</v>
      </c>
      <c r="H76" s="95" t="s">
        <v>167</v>
      </c>
    </row>
    <row r="77" ht="14.25" hidden="1" customHeight="1">
      <c r="B77" s="95">
        <v>44601.0</v>
      </c>
      <c r="C77" s="95">
        <v>1736.0</v>
      </c>
      <c r="D77" s="95" t="s">
        <v>1222</v>
      </c>
      <c r="E77" s="95" t="s">
        <v>1234</v>
      </c>
      <c r="F77" s="95">
        <v>10.0</v>
      </c>
      <c r="H77" s="95" t="s">
        <v>167</v>
      </c>
    </row>
    <row r="78" ht="14.25" hidden="1" customHeight="1">
      <c r="B78" s="95">
        <v>44601.0</v>
      </c>
      <c r="C78" s="95">
        <v>1729.0</v>
      </c>
      <c r="D78" s="95" t="s">
        <v>188</v>
      </c>
      <c r="E78" s="95" t="s">
        <v>1142</v>
      </c>
      <c r="F78" s="95">
        <v>1.0</v>
      </c>
      <c r="G78" s="95">
        <v>6019.19</v>
      </c>
      <c r="H78" s="95" t="s">
        <v>180</v>
      </c>
      <c r="J78" s="95">
        <v>6019.19</v>
      </c>
      <c r="K78" s="95">
        <v>44757.0</v>
      </c>
      <c r="L78" s="95">
        <v>1867.0</v>
      </c>
      <c r="M78" s="95">
        <v>5.201998134E9</v>
      </c>
      <c r="N78" s="95">
        <v>44646.0</v>
      </c>
      <c r="O78" s="95">
        <v>44803.0</v>
      </c>
    </row>
    <row r="79" ht="14.25" hidden="1" customHeight="1">
      <c r="B79" s="95">
        <v>44601.0</v>
      </c>
      <c r="C79" s="95">
        <v>1730.0</v>
      </c>
      <c r="D79" s="95" t="s">
        <v>188</v>
      </c>
      <c r="E79" s="95" t="s">
        <v>852</v>
      </c>
      <c r="F79" s="95">
        <v>4.0</v>
      </c>
      <c r="G79" s="95">
        <v>2866.9</v>
      </c>
      <c r="H79" s="95" t="s">
        <v>167</v>
      </c>
    </row>
    <row r="80" ht="14.25" hidden="1" customHeight="1">
      <c r="B80" s="95">
        <v>44601.0</v>
      </c>
      <c r="C80" s="95">
        <v>1732.0</v>
      </c>
      <c r="D80" s="95" t="s">
        <v>159</v>
      </c>
      <c r="E80" s="95" t="s">
        <v>1235</v>
      </c>
      <c r="F80" s="95">
        <v>1.0</v>
      </c>
      <c r="G80" s="95">
        <v>4506.39</v>
      </c>
      <c r="H80" s="95" t="s">
        <v>167</v>
      </c>
    </row>
    <row r="81" ht="14.25" hidden="1" customHeight="1">
      <c r="B81" s="95">
        <v>44603.0</v>
      </c>
      <c r="C81" s="95">
        <v>1776.0</v>
      </c>
      <c r="D81" s="95" t="s">
        <v>19</v>
      </c>
      <c r="E81" s="95" t="s">
        <v>1236</v>
      </c>
      <c r="F81" s="95">
        <v>2.0</v>
      </c>
      <c r="G81" s="95">
        <v>13201.0</v>
      </c>
      <c r="H81" s="95" t="s">
        <v>167</v>
      </c>
    </row>
    <row r="82" ht="14.25" hidden="1" customHeight="1">
      <c r="B82" s="95">
        <v>44606.0</v>
      </c>
      <c r="C82" s="95">
        <v>1752.0</v>
      </c>
      <c r="D82" s="95" t="s">
        <v>1132</v>
      </c>
      <c r="E82" s="95" t="s">
        <v>1237</v>
      </c>
      <c r="F82" s="95">
        <v>3.0</v>
      </c>
      <c r="G82" s="95">
        <v>17494.67</v>
      </c>
      <c r="H82" s="95" t="s">
        <v>167</v>
      </c>
      <c r="I82" s="95" t="s">
        <v>1238</v>
      </c>
    </row>
    <row r="83" ht="14.25" hidden="1" customHeight="1">
      <c r="B83" s="95">
        <v>44606.0</v>
      </c>
      <c r="C83" s="95">
        <v>1752.0</v>
      </c>
      <c r="D83" s="95" t="s">
        <v>1132</v>
      </c>
      <c r="E83" s="95" t="s">
        <v>1239</v>
      </c>
      <c r="F83" s="95">
        <v>1.0</v>
      </c>
      <c r="G83" s="95">
        <v>1681.23</v>
      </c>
      <c r="H83" s="95" t="s">
        <v>167</v>
      </c>
    </row>
    <row r="84" ht="14.25" hidden="1" customHeight="1">
      <c r="B84" s="95">
        <v>44606.0</v>
      </c>
      <c r="C84" s="95">
        <v>1752.0</v>
      </c>
      <c r="D84" s="95" t="s">
        <v>1132</v>
      </c>
      <c r="E84" s="95" t="s">
        <v>1240</v>
      </c>
      <c r="F84" s="95">
        <v>20.0</v>
      </c>
      <c r="G84" s="95">
        <v>850.92</v>
      </c>
      <c r="H84" s="95" t="s">
        <v>167</v>
      </c>
    </row>
    <row r="85" ht="14.25" hidden="1" customHeight="1">
      <c r="B85" s="95">
        <v>44606.0</v>
      </c>
      <c r="C85" s="95">
        <v>1752.0</v>
      </c>
      <c r="D85" s="95" t="s">
        <v>1132</v>
      </c>
      <c r="E85" s="95" t="s">
        <v>1241</v>
      </c>
      <c r="F85" s="95">
        <v>36.0</v>
      </c>
      <c r="G85" s="95">
        <v>396.03</v>
      </c>
      <c r="H85" s="95" t="s">
        <v>167</v>
      </c>
    </row>
    <row r="86" ht="14.25" hidden="1" customHeight="1">
      <c r="B86" s="95">
        <v>44606.0</v>
      </c>
      <c r="C86" s="95">
        <v>1752.0</v>
      </c>
      <c r="D86" s="95" t="s">
        <v>1132</v>
      </c>
      <c r="E86" s="95" t="s">
        <v>1242</v>
      </c>
      <c r="F86" s="95">
        <v>6.0</v>
      </c>
      <c r="G86" s="95">
        <v>3665.4</v>
      </c>
      <c r="H86" s="95" t="s">
        <v>167</v>
      </c>
    </row>
    <row r="87" ht="14.25" hidden="1" customHeight="1">
      <c r="B87" s="95">
        <v>44606.0</v>
      </c>
      <c r="C87" s="95">
        <v>1752.0</v>
      </c>
      <c r="D87" s="95" t="s">
        <v>1132</v>
      </c>
      <c r="E87" s="95" t="s">
        <v>1243</v>
      </c>
      <c r="F87" s="95">
        <v>10.0</v>
      </c>
      <c r="G87" s="95">
        <v>13150.47</v>
      </c>
      <c r="H87" s="95" t="s">
        <v>167</v>
      </c>
    </row>
    <row r="88" ht="14.25" hidden="1" customHeight="1">
      <c r="B88" s="95">
        <v>44606.0</v>
      </c>
      <c r="C88" s="95">
        <v>1752.0</v>
      </c>
      <c r="D88" s="95" t="s">
        <v>1132</v>
      </c>
      <c r="E88" s="95" t="s">
        <v>1244</v>
      </c>
      <c r="F88" s="95">
        <v>2.0</v>
      </c>
      <c r="G88" s="95">
        <v>1317.31</v>
      </c>
      <c r="H88" s="95" t="s">
        <v>167</v>
      </c>
    </row>
    <row r="89" ht="14.25" hidden="1" customHeight="1">
      <c r="B89" s="95">
        <v>44606.0</v>
      </c>
      <c r="C89" s="95">
        <v>1740.0</v>
      </c>
      <c r="D89" s="95" t="s">
        <v>1245</v>
      </c>
      <c r="E89" s="95" t="s">
        <v>1246</v>
      </c>
      <c r="F89" s="95">
        <v>1.0</v>
      </c>
      <c r="G89" s="95">
        <v>115.88</v>
      </c>
      <c r="H89" s="95" t="s">
        <v>167</v>
      </c>
      <c r="I89" s="95" t="s">
        <v>1247</v>
      </c>
    </row>
    <row r="90" ht="14.25" hidden="1" customHeight="1">
      <c r="B90" s="95">
        <v>44606.0</v>
      </c>
      <c r="C90" s="95">
        <v>1740.0</v>
      </c>
      <c r="D90" s="95" t="s">
        <v>1245</v>
      </c>
      <c r="E90" s="95" t="s">
        <v>1248</v>
      </c>
      <c r="F90" s="95">
        <v>1.0</v>
      </c>
      <c r="G90" s="95">
        <v>52.56</v>
      </c>
      <c r="H90" s="95" t="s">
        <v>167</v>
      </c>
    </row>
    <row r="91" ht="14.25" hidden="1" customHeight="1">
      <c r="B91" s="95">
        <v>44606.0</v>
      </c>
      <c r="C91" s="95">
        <v>1740.0</v>
      </c>
      <c r="D91" s="95" t="s">
        <v>1245</v>
      </c>
      <c r="E91" s="95" t="s">
        <v>1249</v>
      </c>
      <c r="F91" s="95">
        <v>1.0</v>
      </c>
      <c r="G91" s="95">
        <v>112.3</v>
      </c>
      <c r="H91" s="95" t="s">
        <v>167</v>
      </c>
    </row>
    <row r="92" ht="14.25" hidden="1" customHeight="1">
      <c r="B92" s="95">
        <v>44606.0</v>
      </c>
      <c r="D92" s="95" t="s">
        <v>188</v>
      </c>
      <c r="E92" s="95" t="s">
        <v>1250</v>
      </c>
      <c r="F92" s="95">
        <v>4.0</v>
      </c>
      <c r="H92" s="95" t="s">
        <v>241</v>
      </c>
    </row>
    <row r="93" ht="14.25" hidden="1" customHeight="1">
      <c r="B93" s="95">
        <v>44608.0</v>
      </c>
      <c r="C93" s="95">
        <v>1742.0</v>
      </c>
      <c r="D93" s="95" t="s">
        <v>1217</v>
      </c>
      <c r="E93" s="95" t="s">
        <v>1218</v>
      </c>
      <c r="F93" s="95">
        <v>350.0</v>
      </c>
      <c r="G93" s="95">
        <v>11294.5</v>
      </c>
      <c r="H93" s="95" t="s">
        <v>167</v>
      </c>
    </row>
    <row r="94" ht="14.25" hidden="1" customHeight="1">
      <c r="B94" s="95">
        <v>44613.0</v>
      </c>
      <c r="C94" s="95">
        <v>1755.0</v>
      </c>
      <c r="D94" s="95" t="s">
        <v>19</v>
      </c>
      <c r="E94" s="95" t="s">
        <v>1251</v>
      </c>
      <c r="F94" s="95">
        <v>2.0</v>
      </c>
      <c r="G94" s="95">
        <v>9750.94</v>
      </c>
      <c r="H94" s="95" t="s">
        <v>180</v>
      </c>
      <c r="J94" s="95">
        <v>9750.94</v>
      </c>
      <c r="K94" s="95">
        <v>44636.0</v>
      </c>
      <c r="L94" s="95">
        <v>1716.0</v>
      </c>
      <c r="M94" s="95">
        <v>4.500388041E9</v>
      </c>
      <c r="O94" s="95">
        <v>44667.0</v>
      </c>
    </row>
    <row r="95" ht="14.25" hidden="1" customHeight="1">
      <c r="B95" s="95">
        <v>44613.0</v>
      </c>
      <c r="C95" s="95">
        <v>1756.0</v>
      </c>
      <c r="D95" s="95" t="s">
        <v>19</v>
      </c>
      <c r="E95" s="95" t="s">
        <v>1252</v>
      </c>
      <c r="F95" s="95">
        <v>4.0</v>
      </c>
      <c r="G95" s="95">
        <v>4381.32</v>
      </c>
      <c r="H95" s="95" t="s">
        <v>180</v>
      </c>
      <c r="I95" s="95" t="s">
        <v>1253</v>
      </c>
      <c r="J95" s="95">
        <v>4381.32</v>
      </c>
      <c r="K95" s="95">
        <v>44628.0</v>
      </c>
      <c r="L95" s="95">
        <v>1701.0</v>
      </c>
      <c r="M95" s="95">
        <v>4.500387459E9</v>
      </c>
      <c r="N95" s="95">
        <v>44630.0</v>
      </c>
      <c r="O95" s="95">
        <v>44658.0</v>
      </c>
    </row>
    <row r="96" ht="14.25" hidden="1" customHeight="1">
      <c r="B96" s="95">
        <v>44613.0</v>
      </c>
      <c r="C96" s="95">
        <v>1778.0</v>
      </c>
      <c r="D96" s="95" t="s">
        <v>19</v>
      </c>
      <c r="E96" s="95" t="s">
        <v>1254</v>
      </c>
      <c r="F96" s="95">
        <v>4.0</v>
      </c>
      <c r="G96" s="95">
        <v>8374.6</v>
      </c>
      <c r="H96" s="95" t="s">
        <v>167</v>
      </c>
    </row>
    <row r="97" ht="14.25" hidden="1" customHeight="1">
      <c r="B97" s="95">
        <v>44613.0</v>
      </c>
      <c r="C97" s="95" t="s">
        <v>1255</v>
      </c>
      <c r="D97" s="95" t="s">
        <v>19</v>
      </c>
      <c r="E97" s="95" t="s">
        <v>1256</v>
      </c>
      <c r="F97" s="95">
        <v>5.0</v>
      </c>
      <c r="G97" s="95">
        <v>1208.38</v>
      </c>
      <c r="H97" s="95" t="s">
        <v>180</v>
      </c>
      <c r="I97" s="95" t="s">
        <v>1257</v>
      </c>
      <c r="J97" s="95">
        <v>1208.38</v>
      </c>
      <c r="K97" s="95">
        <v>44692.0</v>
      </c>
      <c r="L97" s="95">
        <v>1801.0</v>
      </c>
      <c r="M97" s="95">
        <v>4.500386769E9</v>
      </c>
      <c r="N97" s="95">
        <v>44688.0</v>
      </c>
      <c r="O97" s="95">
        <v>44723.0</v>
      </c>
    </row>
    <row r="98" ht="14.25" hidden="1" customHeight="1">
      <c r="B98" s="95">
        <v>44613.0</v>
      </c>
      <c r="C98" s="95">
        <v>1758.0</v>
      </c>
      <c r="D98" s="95" t="s">
        <v>19</v>
      </c>
      <c r="E98" s="95" t="s">
        <v>1258</v>
      </c>
      <c r="F98" s="95">
        <v>10.0</v>
      </c>
      <c r="G98" s="95">
        <v>9768.2</v>
      </c>
      <c r="H98" s="95" t="s">
        <v>167</v>
      </c>
    </row>
    <row r="99" ht="14.25" hidden="1" customHeight="1">
      <c r="B99" s="95">
        <v>44613.0</v>
      </c>
      <c r="C99" s="95">
        <v>1758.0</v>
      </c>
      <c r="D99" s="95" t="s">
        <v>19</v>
      </c>
      <c r="E99" s="95" t="s">
        <v>1259</v>
      </c>
      <c r="F99" s="95">
        <v>10.0</v>
      </c>
      <c r="G99" s="95">
        <v>2921.98</v>
      </c>
      <c r="H99" s="95" t="s">
        <v>241</v>
      </c>
    </row>
    <row r="100" ht="14.25" hidden="1" customHeight="1">
      <c r="B100" s="95">
        <v>44613.0</v>
      </c>
      <c r="C100" s="95">
        <v>1758.0</v>
      </c>
      <c r="D100" s="95" t="s">
        <v>19</v>
      </c>
      <c r="E100" s="95" t="s">
        <v>1260</v>
      </c>
      <c r="F100" s="95">
        <v>3.0</v>
      </c>
      <c r="G100" s="95">
        <v>1556.74</v>
      </c>
      <c r="H100" s="95" t="s">
        <v>241</v>
      </c>
    </row>
    <row r="101" ht="14.25" hidden="1" customHeight="1">
      <c r="B101" s="95">
        <v>44613.0</v>
      </c>
      <c r="C101" s="95">
        <v>1758.0</v>
      </c>
      <c r="D101" s="95" t="s">
        <v>19</v>
      </c>
      <c r="E101" s="95" t="s">
        <v>1261</v>
      </c>
      <c r="F101" s="95">
        <v>5.0</v>
      </c>
      <c r="G101" s="95">
        <v>3415.71</v>
      </c>
      <c r="H101" s="95" t="s">
        <v>241</v>
      </c>
      <c r="K101" s="95" t="s">
        <v>1262</v>
      </c>
    </row>
    <row r="102" ht="14.25" hidden="1" customHeight="1">
      <c r="B102" s="95">
        <v>44614.0</v>
      </c>
      <c r="C102" s="95">
        <v>1760.0</v>
      </c>
      <c r="D102" s="95" t="s">
        <v>188</v>
      </c>
      <c r="E102" s="95" t="s">
        <v>1263</v>
      </c>
      <c r="F102" s="95">
        <v>2.0</v>
      </c>
      <c r="G102" s="95">
        <v>2854.94</v>
      </c>
      <c r="H102" s="95" t="s">
        <v>21</v>
      </c>
      <c r="J102" s="95">
        <v>2854.94</v>
      </c>
      <c r="K102" s="95">
        <v>44630.0</v>
      </c>
      <c r="L102" s="95">
        <v>1704.0</v>
      </c>
      <c r="M102" s="95">
        <v>5.202005094E9</v>
      </c>
      <c r="N102" s="95">
        <v>44628.0</v>
      </c>
      <c r="O102" s="95">
        <v>44669.0</v>
      </c>
    </row>
    <row r="103" ht="14.25" hidden="1" customHeight="1">
      <c r="B103" s="95">
        <v>44614.0</v>
      </c>
      <c r="C103" s="95">
        <v>1762.0</v>
      </c>
      <c r="D103" s="95" t="s">
        <v>707</v>
      </c>
      <c r="E103" s="95" t="s">
        <v>1264</v>
      </c>
      <c r="F103" s="95">
        <v>1.0</v>
      </c>
      <c r="G103" s="95">
        <v>634.42</v>
      </c>
      <c r="H103" s="95" t="s">
        <v>167</v>
      </c>
    </row>
    <row r="104" ht="14.25" hidden="1" customHeight="1">
      <c r="B104" s="95">
        <v>44615.0</v>
      </c>
      <c r="C104" s="95">
        <v>1765.0</v>
      </c>
      <c r="D104" s="95" t="s">
        <v>188</v>
      </c>
      <c r="E104" s="95" t="s">
        <v>869</v>
      </c>
      <c r="F104" s="95">
        <v>55.0</v>
      </c>
      <c r="G104" s="95">
        <v>66982.07</v>
      </c>
      <c r="H104" s="95" t="s">
        <v>167</v>
      </c>
      <c r="I104" s="95" t="s">
        <v>1265</v>
      </c>
    </row>
    <row r="105" ht="14.25" hidden="1" customHeight="1">
      <c r="B105" s="95">
        <v>44615.0</v>
      </c>
      <c r="C105" s="95">
        <v>1765.0</v>
      </c>
      <c r="D105" s="95" t="s">
        <v>188</v>
      </c>
      <c r="E105" s="95" t="s">
        <v>1266</v>
      </c>
      <c r="F105" s="95">
        <v>13.0</v>
      </c>
      <c r="G105" s="95">
        <v>28220.33</v>
      </c>
      <c r="H105" s="95" t="s">
        <v>167</v>
      </c>
    </row>
    <row r="106" ht="14.25" hidden="1" customHeight="1">
      <c r="B106" s="95">
        <v>44615.0</v>
      </c>
      <c r="C106" s="95">
        <v>1771.0</v>
      </c>
      <c r="D106" s="95" t="s">
        <v>1267</v>
      </c>
      <c r="E106" s="95" t="s">
        <v>1268</v>
      </c>
      <c r="F106" s="95">
        <v>2.0</v>
      </c>
      <c r="G106" s="95">
        <v>2885.23</v>
      </c>
      <c r="H106" s="95" t="s">
        <v>180</v>
      </c>
      <c r="J106" s="95">
        <v>2885.23</v>
      </c>
      <c r="K106" s="95">
        <v>44788.0</v>
      </c>
      <c r="L106" s="95">
        <v>1903.0</v>
      </c>
      <c r="M106" s="95">
        <v>114262.0</v>
      </c>
      <c r="N106" s="95">
        <v>44715.0</v>
      </c>
      <c r="O106" s="95">
        <v>44819.0</v>
      </c>
    </row>
    <row r="107" ht="14.25" hidden="1" customHeight="1">
      <c r="B107" s="95">
        <v>44615.0</v>
      </c>
      <c r="C107" s="95">
        <v>1779.0</v>
      </c>
      <c r="D107" s="95" t="s">
        <v>1269</v>
      </c>
      <c r="E107" s="95" t="s">
        <v>1270</v>
      </c>
      <c r="F107" s="95">
        <v>5.0</v>
      </c>
      <c r="H107" s="95" t="s">
        <v>167</v>
      </c>
      <c r="I107" s="95" t="s">
        <v>1271</v>
      </c>
    </row>
    <row r="108" ht="14.25" hidden="1" customHeight="1">
      <c r="B108" s="95">
        <v>44615.0</v>
      </c>
      <c r="C108" s="95">
        <v>1779.0</v>
      </c>
      <c r="D108" s="95" t="s">
        <v>1269</v>
      </c>
      <c r="E108" s="95" t="s">
        <v>1272</v>
      </c>
      <c r="F108" s="95">
        <v>5.0</v>
      </c>
      <c r="H108" s="95" t="s">
        <v>167</v>
      </c>
    </row>
    <row r="109" ht="14.25" hidden="1" customHeight="1">
      <c r="B109" s="95">
        <v>44615.0</v>
      </c>
      <c r="C109" s="95">
        <v>1766.0</v>
      </c>
      <c r="D109" s="95" t="s">
        <v>44</v>
      </c>
      <c r="E109" s="95" t="s">
        <v>1273</v>
      </c>
      <c r="F109" s="95">
        <v>100.0</v>
      </c>
      <c r="G109" s="95">
        <v>3227.0</v>
      </c>
      <c r="H109" s="95" t="s">
        <v>167</v>
      </c>
    </row>
    <row r="110" ht="14.25" hidden="1" customHeight="1">
      <c r="B110" s="95">
        <v>44617.0</v>
      </c>
      <c r="C110" s="95">
        <v>1809.0</v>
      </c>
      <c r="D110" s="95" t="s">
        <v>1274</v>
      </c>
      <c r="E110" s="95" t="s">
        <v>1275</v>
      </c>
      <c r="H110" s="95" t="s">
        <v>167</v>
      </c>
      <c r="I110" s="95" t="s">
        <v>1276</v>
      </c>
    </row>
    <row r="111" ht="14.25" hidden="1" customHeight="1"/>
    <row r="112" ht="14.25" hidden="1" customHeight="1">
      <c r="B112" s="95">
        <v>44623.0</v>
      </c>
      <c r="C112" s="95">
        <v>1781.0</v>
      </c>
      <c r="D112" s="95" t="s">
        <v>19</v>
      </c>
      <c r="E112" s="95" t="s">
        <v>1277</v>
      </c>
      <c r="F112" s="95">
        <v>5.0</v>
      </c>
      <c r="G112" s="95">
        <v>1386.2</v>
      </c>
      <c r="H112" s="95" t="s">
        <v>180</v>
      </c>
      <c r="J112" s="95">
        <v>1386.2</v>
      </c>
      <c r="K112" s="95">
        <v>44663.0</v>
      </c>
      <c r="L112" s="95">
        <v>1766.0</v>
      </c>
      <c r="M112" s="95">
        <v>4.500388045E9</v>
      </c>
      <c r="N112" s="95">
        <v>44651.0</v>
      </c>
      <c r="O112" s="95">
        <v>44693.0</v>
      </c>
    </row>
    <row r="113" ht="14.25" hidden="1" customHeight="1">
      <c r="B113" s="95">
        <v>44627.0</v>
      </c>
      <c r="C113" s="95">
        <v>1783.0</v>
      </c>
      <c r="D113" s="95" t="s">
        <v>44</v>
      </c>
      <c r="E113" s="95" t="s">
        <v>261</v>
      </c>
      <c r="F113" s="95">
        <v>1.0</v>
      </c>
      <c r="G113" s="95">
        <v>1770.45</v>
      </c>
      <c r="H113" s="95" t="s">
        <v>167</v>
      </c>
    </row>
    <row r="114" ht="14.25" hidden="1" customHeight="1">
      <c r="B114" s="95">
        <v>44627.0</v>
      </c>
      <c r="C114" s="95">
        <v>1783.0</v>
      </c>
      <c r="D114" s="95" t="s">
        <v>44</v>
      </c>
      <c r="E114" s="95" t="s">
        <v>221</v>
      </c>
      <c r="F114" s="95">
        <v>2.0</v>
      </c>
      <c r="G114" s="95">
        <v>2122.44</v>
      </c>
      <c r="H114" s="95" t="s">
        <v>167</v>
      </c>
    </row>
    <row r="115" ht="14.25" hidden="1" customHeight="1">
      <c r="B115" s="95">
        <v>44627.0</v>
      </c>
      <c r="C115" s="95">
        <v>1791.0</v>
      </c>
      <c r="D115" s="95" t="s">
        <v>19</v>
      </c>
      <c r="E115" s="95" t="s">
        <v>1278</v>
      </c>
      <c r="F115" s="95">
        <v>1.0</v>
      </c>
      <c r="G115" s="95">
        <v>3336.48</v>
      </c>
      <c r="H115" s="95" t="s">
        <v>167</v>
      </c>
    </row>
    <row r="116" ht="14.25" hidden="1" customHeight="1">
      <c r="B116" s="95">
        <v>44627.0</v>
      </c>
      <c r="C116" s="95">
        <v>1785.0</v>
      </c>
      <c r="D116" s="95" t="s">
        <v>19</v>
      </c>
      <c r="E116" s="95" t="s">
        <v>1279</v>
      </c>
      <c r="F116" s="95">
        <v>100.0</v>
      </c>
      <c r="G116" s="95">
        <v>320.0</v>
      </c>
      <c r="H116" s="95" t="s">
        <v>180</v>
      </c>
      <c r="J116" s="95">
        <v>320.0</v>
      </c>
      <c r="K116" s="95">
        <v>44636.0</v>
      </c>
      <c r="L116" s="95">
        <v>1717.0</v>
      </c>
      <c r="M116" s="95">
        <v>4.500388253E9</v>
      </c>
      <c r="O116" s="95">
        <v>44667.0</v>
      </c>
    </row>
    <row r="117" ht="14.25" hidden="1" customHeight="1">
      <c r="B117" s="95">
        <v>44627.0</v>
      </c>
      <c r="D117" s="95" t="s">
        <v>19</v>
      </c>
      <c r="E117" s="95" t="s">
        <v>1280</v>
      </c>
      <c r="F117" s="95">
        <v>6.0</v>
      </c>
      <c r="H117" s="95" t="s">
        <v>1281</v>
      </c>
      <c r="I117" s="95" t="s">
        <v>1282</v>
      </c>
    </row>
    <row r="118" ht="14.25" hidden="1" customHeight="1">
      <c r="B118" s="95">
        <v>44627.0</v>
      </c>
      <c r="C118" s="95">
        <v>1786.0</v>
      </c>
      <c r="D118" s="95" t="s">
        <v>188</v>
      </c>
      <c r="E118" s="95" t="s">
        <v>1081</v>
      </c>
      <c r="F118" s="95">
        <v>1.0</v>
      </c>
      <c r="G118" s="95">
        <v>14288.44</v>
      </c>
      <c r="H118" s="95" t="s">
        <v>167</v>
      </c>
    </row>
    <row r="119" ht="14.25" hidden="1" customHeight="1">
      <c r="B119" s="95">
        <v>44628.0</v>
      </c>
      <c r="C119" s="95">
        <v>1787.0</v>
      </c>
      <c r="D119" s="95" t="s">
        <v>1283</v>
      </c>
      <c r="E119" s="95" t="s">
        <v>1284</v>
      </c>
      <c r="F119" s="95">
        <v>4.0</v>
      </c>
      <c r="G119" s="95">
        <v>9649.2</v>
      </c>
      <c r="H119" s="95" t="s">
        <v>167</v>
      </c>
    </row>
    <row r="120" ht="14.25" hidden="1" customHeight="1">
      <c r="B120" s="95">
        <v>44628.0</v>
      </c>
      <c r="C120" s="95">
        <v>1787.0</v>
      </c>
      <c r="D120" s="95" t="s">
        <v>1283</v>
      </c>
      <c r="E120" s="95" t="s">
        <v>1052</v>
      </c>
      <c r="F120" s="95">
        <v>4.0</v>
      </c>
      <c r="G120" s="95">
        <v>2614.72</v>
      </c>
      <c r="H120" s="95" t="s">
        <v>167</v>
      </c>
    </row>
    <row r="121" ht="14.25" hidden="1" customHeight="1">
      <c r="B121" s="95">
        <v>44628.0</v>
      </c>
      <c r="C121" s="95">
        <v>1788.0</v>
      </c>
      <c r="D121" s="95" t="s">
        <v>19</v>
      </c>
      <c r="E121" s="95" t="s">
        <v>1285</v>
      </c>
      <c r="F121" s="95">
        <v>1.0</v>
      </c>
      <c r="G121" s="95">
        <v>2829.49</v>
      </c>
      <c r="H121" s="95" t="s">
        <v>180</v>
      </c>
      <c r="J121" s="95">
        <v>2829.49</v>
      </c>
      <c r="K121" s="95">
        <v>44636.0</v>
      </c>
      <c r="L121" s="95">
        <v>1718.0</v>
      </c>
      <c r="M121" s="95">
        <v>4.500388399E9</v>
      </c>
      <c r="O121" s="95">
        <v>44667.0</v>
      </c>
    </row>
    <row r="122" ht="14.25" hidden="1" customHeight="1">
      <c r="B122" s="95">
        <v>44628.0</v>
      </c>
      <c r="C122" s="95">
        <v>1789.0</v>
      </c>
      <c r="D122" s="95" t="s">
        <v>1286</v>
      </c>
      <c r="E122" s="95" t="s">
        <v>1287</v>
      </c>
      <c r="F122" s="95">
        <v>1.0</v>
      </c>
      <c r="H122" s="95" t="s">
        <v>167</v>
      </c>
    </row>
    <row r="123" ht="14.25" hidden="1" customHeight="1">
      <c r="B123" s="95">
        <v>44629.0</v>
      </c>
      <c r="C123" s="95">
        <v>1790.0</v>
      </c>
      <c r="D123" s="95" t="s">
        <v>77</v>
      </c>
      <c r="E123" s="95" t="s">
        <v>1288</v>
      </c>
      <c r="F123" s="95">
        <v>1.0</v>
      </c>
      <c r="G123" s="95">
        <v>9423.87</v>
      </c>
      <c r="H123" s="95" t="s">
        <v>167</v>
      </c>
    </row>
    <row r="124" ht="14.25" hidden="1" customHeight="1">
      <c r="B124" s="95">
        <v>44629.0</v>
      </c>
      <c r="C124" s="95">
        <v>1805.0</v>
      </c>
      <c r="D124" s="95" t="s">
        <v>1289</v>
      </c>
      <c r="E124" s="95" t="s">
        <v>1290</v>
      </c>
      <c r="F124" s="95">
        <v>1.0</v>
      </c>
      <c r="G124" s="95">
        <v>6382.58</v>
      </c>
      <c r="H124" s="95" t="s">
        <v>167</v>
      </c>
    </row>
    <row r="125" ht="14.25" hidden="1" customHeight="1">
      <c r="B125" s="95">
        <v>44629.0</v>
      </c>
      <c r="C125" s="95">
        <v>1799.0</v>
      </c>
      <c r="D125" s="95" t="s">
        <v>19</v>
      </c>
      <c r="E125" s="95" t="s">
        <v>1291</v>
      </c>
      <c r="F125" s="95">
        <v>1.0</v>
      </c>
      <c r="G125" s="95">
        <v>3373.35</v>
      </c>
      <c r="H125" s="95" t="s">
        <v>180</v>
      </c>
      <c r="J125" s="95">
        <v>3373.35</v>
      </c>
      <c r="K125" s="95">
        <v>44642.0</v>
      </c>
      <c r="L125" s="95">
        <v>1721.0</v>
      </c>
      <c r="M125" s="95">
        <v>4.500388558E9</v>
      </c>
      <c r="O125" s="95">
        <v>44673.0</v>
      </c>
    </row>
    <row r="126" ht="14.25" hidden="1" customHeight="1">
      <c r="B126" s="95">
        <v>44629.0</v>
      </c>
      <c r="C126" s="95">
        <v>1800.0</v>
      </c>
      <c r="D126" s="95" t="s">
        <v>1289</v>
      </c>
      <c r="E126" s="95" t="s">
        <v>1292</v>
      </c>
      <c r="F126" s="95">
        <v>2.0</v>
      </c>
      <c r="G126" s="95">
        <v>7837.24</v>
      </c>
      <c r="H126" s="95" t="s">
        <v>167</v>
      </c>
    </row>
    <row r="127" ht="14.25" hidden="1" customHeight="1">
      <c r="B127" s="95">
        <v>44630.0</v>
      </c>
      <c r="D127" s="95" t="s">
        <v>188</v>
      </c>
      <c r="E127" s="95" t="s">
        <v>1293</v>
      </c>
      <c r="F127" s="95">
        <v>3.0</v>
      </c>
      <c r="H127" s="95" t="s">
        <v>1281</v>
      </c>
    </row>
    <row r="128" ht="14.25" hidden="1" customHeight="1">
      <c r="B128" s="95">
        <v>44630.0</v>
      </c>
      <c r="C128" s="95">
        <v>1806.0</v>
      </c>
      <c r="D128" s="95" t="s">
        <v>19</v>
      </c>
      <c r="E128" s="95" t="s">
        <v>1294</v>
      </c>
      <c r="F128" s="95">
        <v>50.0</v>
      </c>
      <c r="G128" s="95">
        <v>1341.5</v>
      </c>
      <c r="H128" s="95" t="s">
        <v>180</v>
      </c>
      <c r="J128" s="95">
        <v>1341.5</v>
      </c>
      <c r="K128" s="95">
        <v>44656.0</v>
      </c>
      <c r="L128" s="95">
        <v>1753.0</v>
      </c>
      <c r="M128" s="95">
        <v>4.500390359E9</v>
      </c>
      <c r="N128" s="95">
        <v>44656.0</v>
      </c>
      <c r="O128" s="95">
        <v>44686.0</v>
      </c>
    </row>
    <row r="129" ht="14.25" hidden="1" customHeight="1">
      <c r="B129" s="95">
        <v>44630.0</v>
      </c>
      <c r="D129" s="95" t="s">
        <v>19</v>
      </c>
      <c r="E129" s="95" t="s">
        <v>1295</v>
      </c>
      <c r="F129" s="95">
        <v>30.0</v>
      </c>
      <c r="H129" s="95" t="s">
        <v>1281</v>
      </c>
    </row>
    <row r="130" ht="14.25" hidden="1" customHeight="1">
      <c r="B130" s="95">
        <v>44630.0</v>
      </c>
      <c r="C130" s="95">
        <v>1810.0</v>
      </c>
      <c r="D130" s="95" t="s">
        <v>19</v>
      </c>
      <c r="E130" s="95" t="s">
        <v>1296</v>
      </c>
      <c r="F130" s="95">
        <v>1.0</v>
      </c>
      <c r="G130" s="95">
        <v>1844.95</v>
      </c>
      <c r="H130" s="95" t="s">
        <v>180</v>
      </c>
      <c r="J130" s="95">
        <v>1844.95</v>
      </c>
      <c r="K130" s="95">
        <v>44747.0</v>
      </c>
      <c r="L130" s="95">
        <v>1856.0</v>
      </c>
      <c r="M130" s="95">
        <v>4.500390769E9</v>
      </c>
      <c r="N130" s="95">
        <v>44657.0</v>
      </c>
      <c r="O130" s="95">
        <v>44778.0</v>
      </c>
    </row>
    <row r="131" ht="14.25" hidden="1" customHeight="1">
      <c r="B131" s="95">
        <v>44630.0</v>
      </c>
      <c r="C131" s="95" t="s">
        <v>1297</v>
      </c>
      <c r="D131" s="95" t="s">
        <v>44</v>
      </c>
      <c r="E131" s="95" t="s">
        <v>778</v>
      </c>
      <c r="F131" s="95">
        <v>2.0</v>
      </c>
      <c r="G131" s="95">
        <v>279.03</v>
      </c>
      <c r="H131" s="95" t="s">
        <v>180</v>
      </c>
      <c r="I131" s="95" t="s">
        <v>1298</v>
      </c>
      <c r="J131" s="95">
        <v>279.02</v>
      </c>
      <c r="K131" s="95">
        <v>44813.0</v>
      </c>
      <c r="L131" s="95">
        <v>1924.0</v>
      </c>
      <c r="M131" s="95">
        <v>4.501515096E9</v>
      </c>
      <c r="N131" s="95">
        <v>44736.0</v>
      </c>
      <c r="O131" s="95">
        <v>44844.0</v>
      </c>
    </row>
    <row r="132" ht="14.25" hidden="1" customHeight="1">
      <c r="B132" s="95">
        <v>44630.0</v>
      </c>
      <c r="C132" s="95" t="s">
        <v>1297</v>
      </c>
      <c r="D132" s="95" t="s">
        <v>44</v>
      </c>
      <c r="E132" s="95" t="s">
        <v>771</v>
      </c>
      <c r="F132" s="95">
        <v>4.0</v>
      </c>
      <c r="G132" s="95">
        <v>197.63</v>
      </c>
      <c r="H132" s="95" t="s">
        <v>180</v>
      </c>
      <c r="J132" s="95">
        <v>197.63</v>
      </c>
      <c r="K132" s="95">
        <v>44813.0</v>
      </c>
      <c r="L132" s="95">
        <v>1924.0</v>
      </c>
      <c r="M132" s="95">
        <v>4.501515096E9</v>
      </c>
      <c r="N132" s="95">
        <v>44736.0</v>
      </c>
      <c r="O132" s="95">
        <v>44844.0</v>
      </c>
    </row>
    <row r="133" ht="14.25" hidden="1" customHeight="1">
      <c r="B133" s="95">
        <v>44630.0</v>
      </c>
      <c r="C133" s="95">
        <v>1816.0</v>
      </c>
      <c r="D133" s="95" t="s">
        <v>44</v>
      </c>
      <c r="E133" s="95" t="s">
        <v>1299</v>
      </c>
      <c r="F133" s="95">
        <v>2.0</v>
      </c>
      <c r="G133" s="95">
        <v>754.93</v>
      </c>
      <c r="H133" s="95" t="s">
        <v>167</v>
      </c>
    </row>
    <row r="134" ht="14.25" hidden="1" customHeight="1">
      <c r="B134" s="95">
        <v>44630.0</v>
      </c>
      <c r="C134" s="95">
        <v>1808.0</v>
      </c>
      <c r="D134" s="95" t="s">
        <v>44</v>
      </c>
      <c r="E134" s="95" t="s">
        <v>1300</v>
      </c>
      <c r="F134" s="95">
        <v>6.0</v>
      </c>
      <c r="G134" s="95">
        <v>3848.07</v>
      </c>
      <c r="H134" s="95" t="s">
        <v>180</v>
      </c>
      <c r="J134" s="95">
        <v>3848.07</v>
      </c>
      <c r="K134" s="95">
        <v>44631.0</v>
      </c>
      <c r="L134" s="95">
        <v>1714.0</v>
      </c>
      <c r="M134" s="95">
        <v>4.501512849E9</v>
      </c>
      <c r="O134" s="95">
        <v>44671.0</v>
      </c>
    </row>
    <row r="135" ht="14.25" hidden="1" customHeight="1">
      <c r="B135" s="95">
        <v>44630.0</v>
      </c>
      <c r="C135" s="95">
        <v>1817.0</v>
      </c>
      <c r="D135" s="95" t="s">
        <v>1301</v>
      </c>
      <c r="E135" s="95" t="s">
        <v>778</v>
      </c>
      <c r="F135" s="95">
        <v>2.0</v>
      </c>
      <c r="G135" s="95">
        <v>279.03</v>
      </c>
      <c r="H135" s="95" t="s">
        <v>167</v>
      </c>
    </row>
    <row r="136" ht="14.25" hidden="1" customHeight="1">
      <c r="B136" s="95">
        <v>44630.0</v>
      </c>
      <c r="C136" s="95">
        <v>1817.0</v>
      </c>
      <c r="D136" s="95" t="s">
        <v>1301</v>
      </c>
      <c r="E136" s="95" t="s">
        <v>771</v>
      </c>
      <c r="F136" s="95">
        <v>4.0</v>
      </c>
      <c r="G136" s="95">
        <v>197.63</v>
      </c>
      <c r="H136" s="95" t="s">
        <v>167</v>
      </c>
    </row>
    <row r="137" ht="14.25" hidden="1" customHeight="1">
      <c r="B137" s="95">
        <v>44630.0</v>
      </c>
      <c r="C137" s="95">
        <v>1829.0</v>
      </c>
      <c r="D137" s="95" t="s">
        <v>44</v>
      </c>
      <c r="E137" s="95" t="s">
        <v>1138</v>
      </c>
      <c r="F137" s="95">
        <v>8.0</v>
      </c>
      <c r="G137" s="95">
        <v>7411.08</v>
      </c>
      <c r="H137" s="95" t="s">
        <v>167</v>
      </c>
    </row>
    <row r="138" ht="14.25" hidden="1" customHeight="1">
      <c r="B138" s="95">
        <v>44630.0</v>
      </c>
      <c r="C138" s="95">
        <v>1815.0</v>
      </c>
      <c r="D138" s="95" t="s">
        <v>19</v>
      </c>
      <c r="E138" s="95" t="s">
        <v>1302</v>
      </c>
      <c r="F138" s="95">
        <v>15.0</v>
      </c>
      <c r="G138" s="95">
        <v>3206.4</v>
      </c>
      <c r="H138" s="95" t="s">
        <v>167</v>
      </c>
    </row>
    <row r="139" ht="14.25" hidden="1" customHeight="1">
      <c r="B139" s="95">
        <v>44631.0</v>
      </c>
      <c r="D139" s="95" t="s">
        <v>188</v>
      </c>
      <c r="E139" s="95" t="s">
        <v>1303</v>
      </c>
      <c r="F139" s="95">
        <v>12.0</v>
      </c>
      <c r="H139" s="95" t="s">
        <v>241</v>
      </c>
    </row>
    <row r="140" ht="14.25" hidden="1" customHeight="1">
      <c r="B140" s="95">
        <v>44631.0</v>
      </c>
      <c r="C140" s="95">
        <v>1867.0</v>
      </c>
      <c r="D140" s="95" t="s">
        <v>1304</v>
      </c>
      <c r="E140" s="95" t="s">
        <v>1305</v>
      </c>
      <c r="F140" s="95">
        <v>6.0</v>
      </c>
      <c r="G140" s="95">
        <v>14341.66</v>
      </c>
      <c r="H140" s="95" t="s">
        <v>167</v>
      </c>
      <c r="I140" s="95" t="s">
        <v>1306</v>
      </c>
    </row>
    <row r="141" ht="14.25" hidden="1" customHeight="1">
      <c r="B141" s="95">
        <v>44631.0</v>
      </c>
      <c r="C141" s="95">
        <v>1867.0</v>
      </c>
      <c r="D141" s="95" t="s">
        <v>1304</v>
      </c>
      <c r="E141" s="95" t="s">
        <v>1307</v>
      </c>
      <c r="F141" s="95">
        <v>2.0</v>
      </c>
      <c r="G141" s="95">
        <v>9702.34</v>
      </c>
      <c r="H141" s="95" t="s">
        <v>167</v>
      </c>
    </row>
    <row r="142" ht="14.25" hidden="1" customHeight="1">
      <c r="B142" s="95">
        <v>44631.0</v>
      </c>
      <c r="D142" s="95" t="s">
        <v>19</v>
      </c>
      <c r="E142" s="95" t="s">
        <v>1308</v>
      </c>
      <c r="F142" s="95">
        <v>2.0</v>
      </c>
      <c r="H142" s="95" t="s">
        <v>18</v>
      </c>
    </row>
    <row r="143" ht="14.25" hidden="1" customHeight="1">
      <c r="B143" s="95">
        <v>44634.0</v>
      </c>
      <c r="C143" s="95">
        <v>1818.0</v>
      </c>
      <c r="D143" s="95" t="s">
        <v>44</v>
      </c>
      <c r="E143" s="95" t="s">
        <v>195</v>
      </c>
      <c r="F143" s="95">
        <v>1.0</v>
      </c>
      <c r="G143" s="95">
        <v>5123.46</v>
      </c>
      <c r="H143" s="95" t="s">
        <v>167</v>
      </c>
    </row>
    <row r="144" ht="14.25" hidden="1" customHeight="1">
      <c r="B144" s="95">
        <v>44634.0</v>
      </c>
      <c r="C144" s="95">
        <v>1818.0</v>
      </c>
      <c r="D144" s="95" t="s">
        <v>44</v>
      </c>
      <c r="E144" s="95" t="s">
        <v>431</v>
      </c>
      <c r="F144" s="95">
        <v>1.0</v>
      </c>
      <c r="G144" s="95">
        <v>5107.89</v>
      </c>
      <c r="H144" s="95" t="s">
        <v>167</v>
      </c>
    </row>
    <row r="145" ht="14.25" hidden="1" customHeight="1">
      <c r="B145" s="95">
        <v>44634.0</v>
      </c>
      <c r="C145" s="95" t="s">
        <v>1309</v>
      </c>
      <c r="D145" s="95" t="s">
        <v>44</v>
      </c>
      <c r="E145" s="95" t="s">
        <v>137</v>
      </c>
      <c r="F145" s="95">
        <v>1.0</v>
      </c>
      <c r="G145" s="95">
        <v>773.56</v>
      </c>
      <c r="H145" s="95" t="s">
        <v>180</v>
      </c>
      <c r="I145" s="95" t="s">
        <v>1310</v>
      </c>
      <c r="J145" s="95">
        <v>773.56</v>
      </c>
      <c r="K145" s="95">
        <v>44804.0</v>
      </c>
      <c r="L145" s="95">
        <v>1920.0</v>
      </c>
      <c r="M145" s="95">
        <v>4.501516688E9</v>
      </c>
      <c r="N145" s="95">
        <v>44738.0</v>
      </c>
      <c r="O145" s="95">
        <v>44835.0</v>
      </c>
    </row>
    <row r="146" ht="14.25" hidden="1" customHeight="1">
      <c r="B146" s="95">
        <v>44634.0</v>
      </c>
      <c r="C146" s="95" t="s">
        <v>1309</v>
      </c>
      <c r="D146" s="95" t="s">
        <v>44</v>
      </c>
      <c r="E146" s="95" t="s">
        <v>45</v>
      </c>
      <c r="F146" s="95">
        <v>1.0</v>
      </c>
      <c r="G146" s="95">
        <v>1500.8</v>
      </c>
      <c r="H146" s="95" t="s">
        <v>180</v>
      </c>
      <c r="J146" s="95">
        <v>1500.8</v>
      </c>
      <c r="K146" s="95">
        <v>44649.0</v>
      </c>
      <c r="L146" s="95">
        <v>1728.0</v>
      </c>
      <c r="M146" s="95">
        <v>4.501516688E9</v>
      </c>
      <c r="N146" s="95">
        <v>44698.0</v>
      </c>
      <c r="O146" s="95">
        <v>44682.0</v>
      </c>
    </row>
    <row r="147" ht="14.25" hidden="1" customHeight="1">
      <c r="B147" s="95">
        <v>44634.0</v>
      </c>
      <c r="C147" s="95" t="s">
        <v>1309</v>
      </c>
      <c r="D147" s="95" t="s">
        <v>44</v>
      </c>
      <c r="E147" s="95" t="s">
        <v>837</v>
      </c>
      <c r="F147" s="95">
        <v>1.0</v>
      </c>
      <c r="G147" s="95">
        <v>1349.13</v>
      </c>
      <c r="H147" s="95" t="s">
        <v>180</v>
      </c>
      <c r="J147" s="95">
        <v>1349.13</v>
      </c>
      <c r="K147" s="95">
        <v>44748.0</v>
      </c>
      <c r="L147" s="95">
        <v>1859.0</v>
      </c>
      <c r="M147" s="95">
        <v>4.501516688E9</v>
      </c>
      <c r="N147" s="95">
        <v>44698.0</v>
      </c>
      <c r="O147" s="95">
        <v>44747.0</v>
      </c>
    </row>
    <row r="148" ht="14.25" hidden="1" customHeight="1">
      <c r="B148" s="95">
        <v>44634.0</v>
      </c>
      <c r="C148" s="95" t="s">
        <v>1309</v>
      </c>
      <c r="D148" s="95" t="s">
        <v>44</v>
      </c>
      <c r="E148" s="95" t="s">
        <v>825</v>
      </c>
      <c r="F148" s="95">
        <v>1.0</v>
      </c>
      <c r="G148" s="95">
        <v>1346.88</v>
      </c>
      <c r="H148" s="95" t="s">
        <v>180</v>
      </c>
      <c r="J148" s="95">
        <v>1346.88</v>
      </c>
      <c r="K148" s="95">
        <v>44649.0</v>
      </c>
      <c r="L148" s="95">
        <v>1728.0</v>
      </c>
      <c r="M148" s="95">
        <v>4.501516688E9</v>
      </c>
      <c r="O148" s="95">
        <v>44682.0</v>
      </c>
    </row>
    <row r="149" ht="14.25" hidden="1" customHeight="1">
      <c r="B149" s="95">
        <v>44634.0</v>
      </c>
      <c r="C149" s="95" t="s">
        <v>1309</v>
      </c>
      <c r="D149" s="95" t="s">
        <v>44</v>
      </c>
      <c r="E149" s="95" t="s">
        <v>1296</v>
      </c>
      <c r="F149" s="95">
        <v>1.0</v>
      </c>
      <c r="G149" s="95">
        <v>1944.78</v>
      </c>
      <c r="H149" s="95" t="s">
        <v>180</v>
      </c>
      <c r="J149" s="95">
        <v>1944.78</v>
      </c>
      <c r="K149" s="95">
        <v>44649.0</v>
      </c>
      <c r="L149" s="95">
        <v>1728.0</v>
      </c>
      <c r="M149" s="95">
        <v>4.501516688E9</v>
      </c>
      <c r="O149" s="95">
        <v>44682.0</v>
      </c>
    </row>
    <row r="150" ht="14.25" hidden="1" customHeight="1">
      <c r="B150" s="95">
        <v>44634.0</v>
      </c>
      <c r="C150" s="95" t="s">
        <v>1309</v>
      </c>
      <c r="D150" s="95" t="s">
        <v>44</v>
      </c>
      <c r="E150" s="95" t="s">
        <v>1311</v>
      </c>
      <c r="F150" s="95">
        <v>10.0</v>
      </c>
      <c r="G150" s="95">
        <v>429.9</v>
      </c>
      <c r="H150" s="95" t="s">
        <v>180</v>
      </c>
      <c r="J150" s="95">
        <v>429.9</v>
      </c>
      <c r="K150" s="95">
        <v>44748.0</v>
      </c>
      <c r="L150" s="95">
        <v>1859.0</v>
      </c>
      <c r="M150" s="95">
        <v>4.501516688E9</v>
      </c>
      <c r="N150" s="95">
        <v>44758.0</v>
      </c>
      <c r="O150" s="95">
        <v>44747.0</v>
      </c>
    </row>
    <row r="151" ht="14.25" hidden="1" customHeight="1">
      <c r="B151" s="95">
        <v>44634.0</v>
      </c>
      <c r="C151" s="95" t="s">
        <v>1309</v>
      </c>
      <c r="D151" s="95" t="s">
        <v>44</v>
      </c>
      <c r="E151" s="95" t="s">
        <v>1311</v>
      </c>
      <c r="F151" s="95">
        <v>20.0</v>
      </c>
      <c r="G151" s="95">
        <v>859.79</v>
      </c>
      <c r="H151" s="95" t="s">
        <v>180</v>
      </c>
      <c r="J151" s="95">
        <v>859.79</v>
      </c>
      <c r="K151" s="95">
        <v>44748.0</v>
      </c>
      <c r="L151" s="95">
        <v>1859.0</v>
      </c>
      <c r="M151" s="95">
        <v>4.501516688E9</v>
      </c>
      <c r="N151" s="95">
        <v>44758.0</v>
      </c>
      <c r="O151" s="95">
        <v>44747.0</v>
      </c>
    </row>
    <row r="152" ht="14.25" hidden="1" customHeight="1">
      <c r="B152" s="95">
        <v>44634.0</v>
      </c>
      <c r="C152" s="95">
        <v>1837.0</v>
      </c>
      <c r="D152" s="95" t="s">
        <v>1312</v>
      </c>
      <c r="E152" s="95" t="s">
        <v>1313</v>
      </c>
      <c r="F152" s="95">
        <v>1.0</v>
      </c>
      <c r="G152" s="95">
        <v>3780.0382</v>
      </c>
      <c r="H152" s="95" t="s">
        <v>167</v>
      </c>
    </row>
    <row r="153" ht="14.25" hidden="1" customHeight="1">
      <c r="B153" s="95">
        <v>44634.0</v>
      </c>
      <c r="C153" s="95">
        <v>1837.0</v>
      </c>
      <c r="D153" s="95" t="s">
        <v>1312</v>
      </c>
      <c r="E153" s="95" t="s">
        <v>1314</v>
      </c>
      <c r="F153" s="95">
        <v>1.0</v>
      </c>
      <c r="G153" s="95">
        <v>812.85</v>
      </c>
      <c r="H153" s="95" t="s">
        <v>167</v>
      </c>
    </row>
    <row r="154" ht="14.25" hidden="1" customHeight="1">
      <c r="B154" s="95">
        <v>44634.0</v>
      </c>
      <c r="C154" s="95">
        <v>1837.0</v>
      </c>
      <c r="D154" s="95" t="s">
        <v>1312</v>
      </c>
      <c r="E154" s="95" t="s">
        <v>1315</v>
      </c>
      <c r="F154" s="95">
        <v>1.0</v>
      </c>
      <c r="G154" s="95">
        <v>1829.01</v>
      </c>
      <c r="H154" s="95" t="s">
        <v>167</v>
      </c>
    </row>
    <row r="155" ht="14.25" hidden="1" customHeight="1">
      <c r="B155" s="95">
        <v>44634.0</v>
      </c>
      <c r="C155" s="95">
        <v>1837.0</v>
      </c>
      <c r="D155" s="95" t="s">
        <v>1312</v>
      </c>
      <c r="E155" s="95" t="s">
        <v>1316</v>
      </c>
      <c r="F155" s="95">
        <v>1.0</v>
      </c>
      <c r="G155" s="95">
        <v>1381.89</v>
      </c>
      <c r="H155" s="95" t="s">
        <v>167</v>
      </c>
    </row>
    <row r="156" ht="14.25" hidden="1" customHeight="1">
      <c r="B156" s="95">
        <v>44634.0</v>
      </c>
      <c r="C156" s="95">
        <v>1837.0</v>
      </c>
      <c r="D156" s="95" t="s">
        <v>1312</v>
      </c>
      <c r="E156" s="95" t="s">
        <v>1317</v>
      </c>
      <c r="F156" s="95">
        <v>1.0</v>
      </c>
      <c r="G156" s="95">
        <v>2348.96</v>
      </c>
      <c r="H156" s="95" t="s">
        <v>167</v>
      </c>
    </row>
    <row r="157" ht="14.25" hidden="1" customHeight="1">
      <c r="B157" s="95">
        <v>44634.0</v>
      </c>
      <c r="C157" s="95">
        <v>1835.0</v>
      </c>
      <c r="D157" s="95" t="s">
        <v>44</v>
      </c>
      <c r="E157" s="95" t="s">
        <v>1318</v>
      </c>
      <c r="F157" s="95">
        <v>1.0</v>
      </c>
      <c r="G157" s="95">
        <v>1114.39</v>
      </c>
      <c r="H157" s="95" t="s">
        <v>180</v>
      </c>
      <c r="I157" s="95" t="s">
        <v>1319</v>
      </c>
      <c r="J157" s="95">
        <v>1114.39</v>
      </c>
      <c r="K157" s="95">
        <v>44644.0</v>
      </c>
      <c r="L157" s="95">
        <v>1724.0</v>
      </c>
      <c r="M157" s="95">
        <v>4.501518374E9</v>
      </c>
      <c r="O157" s="95">
        <v>44682.0</v>
      </c>
    </row>
    <row r="158" ht="14.25" hidden="1" customHeight="1">
      <c r="B158" s="95">
        <v>44634.0</v>
      </c>
      <c r="C158" s="95">
        <v>1834.0</v>
      </c>
      <c r="D158" s="95" t="s">
        <v>44</v>
      </c>
      <c r="E158" s="95" t="s">
        <v>1320</v>
      </c>
      <c r="F158" s="95">
        <v>50.0</v>
      </c>
      <c r="G158" s="95">
        <v>3301.14</v>
      </c>
      <c r="H158" s="95" t="s">
        <v>180</v>
      </c>
      <c r="I158" s="95" t="s">
        <v>1321</v>
      </c>
      <c r="J158" s="95">
        <v>3301.14</v>
      </c>
      <c r="K158" s="95">
        <v>44605.0</v>
      </c>
      <c r="L158" s="95">
        <v>1804.0</v>
      </c>
      <c r="M158" s="95">
        <v>4.501516486E9</v>
      </c>
    </row>
    <row r="159" ht="14.25" hidden="1" customHeight="1">
      <c r="B159" s="95">
        <v>44634.0</v>
      </c>
      <c r="C159" s="95">
        <v>1834.0</v>
      </c>
      <c r="D159" s="95" t="s">
        <v>44</v>
      </c>
      <c r="E159" s="95" t="s">
        <v>1322</v>
      </c>
      <c r="F159" s="95">
        <v>2.0</v>
      </c>
      <c r="G159" s="95">
        <v>832.6</v>
      </c>
      <c r="H159" s="95" t="s">
        <v>180</v>
      </c>
      <c r="J159" s="95">
        <v>832.6</v>
      </c>
      <c r="K159" s="95">
        <v>44658.0</v>
      </c>
      <c r="L159" s="95">
        <v>1760.0</v>
      </c>
      <c r="M159" s="95">
        <v>4.501516486E9</v>
      </c>
      <c r="O159" s="95">
        <v>44691.0</v>
      </c>
    </row>
    <row r="160" ht="14.25" hidden="1" customHeight="1">
      <c r="B160" s="95">
        <v>44634.0</v>
      </c>
      <c r="C160" s="95">
        <v>1834.0</v>
      </c>
      <c r="D160" s="95" t="s">
        <v>44</v>
      </c>
      <c r="E160" s="95" t="s">
        <v>1323</v>
      </c>
      <c r="F160" s="95">
        <v>5.0</v>
      </c>
      <c r="G160" s="95">
        <v>170.06</v>
      </c>
      <c r="H160" s="95" t="s">
        <v>180</v>
      </c>
      <c r="J160" s="95">
        <v>170.06</v>
      </c>
      <c r="K160" s="95">
        <v>44649.0</v>
      </c>
      <c r="L160" s="95">
        <v>1729.0</v>
      </c>
      <c r="M160" s="95">
        <v>4.501516486E9</v>
      </c>
      <c r="O160" s="95">
        <v>44682.0</v>
      </c>
    </row>
    <row r="161" ht="14.25" hidden="1" customHeight="1">
      <c r="B161" s="95">
        <v>44634.0</v>
      </c>
      <c r="C161" s="95">
        <v>1834.0</v>
      </c>
      <c r="D161" s="95" t="s">
        <v>44</v>
      </c>
      <c r="E161" s="95" t="s">
        <v>1324</v>
      </c>
      <c r="F161" s="95">
        <v>8.0</v>
      </c>
      <c r="H161" s="95" t="s">
        <v>1281</v>
      </c>
    </row>
    <row r="162" ht="14.25" hidden="1" customHeight="1">
      <c r="B162" s="95">
        <v>44634.0</v>
      </c>
      <c r="C162" s="95">
        <v>1834.0</v>
      </c>
      <c r="D162" s="95" t="s">
        <v>44</v>
      </c>
      <c r="E162" s="95" t="s">
        <v>1325</v>
      </c>
      <c r="F162" s="95">
        <v>20.0</v>
      </c>
      <c r="G162" s="95">
        <v>2335.39</v>
      </c>
      <c r="H162" s="95" t="s">
        <v>180</v>
      </c>
      <c r="J162" s="95">
        <v>2335.39</v>
      </c>
      <c r="K162" s="95">
        <v>44762.0</v>
      </c>
      <c r="L162" s="95">
        <v>1873.0</v>
      </c>
      <c r="M162" s="95">
        <v>4.501516486E9</v>
      </c>
      <c r="N162" s="95">
        <v>44737.0</v>
      </c>
      <c r="O162" s="95">
        <v>44793.0</v>
      </c>
    </row>
    <row r="163" ht="14.25" hidden="1" customHeight="1">
      <c r="B163" s="95">
        <v>44634.0</v>
      </c>
      <c r="C163" s="95">
        <v>1834.0</v>
      </c>
      <c r="D163" s="95" t="s">
        <v>44</v>
      </c>
      <c r="E163" s="95" t="s">
        <v>278</v>
      </c>
      <c r="F163" s="95">
        <v>5.0</v>
      </c>
      <c r="G163" s="95">
        <v>53.07</v>
      </c>
      <c r="H163" s="95" t="s">
        <v>180</v>
      </c>
      <c r="J163" s="95">
        <v>53.07</v>
      </c>
      <c r="K163" s="95">
        <v>44762.0</v>
      </c>
      <c r="L163" s="95">
        <v>1873.0</v>
      </c>
      <c r="M163" s="95">
        <v>4.501516486E9</v>
      </c>
      <c r="N163" s="95">
        <v>44757.0</v>
      </c>
      <c r="O163" s="95">
        <v>44793.0</v>
      </c>
    </row>
    <row r="164" ht="14.25" hidden="1" customHeight="1">
      <c r="B164" s="95">
        <v>44634.0</v>
      </c>
      <c r="C164" s="95">
        <v>1834.0</v>
      </c>
      <c r="D164" s="95" t="s">
        <v>44</v>
      </c>
      <c r="E164" s="95" t="s">
        <v>1326</v>
      </c>
      <c r="F164" s="95">
        <v>6.0</v>
      </c>
      <c r="G164" s="95">
        <v>867.19</v>
      </c>
      <c r="H164" s="95" t="s">
        <v>180</v>
      </c>
      <c r="J164" s="95">
        <v>867.19</v>
      </c>
      <c r="K164" s="95">
        <v>44762.0</v>
      </c>
      <c r="L164" s="95">
        <v>1873.0</v>
      </c>
      <c r="M164" s="95">
        <v>4.501516486E9</v>
      </c>
      <c r="N164" s="95">
        <v>44777.0</v>
      </c>
      <c r="O164" s="95">
        <v>44793.0</v>
      </c>
    </row>
    <row r="165" ht="14.25" hidden="1" customHeight="1">
      <c r="B165" s="95">
        <v>44634.0</v>
      </c>
      <c r="C165" s="95">
        <v>1834.0</v>
      </c>
      <c r="D165" s="95" t="s">
        <v>44</v>
      </c>
      <c r="E165" s="95" t="s">
        <v>826</v>
      </c>
      <c r="F165" s="95">
        <v>1.0</v>
      </c>
      <c r="G165" s="95">
        <v>1685.7</v>
      </c>
      <c r="H165" s="95" t="s">
        <v>180</v>
      </c>
      <c r="J165" s="95">
        <v>1685.7</v>
      </c>
      <c r="K165" s="95">
        <v>44649.0</v>
      </c>
      <c r="L165" s="95">
        <v>1729.0</v>
      </c>
      <c r="M165" s="95">
        <v>4.501516486E9</v>
      </c>
      <c r="O165" s="95">
        <v>44682.0</v>
      </c>
    </row>
    <row r="166" ht="14.25" hidden="1" customHeight="1">
      <c r="B166" s="95">
        <v>44634.0</v>
      </c>
      <c r="C166" s="95">
        <v>1834.0</v>
      </c>
      <c r="D166" s="95" t="s">
        <v>44</v>
      </c>
      <c r="E166" s="95" t="s">
        <v>1327</v>
      </c>
      <c r="F166" s="95">
        <v>1.0</v>
      </c>
      <c r="G166" s="95">
        <v>458.19</v>
      </c>
      <c r="H166" s="95" t="s">
        <v>180</v>
      </c>
      <c r="J166" s="95">
        <v>458.19</v>
      </c>
      <c r="K166" s="95">
        <v>44649.0</v>
      </c>
      <c r="L166" s="95">
        <v>1729.0</v>
      </c>
      <c r="M166" s="95">
        <v>4.501516486E9</v>
      </c>
      <c r="O166" s="95">
        <v>44682.0</v>
      </c>
    </row>
    <row r="167" ht="14.25" hidden="1" customHeight="1">
      <c r="B167" s="95">
        <v>44635.0</v>
      </c>
      <c r="C167" s="95">
        <v>1821.0</v>
      </c>
      <c r="D167" s="95" t="s">
        <v>44</v>
      </c>
      <c r="E167" s="95" t="s">
        <v>1328</v>
      </c>
      <c r="F167" s="95">
        <v>2.0</v>
      </c>
      <c r="G167" s="95">
        <v>2584.32</v>
      </c>
      <c r="H167" s="95" t="s">
        <v>180</v>
      </c>
      <c r="J167" s="95">
        <v>2584.32</v>
      </c>
      <c r="K167" s="95">
        <v>45147.0</v>
      </c>
      <c r="L167" s="95" t="s">
        <v>1329</v>
      </c>
      <c r="M167" s="95">
        <v>4.501516682E9</v>
      </c>
      <c r="N167" s="95">
        <v>44698.0</v>
      </c>
    </row>
    <row r="168" ht="14.25" hidden="1" customHeight="1">
      <c r="B168" s="95">
        <v>44635.0</v>
      </c>
      <c r="C168" s="95">
        <v>2183.0</v>
      </c>
      <c r="D168" s="95" t="s">
        <v>44</v>
      </c>
      <c r="E168" s="95" t="s">
        <v>1328</v>
      </c>
      <c r="F168" s="95">
        <v>2.0</v>
      </c>
      <c r="G168" s="95">
        <v>2584.32</v>
      </c>
      <c r="H168" s="95" t="s">
        <v>180</v>
      </c>
      <c r="J168" s="95">
        <v>2584.32</v>
      </c>
      <c r="K168" s="95">
        <v>44783.0</v>
      </c>
      <c r="L168" s="95">
        <v>1899.0</v>
      </c>
      <c r="M168" s="95">
        <v>4.501516682E9</v>
      </c>
      <c r="O168" s="95">
        <v>44814.0</v>
      </c>
    </row>
    <row r="169" ht="14.25" hidden="1" customHeight="1">
      <c r="B169" s="95">
        <v>44635.0</v>
      </c>
      <c r="C169" s="95">
        <v>1822.0</v>
      </c>
      <c r="D169" s="95" t="s">
        <v>44</v>
      </c>
      <c r="E169" s="95" t="s">
        <v>1330</v>
      </c>
      <c r="F169" s="95">
        <v>20.0</v>
      </c>
      <c r="G169" s="95">
        <v>2250.4</v>
      </c>
      <c r="H169" s="95" t="s">
        <v>180</v>
      </c>
      <c r="I169" s="95" t="s">
        <v>1331</v>
      </c>
      <c r="J169" s="95">
        <v>2250.4</v>
      </c>
      <c r="K169" s="95">
        <v>44762.0</v>
      </c>
      <c r="L169" s="95">
        <v>1874.0</v>
      </c>
      <c r="M169" s="95">
        <v>4.501526418E9</v>
      </c>
      <c r="N169" s="95">
        <v>44777.0</v>
      </c>
      <c r="O169" s="95">
        <v>44793.0</v>
      </c>
    </row>
    <row r="170" ht="14.25" hidden="1" customHeight="1">
      <c r="B170" s="95">
        <v>44635.0</v>
      </c>
      <c r="C170" s="95">
        <v>1822.0</v>
      </c>
      <c r="D170" s="95" t="s">
        <v>44</v>
      </c>
      <c r="E170" s="95" t="s">
        <v>1332</v>
      </c>
      <c r="F170" s="95">
        <v>50.0</v>
      </c>
      <c r="G170" s="95">
        <v>8966.39</v>
      </c>
      <c r="H170" s="95" t="s">
        <v>180</v>
      </c>
      <c r="J170" s="95">
        <v>8966.39</v>
      </c>
      <c r="K170" s="95">
        <v>44762.0</v>
      </c>
      <c r="L170" s="95">
        <v>1874.0</v>
      </c>
      <c r="M170" s="95">
        <v>4.501526418E9</v>
      </c>
      <c r="N170" s="95">
        <v>44747.0</v>
      </c>
      <c r="O170" s="95">
        <v>44793.0</v>
      </c>
    </row>
    <row r="171" ht="14.25" hidden="1" customHeight="1">
      <c r="B171" s="95">
        <v>44635.0</v>
      </c>
      <c r="C171" s="95">
        <v>1822.0</v>
      </c>
      <c r="D171" s="95" t="s">
        <v>44</v>
      </c>
      <c r="E171" s="95" t="s">
        <v>1332</v>
      </c>
      <c r="F171" s="95">
        <v>20.0</v>
      </c>
      <c r="G171" s="95">
        <v>3586.6</v>
      </c>
      <c r="H171" s="95" t="s">
        <v>180</v>
      </c>
      <c r="J171" s="95">
        <v>3586.6</v>
      </c>
      <c r="K171" s="95">
        <v>44762.0</v>
      </c>
      <c r="L171" s="95">
        <v>1874.0</v>
      </c>
      <c r="M171" s="95">
        <v>4.501526418E9</v>
      </c>
      <c r="N171" s="95">
        <v>44747.0</v>
      </c>
      <c r="O171" s="95">
        <v>44793.0</v>
      </c>
    </row>
    <row r="172" ht="14.25" hidden="1" customHeight="1">
      <c r="B172" s="95">
        <v>44635.0</v>
      </c>
      <c r="C172" s="95">
        <v>1822.0</v>
      </c>
      <c r="D172" s="95" t="s">
        <v>44</v>
      </c>
      <c r="E172" s="95" t="s">
        <v>750</v>
      </c>
      <c r="F172" s="95">
        <v>5.0</v>
      </c>
      <c r="G172" s="95">
        <v>120.95</v>
      </c>
      <c r="H172" s="95" t="s">
        <v>180</v>
      </c>
      <c r="J172" s="95">
        <v>120.95</v>
      </c>
      <c r="K172" s="95">
        <v>44762.0</v>
      </c>
      <c r="L172" s="95">
        <v>1874.0</v>
      </c>
      <c r="M172" s="95">
        <v>4.501526418E9</v>
      </c>
      <c r="N172" s="95">
        <v>44747.0</v>
      </c>
      <c r="O172" s="95">
        <v>44793.0</v>
      </c>
    </row>
    <row r="173" ht="14.25" hidden="1" customHeight="1">
      <c r="B173" s="95">
        <v>44635.0</v>
      </c>
      <c r="C173" s="95">
        <v>1822.0</v>
      </c>
      <c r="D173" s="95" t="s">
        <v>44</v>
      </c>
      <c r="E173" s="95" t="s">
        <v>1333</v>
      </c>
      <c r="F173" s="95">
        <v>1.0</v>
      </c>
      <c r="G173" s="95">
        <v>2840.4</v>
      </c>
      <c r="H173" s="95" t="s">
        <v>180</v>
      </c>
      <c r="J173" s="95">
        <v>2840.4</v>
      </c>
      <c r="K173" s="95">
        <v>44658.0</v>
      </c>
      <c r="L173" s="95">
        <v>1759.0</v>
      </c>
      <c r="M173" s="95">
        <v>4.501526418E9</v>
      </c>
      <c r="O173" s="95">
        <v>44691.0</v>
      </c>
    </row>
    <row r="174" ht="14.25" hidden="1" customHeight="1">
      <c r="B174" s="95">
        <v>44635.0</v>
      </c>
      <c r="C174" s="95" t="s">
        <v>1334</v>
      </c>
      <c r="D174" s="95" t="s">
        <v>44</v>
      </c>
      <c r="E174" s="95" t="s">
        <v>1300</v>
      </c>
      <c r="F174" s="95">
        <v>1.0</v>
      </c>
      <c r="G174" s="95">
        <v>579.54</v>
      </c>
      <c r="H174" s="95" t="s">
        <v>180</v>
      </c>
      <c r="J174" s="95">
        <v>579.54</v>
      </c>
      <c r="K174" s="95">
        <v>44665.0</v>
      </c>
      <c r="L174" s="95">
        <v>1772.0</v>
      </c>
      <c r="M174" s="95">
        <v>4.501422644E9</v>
      </c>
      <c r="O174" s="95">
        <v>44701.0</v>
      </c>
    </row>
    <row r="175" ht="14.25" hidden="1" customHeight="1">
      <c r="B175" s="95">
        <v>44635.0</v>
      </c>
      <c r="C175" s="95" t="s">
        <v>1334</v>
      </c>
      <c r="D175" s="95" t="s">
        <v>44</v>
      </c>
      <c r="E175" s="95" t="s">
        <v>1335</v>
      </c>
      <c r="F175" s="95">
        <v>1.0</v>
      </c>
      <c r="G175" s="95">
        <v>991.24</v>
      </c>
      <c r="H175" s="95" t="s">
        <v>180</v>
      </c>
      <c r="J175" s="95">
        <v>991.24</v>
      </c>
      <c r="K175" s="95">
        <v>44665.0</v>
      </c>
      <c r="L175" s="95">
        <v>1772.0</v>
      </c>
      <c r="M175" s="95">
        <v>4.501422644E9</v>
      </c>
      <c r="O175" s="95">
        <v>44701.0</v>
      </c>
    </row>
    <row r="176" ht="14.25" hidden="1" customHeight="1">
      <c r="B176" s="95">
        <v>44635.0</v>
      </c>
      <c r="C176" s="95" t="s">
        <v>1334</v>
      </c>
      <c r="D176" s="95" t="s">
        <v>44</v>
      </c>
      <c r="E176" s="95" t="s">
        <v>1336</v>
      </c>
      <c r="F176" s="95">
        <v>1.0</v>
      </c>
      <c r="G176" s="95">
        <v>1130.49</v>
      </c>
      <c r="H176" s="95" t="s">
        <v>180</v>
      </c>
      <c r="J176" s="95">
        <v>1130.49</v>
      </c>
      <c r="K176" s="95">
        <v>44665.0</v>
      </c>
      <c r="L176" s="95">
        <v>1772.0</v>
      </c>
      <c r="M176" s="95">
        <v>4.501422644E9</v>
      </c>
      <c r="O176" s="95">
        <v>44701.0</v>
      </c>
    </row>
    <row r="177" ht="14.25" hidden="1" customHeight="1">
      <c r="B177" s="95">
        <v>44635.0</v>
      </c>
      <c r="C177" s="95" t="s">
        <v>1334</v>
      </c>
      <c r="D177" s="95" t="s">
        <v>44</v>
      </c>
      <c r="E177" s="95" t="s">
        <v>1337</v>
      </c>
      <c r="F177" s="95">
        <v>1.0</v>
      </c>
      <c r="G177" s="95">
        <v>1852.81</v>
      </c>
      <c r="H177" s="95" t="s">
        <v>180</v>
      </c>
      <c r="J177" s="95">
        <v>1852.81</v>
      </c>
      <c r="K177" s="95">
        <v>44762.0</v>
      </c>
      <c r="L177" s="95">
        <v>1871.0</v>
      </c>
      <c r="M177" s="95">
        <v>4.501422644E9</v>
      </c>
      <c r="N177" s="95">
        <v>44790.0</v>
      </c>
      <c r="O177" s="95">
        <v>44793.0</v>
      </c>
    </row>
    <row r="178" ht="14.25" hidden="1" customHeight="1">
      <c r="B178" s="95">
        <v>44635.0</v>
      </c>
      <c r="C178" s="95" t="s">
        <v>1334</v>
      </c>
      <c r="D178" s="95" t="s">
        <v>44</v>
      </c>
      <c r="E178" s="95" t="s">
        <v>1338</v>
      </c>
      <c r="F178" s="95">
        <v>1.0</v>
      </c>
      <c r="G178" s="95">
        <v>2584.73</v>
      </c>
      <c r="H178" s="95" t="s">
        <v>180</v>
      </c>
      <c r="J178" s="95">
        <v>2584.73</v>
      </c>
      <c r="K178" s="95">
        <v>44762.0</v>
      </c>
      <c r="L178" s="95">
        <v>1871.0</v>
      </c>
      <c r="M178" s="95">
        <v>4.501422644E9</v>
      </c>
      <c r="N178" s="95">
        <v>44790.0</v>
      </c>
      <c r="O178" s="95">
        <v>44793.0</v>
      </c>
    </row>
    <row r="179" ht="14.25" hidden="1" customHeight="1">
      <c r="B179" s="95">
        <v>44635.0</v>
      </c>
      <c r="D179" s="95" t="s">
        <v>44</v>
      </c>
      <c r="E179" s="95" t="s">
        <v>1339</v>
      </c>
      <c r="F179" s="95">
        <v>1.0</v>
      </c>
      <c r="H179" s="95" t="s">
        <v>18</v>
      </c>
    </row>
    <row r="180" ht="14.25" hidden="1" customHeight="1">
      <c r="B180" s="95">
        <v>44635.0</v>
      </c>
      <c r="D180" s="95" t="s">
        <v>188</v>
      </c>
      <c r="E180" s="95" t="s">
        <v>1340</v>
      </c>
      <c r="F180" s="95">
        <v>1.0</v>
      </c>
      <c r="H180" s="95" t="s">
        <v>18</v>
      </c>
    </row>
    <row r="181" ht="14.25" hidden="1" customHeight="1">
      <c r="B181" s="95">
        <v>44635.0</v>
      </c>
      <c r="D181" s="95" t="s">
        <v>188</v>
      </c>
      <c r="E181" s="95" t="s">
        <v>1341</v>
      </c>
      <c r="F181" s="95">
        <v>8.0</v>
      </c>
      <c r="H181" s="95" t="s">
        <v>18</v>
      </c>
    </row>
    <row r="182" ht="14.25" hidden="1" customHeight="1">
      <c r="B182" s="95">
        <v>44635.0</v>
      </c>
      <c r="D182" s="95" t="s">
        <v>188</v>
      </c>
      <c r="E182" s="95" t="s">
        <v>1341</v>
      </c>
      <c r="F182" s="95">
        <v>4.0</v>
      </c>
      <c r="H182" s="95" t="s">
        <v>18</v>
      </c>
    </row>
    <row r="183" ht="14.25" hidden="1" customHeight="1">
      <c r="B183" s="95">
        <v>44635.0</v>
      </c>
      <c r="C183" s="95">
        <v>1830.0</v>
      </c>
      <c r="D183" s="95" t="s">
        <v>77</v>
      </c>
      <c r="E183" s="95" t="s">
        <v>778</v>
      </c>
      <c r="F183" s="95">
        <v>2.0</v>
      </c>
      <c r="G183" s="95">
        <v>279.03</v>
      </c>
      <c r="H183" s="95" t="s">
        <v>167</v>
      </c>
    </row>
    <row r="184" ht="14.25" hidden="1" customHeight="1">
      <c r="B184" s="95">
        <v>44635.0</v>
      </c>
      <c r="C184" s="95">
        <v>1830.0</v>
      </c>
      <c r="D184" s="95" t="s">
        <v>77</v>
      </c>
      <c r="E184" s="95" t="s">
        <v>771</v>
      </c>
      <c r="F184" s="95">
        <v>4.0</v>
      </c>
      <c r="G184" s="95">
        <v>197.63</v>
      </c>
      <c r="H184" s="95" t="s">
        <v>167</v>
      </c>
    </row>
    <row r="185" ht="14.25" hidden="1" customHeight="1">
      <c r="B185" s="95">
        <v>44636.0</v>
      </c>
      <c r="C185" s="95">
        <v>1819.0</v>
      </c>
      <c r="D185" s="95" t="s">
        <v>44</v>
      </c>
      <c r="E185" s="95" t="s">
        <v>1342</v>
      </c>
      <c r="F185" s="95">
        <v>3.0</v>
      </c>
      <c r="G185" s="95">
        <v>9879.21</v>
      </c>
      <c r="H185" s="95" t="s">
        <v>180</v>
      </c>
      <c r="I185" s="95" t="s">
        <v>1343</v>
      </c>
      <c r="J185" s="95">
        <v>8927.31</v>
      </c>
      <c r="K185" s="95">
        <v>44762.0</v>
      </c>
      <c r="L185" s="95">
        <v>1872.0</v>
      </c>
      <c r="M185" s="95">
        <v>4.501522693E9</v>
      </c>
      <c r="O185" s="95">
        <v>44793.0</v>
      </c>
    </row>
    <row r="186" ht="14.25" hidden="1" customHeight="1">
      <c r="B186" s="95">
        <v>44636.0</v>
      </c>
      <c r="C186" s="95">
        <v>1832.0</v>
      </c>
      <c r="D186" s="95" t="s">
        <v>44</v>
      </c>
      <c r="E186" s="95" t="s">
        <v>1344</v>
      </c>
      <c r="F186" s="95">
        <v>1.0</v>
      </c>
      <c r="G186" s="95">
        <v>5045.28</v>
      </c>
      <c r="H186" s="95" t="s">
        <v>180</v>
      </c>
      <c r="J186" s="95">
        <v>5045.28</v>
      </c>
      <c r="K186" s="95">
        <v>44658.0</v>
      </c>
      <c r="L186" s="95">
        <v>1758.0</v>
      </c>
      <c r="M186" s="95">
        <v>4.501523016E9</v>
      </c>
      <c r="O186" s="95">
        <v>44691.0</v>
      </c>
    </row>
    <row r="187" ht="14.25" hidden="1" customHeight="1">
      <c r="B187" s="95">
        <v>44636.0</v>
      </c>
      <c r="C187" s="95">
        <v>1843.0</v>
      </c>
      <c r="D187" s="95" t="s">
        <v>44</v>
      </c>
      <c r="E187" s="95" t="s">
        <v>1345</v>
      </c>
      <c r="F187" s="95">
        <v>200.0</v>
      </c>
      <c r="G187" s="95">
        <v>6186.0</v>
      </c>
      <c r="H187" s="95" t="s">
        <v>167</v>
      </c>
      <c r="I187" s="95" t="s">
        <v>1343</v>
      </c>
    </row>
    <row r="188" ht="14.25" hidden="1" customHeight="1">
      <c r="B188" s="95">
        <v>44636.0</v>
      </c>
      <c r="C188" s="95" t="s">
        <v>1346</v>
      </c>
      <c r="D188" s="95" t="s">
        <v>44</v>
      </c>
      <c r="E188" s="95" t="s">
        <v>1345</v>
      </c>
      <c r="F188" s="95">
        <v>5.0</v>
      </c>
      <c r="G188" s="95">
        <v>154.65</v>
      </c>
      <c r="H188" s="95" t="s">
        <v>180</v>
      </c>
      <c r="J188" s="95">
        <v>154.65</v>
      </c>
      <c r="K188" s="95">
        <v>44658.0</v>
      </c>
      <c r="L188" s="95">
        <v>1757.0</v>
      </c>
      <c r="M188" s="95">
        <v>4.501524871E9</v>
      </c>
      <c r="O188" s="95">
        <v>44691.0</v>
      </c>
    </row>
    <row r="189" ht="14.25" hidden="1" customHeight="1">
      <c r="B189" s="95">
        <v>44636.0</v>
      </c>
      <c r="D189" s="95" t="s">
        <v>44</v>
      </c>
      <c r="E189" s="95" t="s">
        <v>1347</v>
      </c>
      <c r="F189" s="95">
        <v>10.0</v>
      </c>
      <c r="H189" s="95" t="s">
        <v>1281</v>
      </c>
    </row>
    <row r="190" ht="14.25" hidden="1" customHeight="1">
      <c r="B190" s="95">
        <v>44637.0</v>
      </c>
      <c r="C190" s="95">
        <v>1839.0</v>
      </c>
      <c r="D190" s="95" t="s">
        <v>1348</v>
      </c>
      <c r="E190" s="95" t="s">
        <v>1349</v>
      </c>
      <c r="F190" s="95">
        <v>1.0</v>
      </c>
      <c r="G190" s="95">
        <v>199.99</v>
      </c>
      <c r="H190" s="95" t="s">
        <v>167</v>
      </c>
    </row>
    <row r="191" ht="14.25" hidden="1" customHeight="1">
      <c r="B191" s="95">
        <v>44637.0</v>
      </c>
      <c r="C191" s="95">
        <v>1838.0</v>
      </c>
      <c r="D191" s="95" t="s">
        <v>1301</v>
      </c>
      <c r="E191" s="95" t="s">
        <v>1320</v>
      </c>
      <c r="F191" s="95">
        <v>50.0</v>
      </c>
      <c r="G191" s="95">
        <v>773.56</v>
      </c>
      <c r="H191" s="95" t="s">
        <v>167</v>
      </c>
    </row>
    <row r="192" ht="14.25" hidden="1" customHeight="1">
      <c r="B192" s="95">
        <v>44637.0</v>
      </c>
      <c r="C192" s="95">
        <v>1838.0</v>
      </c>
      <c r="D192" s="95" t="s">
        <v>1301</v>
      </c>
      <c r="E192" s="95" t="s">
        <v>1322</v>
      </c>
      <c r="F192" s="95">
        <v>2.0</v>
      </c>
      <c r="G192" s="95">
        <v>5123.46</v>
      </c>
      <c r="H192" s="95" t="s">
        <v>167</v>
      </c>
    </row>
    <row r="193" ht="14.25" hidden="1" customHeight="1">
      <c r="B193" s="95">
        <v>44637.0</v>
      </c>
      <c r="C193" s="95">
        <v>1838.0</v>
      </c>
      <c r="D193" s="95" t="s">
        <v>1301</v>
      </c>
      <c r="E193" s="95" t="s">
        <v>1323</v>
      </c>
      <c r="F193" s="95">
        <v>5.0</v>
      </c>
      <c r="G193" s="95">
        <v>5107.89</v>
      </c>
      <c r="H193" s="95" t="s">
        <v>167</v>
      </c>
    </row>
    <row r="194" ht="14.25" hidden="1" customHeight="1">
      <c r="B194" s="95">
        <v>44637.0</v>
      </c>
      <c r="C194" s="95">
        <v>1838.0</v>
      </c>
      <c r="D194" s="95" t="s">
        <v>1301</v>
      </c>
      <c r="E194" s="95" t="s">
        <v>1324</v>
      </c>
      <c r="F194" s="95">
        <v>8.0</v>
      </c>
      <c r="G194" s="95">
        <v>1500.8</v>
      </c>
      <c r="H194" s="95" t="s">
        <v>167</v>
      </c>
    </row>
    <row r="195" ht="14.25" hidden="1" customHeight="1">
      <c r="B195" s="95">
        <v>44637.0</v>
      </c>
      <c r="C195" s="95">
        <v>1838.0</v>
      </c>
      <c r="D195" s="95" t="s">
        <v>1301</v>
      </c>
      <c r="E195" s="95" t="s">
        <v>1325</v>
      </c>
      <c r="F195" s="95">
        <v>20.0</v>
      </c>
      <c r="G195" s="95">
        <v>1349.13</v>
      </c>
      <c r="H195" s="95" t="s">
        <v>167</v>
      </c>
    </row>
    <row r="196" ht="14.25" hidden="1" customHeight="1">
      <c r="B196" s="95">
        <v>44637.0</v>
      </c>
      <c r="C196" s="95">
        <v>1838.0</v>
      </c>
      <c r="D196" s="95" t="s">
        <v>1301</v>
      </c>
      <c r="E196" s="95" t="s">
        <v>278</v>
      </c>
      <c r="F196" s="95">
        <v>5.0</v>
      </c>
      <c r="G196" s="95">
        <v>1346.87</v>
      </c>
      <c r="H196" s="95" t="s">
        <v>167</v>
      </c>
    </row>
    <row r="197" ht="14.25" hidden="1" customHeight="1">
      <c r="B197" s="95">
        <v>44637.0</v>
      </c>
      <c r="C197" s="95">
        <v>1838.0</v>
      </c>
      <c r="D197" s="95" t="s">
        <v>1301</v>
      </c>
      <c r="E197" s="95" t="s">
        <v>1326</v>
      </c>
      <c r="F197" s="95">
        <v>6.0</v>
      </c>
      <c r="G197" s="95">
        <v>1944.78</v>
      </c>
      <c r="H197" s="95" t="s">
        <v>167</v>
      </c>
    </row>
    <row r="198" ht="14.25" hidden="1" customHeight="1">
      <c r="B198" s="95">
        <v>44637.0</v>
      </c>
      <c r="C198" s="95">
        <v>1838.0</v>
      </c>
      <c r="D198" s="95" t="s">
        <v>1301</v>
      </c>
      <c r="E198" s="95" t="s">
        <v>826</v>
      </c>
      <c r="F198" s="95">
        <v>1.0</v>
      </c>
      <c r="G198" s="95">
        <v>429.99</v>
      </c>
      <c r="H198" s="95" t="s">
        <v>167</v>
      </c>
    </row>
    <row r="199" ht="14.25" hidden="1" customHeight="1">
      <c r="B199" s="95">
        <v>44637.0</v>
      </c>
      <c r="C199" s="95">
        <v>1838.0</v>
      </c>
      <c r="D199" s="95" t="s">
        <v>1301</v>
      </c>
      <c r="E199" s="95" t="s">
        <v>1327</v>
      </c>
      <c r="F199" s="95">
        <v>1.0</v>
      </c>
      <c r="G199" s="95">
        <v>859.98</v>
      </c>
      <c r="H199" s="95" t="s">
        <v>167</v>
      </c>
    </row>
    <row r="200" ht="14.25" hidden="1" customHeight="1">
      <c r="B200" s="95">
        <v>44637.0</v>
      </c>
      <c r="C200" s="95">
        <v>1838.0</v>
      </c>
      <c r="D200" s="95" t="s">
        <v>1301</v>
      </c>
      <c r="E200" s="95" t="s">
        <v>1330</v>
      </c>
      <c r="F200" s="95">
        <v>20.0</v>
      </c>
      <c r="G200" s="95">
        <v>2250.4</v>
      </c>
      <c r="H200" s="95" t="s">
        <v>167</v>
      </c>
    </row>
    <row r="201" ht="14.25" hidden="1" customHeight="1">
      <c r="B201" s="95">
        <v>44637.0</v>
      </c>
      <c r="C201" s="95">
        <v>1838.0</v>
      </c>
      <c r="D201" s="95" t="s">
        <v>1301</v>
      </c>
      <c r="E201" s="95" t="s">
        <v>1332</v>
      </c>
      <c r="F201" s="95">
        <v>50.0</v>
      </c>
      <c r="G201" s="95">
        <v>8966.39</v>
      </c>
      <c r="H201" s="95" t="s">
        <v>167</v>
      </c>
    </row>
    <row r="202" ht="14.25" hidden="1" customHeight="1">
      <c r="B202" s="95">
        <v>44637.0</v>
      </c>
      <c r="C202" s="95">
        <v>1838.0</v>
      </c>
      <c r="D202" s="95" t="s">
        <v>1301</v>
      </c>
      <c r="E202" s="95" t="s">
        <v>1332</v>
      </c>
      <c r="F202" s="95">
        <v>20.0</v>
      </c>
      <c r="G202" s="95">
        <v>3586.6</v>
      </c>
      <c r="H202" s="95" t="s">
        <v>167</v>
      </c>
    </row>
    <row r="203" ht="14.25" hidden="1" customHeight="1">
      <c r="B203" s="95">
        <v>44637.0</v>
      </c>
      <c r="C203" s="95">
        <v>1838.0</v>
      </c>
      <c r="D203" s="95" t="s">
        <v>1301</v>
      </c>
      <c r="E203" s="95" t="s">
        <v>750</v>
      </c>
      <c r="F203" s="95">
        <v>5.0</v>
      </c>
      <c r="G203" s="95">
        <v>120.95</v>
      </c>
      <c r="H203" s="95" t="s">
        <v>167</v>
      </c>
    </row>
    <row r="204" ht="14.25" hidden="1" customHeight="1">
      <c r="B204" s="95">
        <v>44637.0</v>
      </c>
      <c r="C204" s="95">
        <v>1838.0</v>
      </c>
      <c r="D204" s="95" t="s">
        <v>1301</v>
      </c>
      <c r="E204" s="95" t="s">
        <v>1333</v>
      </c>
      <c r="F204" s="95">
        <v>1.0</v>
      </c>
      <c r="G204" s="95">
        <v>2840.4</v>
      </c>
      <c r="H204" s="95" t="s">
        <v>167</v>
      </c>
    </row>
    <row r="205" ht="14.25" hidden="1" customHeight="1">
      <c r="B205" s="95">
        <v>44637.0</v>
      </c>
      <c r="C205" s="95">
        <v>1841.0</v>
      </c>
      <c r="D205" s="95" t="s">
        <v>77</v>
      </c>
      <c r="E205" s="95" t="s">
        <v>837</v>
      </c>
      <c r="F205" s="95">
        <v>2.0</v>
      </c>
      <c r="G205" s="95">
        <v>2584.33</v>
      </c>
      <c r="H205" s="95" t="s">
        <v>167</v>
      </c>
    </row>
    <row r="206" ht="14.25" hidden="1" customHeight="1">
      <c r="B206" s="95">
        <v>44637.0</v>
      </c>
      <c r="C206" s="95">
        <v>1840.0</v>
      </c>
      <c r="D206" s="95" t="s">
        <v>77</v>
      </c>
      <c r="E206" s="95" t="s">
        <v>137</v>
      </c>
      <c r="F206" s="95">
        <v>1.0</v>
      </c>
      <c r="G206" s="95">
        <v>773.56</v>
      </c>
      <c r="H206" s="95" t="s">
        <v>167</v>
      </c>
    </row>
    <row r="207" ht="14.25" hidden="1" customHeight="1">
      <c r="B207" s="95">
        <v>44637.0</v>
      </c>
      <c r="C207" s="95">
        <v>1840.0</v>
      </c>
      <c r="D207" s="95" t="s">
        <v>77</v>
      </c>
      <c r="E207" s="95" t="s">
        <v>195</v>
      </c>
      <c r="F207" s="95">
        <v>1.0</v>
      </c>
      <c r="G207" s="95">
        <v>5123.46</v>
      </c>
      <c r="H207" s="95" t="s">
        <v>167</v>
      </c>
    </row>
    <row r="208" ht="14.25" hidden="1" customHeight="1">
      <c r="B208" s="95">
        <v>44637.0</v>
      </c>
      <c r="C208" s="95">
        <v>1840.0</v>
      </c>
      <c r="D208" s="95" t="s">
        <v>77</v>
      </c>
      <c r="E208" s="95" t="s">
        <v>431</v>
      </c>
      <c r="F208" s="95">
        <v>1.0</v>
      </c>
      <c r="G208" s="95">
        <v>5107.89</v>
      </c>
      <c r="H208" s="95" t="s">
        <v>167</v>
      </c>
    </row>
    <row r="209" ht="14.25" hidden="1" customHeight="1">
      <c r="B209" s="95">
        <v>44637.0</v>
      </c>
      <c r="C209" s="95">
        <v>1840.0</v>
      </c>
      <c r="D209" s="95" t="s">
        <v>77</v>
      </c>
      <c r="E209" s="95" t="s">
        <v>45</v>
      </c>
      <c r="F209" s="95">
        <v>1.0</v>
      </c>
      <c r="G209" s="95">
        <v>1500.8</v>
      </c>
      <c r="H209" s="95" t="s">
        <v>167</v>
      </c>
    </row>
    <row r="210" ht="14.25" hidden="1" customHeight="1">
      <c r="B210" s="95">
        <v>44637.0</v>
      </c>
      <c r="C210" s="95">
        <v>1840.0</v>
      </c>
      <c r="D210" s="95" t="s">
        <v>77</v>
      </c>
      <c r="E210" s="95" t="s">
        <v>837</v>
      </c>
      <c r="F210" s="95">
        <v>1.0</v>
      </c>
      <c r="G210" s="95">
        <v>1349.13</v>
      </c>
      <c r="H210" s="95" t="s">
        <v>167</v>
      </c>
    </row>
    <row r="211" ht="14.25" hidden="1" customHeight="1">
      <c r="B211" s="95">
        <v>44637.0</v>
      </c>
      <c r="C211" s="95">
        <v>1840.0</v>
      </c>
      <c r="D211" s="95" t="s">
        <v>77</v>
      </c>
      <c r="E211" s="95" t="s">
        <v>825</v>
      </c>
      <c r="F211" s="95">
        <v>1.0</v>
      </c>
      <c r="G211" s="95">
        <v>1346.87</v>
      </c>
      <c r="H211" s="95" t="s">
        <v>167</v>
      </c>
    </row>
    <row r="212" ht="14.25" hidden="1" customHeight="1">
      <c r="B212" s="95">
        <v>44637.0</v>
      </c>
      <c r="C212" s="95">
        <v>1840.0</v>
      </c>
      <c r="D212" s="95" t="s">
        <v>77</v>
      </c>
      <c r="E212" s="95" t="s">
        <v>1296</v>
      </c>
      <c r="F212" s="95">
        <v>1.0</v>
      </c>
      <c r="G212" s="95">
        <v>1944.78</v>
      </c>
      <c r="H212" s="95" t="s">
        <v>167</v>
      </c>
    </row>
    <row r="213" ht="14.25" hidden="1" customHeight="1">
      <c r="B213" s="95">
        <v>44637.0</v>
      </c>
      <c r="C213" s="95">
        <v>1840.0</v>
      </c>
      <c r="D213" s="95" t="s">
        <v>77</v>
      </c>
      <c r="E213" s="95" t="s">
        <v>1311</v>
      </c>
      <c r="F213" s="95">
        <v>10.0</v>
      </c>
      <c r="G213" s="95">
        <v>429.99</v>
      </c>
      <c r="H213" s="95" t="s">
        <v>167</v>
      </c>
    </row>
    <row r="214" ht="14.25" hidden="1" customHeight="1">
      <c r="B214" s="95">
        <v>44637.0</v>
      </c>
      <c r="C214" s="95">
        <v>1840.0</v>
      </c>
      <c r="D214" s="95" t="s">
        <v>77</v>
      </c>
      <c r="E214" s="95" t="s">
        <v>1311</v>
      </c>
      <c r="F214" s="95">
        <v>20.0</v>
      </c>
      <c r="G214" s="95">
        <v>859.98</v>
      </c>
      <c r="H214" s="95" t="s">
        <v>167</v>
      </c>
    </row>
    <row r="215" ht="14.25" hidden="1" customHeight="1">
      <c r="B215" s="95">
        <v>44638.0</v>
      </c>
      <c r="D215" s="95" t="s">
        <v>77</v>
      </c>
      <c r="E215" s="95" t="s">
        <v>1350</v>
      </c>
      <c r="F215" s="95">
        <v>20.0</v>
      </c>
      <c r="H215" s="95" t="s">
        <v>241</v>
      </c>
      <c r="I215" s="95" t="s">
        <v>1351</v>
      </c>
    </row>
    <row r="216" ht="14.25" hidden="1" customHeight="1">
      <c r="B216" s="95">
        <v>44638.0</v>
      </c>
      <c r="C216" s="95">
        <v>1854.0</v>
      </c>
      <c r="D216" s="95" t="s">
        <v>1352</v>
      </c>
      <c r="E216" s="95" t="s">
        <v>680</v>
      </c>
      <c r="F216" s="95">
        <v>1.0</v>
      </c>
      <c r="G216" s="95">
        <v>7086.17</v>
      </c>
      <c r="H216" s="95" t="s">
        <v>167</v>
      </c>
      <c r="I216" s="95" t="s">
        <v>1353</v>
      </c>
    </row>
    <row r="217" ht="14.25" hidden="1" customHeight="1">
      <c r="B217" s="95">
        <v>44638.0</v>
      </c>
      <c r="C217" s="95" t="s">
        <v>1354</v>
      </c>
      <c r="D217" s="95" t="s">
        <v>77</v>
      </c>
      <c r="E217" s="95" t="s">
        <v>24</v>
      </c>
      <c r="F217" s="95">
        <v>20.0</v>
      </c>
      <c r="G217" s="95">
        <v>683.6</v>
      </c>
      <c r="H217" s="95" t="s">
        <v>180</v>
      </c>
      <c r="J217" s="95">
        <v>683.6</v>
      </c>
      <c r="K217" s="95">
        <v>44645.0</v>
      </c>
      <c r="L217" s="95">
        <v>1726.0</v>
      </c>
      <c r="M217" s="95">
        <v>166083.0</v>
      </c>
      <c r="N217" s="95">
        <v>44642.0</v>
      </c>
      <c r="O217" s="95">
        <v>44673.0</v>
      </c>
    </row>
    <row r="218" ht="14.25" hidden="1" customHeight="1">
      <c r="B218" s="95">
        <v>44641.0</v>
      </c>
      <c r="C218" s="95">
        <v>1845.0</v>
      </c>
      <c r="D218" s="95" t="s">
        <v>44</v>
      </c>
      <c r="E218" s="95" t="s">
        <v>1318</v>
      </c>
      <c r="F218" s="95">
        <v>1.0</v>
      </c>
      <c r="G218" s="95">
        <v>1114.39</v>
      </c>
      <c r="H218" s="95" t="s">
        <v>167</v>
      </c>
    </row>
    <row r="219" ht="14.25" hidden="1" customHeight="1">
      <c r="B219" s="95">
        <v>44641.0</v>
      </c>
      <c r="C219" s="95">
        <v>1853.0</v>
      </c>
      <c r="D219" s="95" t="s">
        <v>77</v>
      </c>
      <c r="E219" s="95" t="s">
        <v>1355</v>
      </c>
      <c r="F219" s="95">
        <v>1.0</v>
      </c>
      <c r="G219" s="95">
        <v>896.88</v>
      </c>
      <c r="H219" s="95" t="s">
        <v>180</v>
      </c>
      <c r="J219" s="95">
        <v>896.88</v>
      </c>
      <c r="K219" s="95">
        <v>44939.0</v>
      </c>
      <c r="L219" s="95">
        <v>2039.0</v>
      </c>
      <c r="M219" s="95">
        <v>166419.0</v>
      </c>
      <c r="N219" s="95">
        <v>44718.0</v>
      </c>
      <c r="O219" s="95">
        <v>44970.0</v>
      </c>
    </row>
    <row r="220" ht="14.25" hidden="1" customHeight="1">
      <c r="B220" s="95">
        <v>44641.0</v>
      </c>
      <c r="C220" s="95">
        <v>1847.0</v>
      </c>
      <c r="D220" s="95" t="s">
        <v>77</v>
      </c>
      <c r="E220" s="95" t="s">
        <v>1330</v>
      </c>
      <c r="F220" s="95">
        <v>20.0</v>
      </c>
      <c r="G220" s="95">
        <v>2250.4</v>
      </c>
      <c r="H220" s="95" t="s">
        <v>167</v>
      </c>
    </row>
    <row r="221" ht="14.25" hidden="1" customHeight="1">
      <c r="B221" s="95">
        <v>44641.0</v>
      </c>
      <c r="C221" s="95">
        <v>1847.0</v>
      </c>
      <c r="D221" s="95" t="s">
        <v>77</v>
      </c>
      <c r="E221" s="95" t="s">
        <v>1332</v>
      </c>
      <c r="F221" s="95">
        <v>50.0</v>
      </c>
      <c r="G221" s="95">
        <v>8966.39</v>
      </c>
      <c r="H221" s="95" t="s">
        <v>167</v>
      </c>
    </row>
    <row r="222" ht="14.25" hidden="1" customHeight="1">
      <c r="B222" s="95">
        <v>44641.0</v>
      </c>
      <c r="C222" s="95">
        <v>1847.0</v>
      </c>
      <c r="D222" s="95" t="s">
        <v>77</v>
      </c>
      <c r="E222" s="95" t="s">
        <v>1332</v>
      </c>
      <c r="F222" s="95">
        <v>20.0</v>
      </c>
      <c r="G222" s="95">
        <v>3586.6</v>
      </c>
      <c r="H222" s="95" t="s">
        <v>167</v>
      </c>
    </row>
    <row r="223" ht="14.25" hidden="1" customHeight="1">
      <c r="B223" s="95">
        <v>44641.0</v>
      </c>
      <c r="C223" s="95">
        <v>1847.0</v>
      </c>
      <c r="D223" s="95" t="s">
        <v>77</v>
      </c>
      <c r="E223" s="95" t="s">
        <v>750</v>
      </c>
      <c r="F223" s="95">
        <v>5.0</v>
      </c>
      <c r="G223" s="95">
        <v>120.95</v>
      </c>
      <c r="H223" s="95" t="s">
        <v>167</v>
      </c>
    </row>
    <row r="224" ht="14.25" hidden="1" customHeight="1">
      <c r="B224" s="95">
        <v>44641.0</v>
      </c>
      <c r="C224" s="95">
        <v>1847.0</v>
      </c>
      <c r="D224" s="95" t="s">
        <v>77</v>
      </c>
      <c r="E224" s="95" t="s">
        <v>1333</v>
      </c>
      <c r="F224" s="95">
        <v>1.0</v>
      </c>
      <c r="G224" s="95">
        <v>2840.4</v>
      </c>
      <c r="H224" s="95" t="s">
        <v>167</v>
      </c>
    </row>
    <row r="225" ht="14.25" hidden="1" customHeight="1">
      <c r="B225" s="95">
        <v>44641.0</v>
      </c>
      <c r="C225" s="95">
        <v>1847.0</v>
      </c>
      <c r="D225" s="95" t="s">
        <v>77</v>
      </c>
      <c r="E225" s="95" t="s">
        <v>778</v>
      </c>
      <c r="F225" s="95">
        <v>20.0</v>
      </c>
      <c r="G225" s="95">
        <v>2608.27</v>
      </c>
      <c r="H225" s="95" t="s">
        <v>167</v>
      </c>
    </row>
    <row r="226" ht="14.25" hidden="1" customHeight="1">
      <c r="B226" s="95">
        <v>44641.0</v>
      </c>
      <c r="C226" s="95">
        <v>1852.0</v>
      </c>
      <c r="D226" s="95" t="s">
        <v>707</v>
      </c>
      <c r="E226" s="95" t="s">
        <v>1356</v>
      </c>
      <c r="F226" s="95">
        <v>14.0</v>
      </c>
      <c r="G226" s="95">
        <v>5328.39</v>
      </c>
      <c r="H226" s="95" t="s">
        <v>167</v>
      </c>
    </row>
    <row r="227" ht="14.25" hidden="1" customHeight="1">
      <c r="B227" s="95">
        <v>44641.0</v>
      </c>
      <c r="C227" s="95">
        <v>1857.0</v>
      </c>
      <c r="D227" s="95" t="s">
        <v>222</v>
      </c>
      <c r="E227" s="95" t="s">
        <v>1357</v>
      </c>
      <c r="F227" s="95">
        <v>2.0</v>
      </c>
      <c r="G227" s="95">
        <v>519.72</v>
      </c>
      <c r="H227" s="95" t="s">
        <v>180</v>
      </c>
      <c r="J227" s="95">
        <v>519.72</v>
      </c>
      <c r="K227" s="95">
        <v>44648.0</v>
      </c>
      <c r="L227" s="95">
        <v>1727.0</v>
      </c>
    </row>
    <row r="228" ht="14.25" hidden="1" customHeight="1">
      <c r="B228" s="95">
        <v>44642.0</v>
      </c>
      <c r="C228" s="95">
        <v>1859.0</v>
      </c>
      <c r="D228" s="95" t="s">
        <v>77</v>
      </c>
      <c r="E228" s="95" t="s">
        <v>257</v>
      </c>
      <c r="F228" s="95">
        <v>1.0</v>
      </c>
      <c r="G228" s="95">
        <v>1381.84</v>
      </c>
      <c r="H228" s="95" t="s">
        <v>180</v>
      </c>
      <c r="J228" s="95">
        <v>1381.84</v>
      </c>
      <c r="K228" s="95">
        <v>44645.0</v>
      </c>
      <c r="L228" s="95">
        <v>1725.0</v>
      </c>
      <c r="M228" s="95">
        <v>166152.0</v>
      </c>
      <c r="N228" s="95">
        <v>44644.0</v>
      </c>
      <c r="O228" s="95">
        <v>44676.0</v>
      </c>
    </row>
    <row r="229" ht="14.25" hidden="1" customHeight="1">
      <c r="B229" s="95">
        <v>44642.0</v>
      </c>
      <c r="C229" s="95" t="s">
        <v>1358</v>
      </c>
      <c r="D229" s="95" t="s">
        <v>44</v>
      </c>
      <c r="E229" s="95" t="s">
        <v>1359</v>
      </c>
      <c r="F229" s="95">
        <v>1.0</v>
      </c>
      <c r="G229" s="95">
        <v>1799.49</v>
      </c>
      <c r="H229" s="95" t="s">
        <v>180</v>
      </c>
      <c r="J229" s="95">
        <v>1626.1</v>
      </c>
      <c r="K229" s="95">
        <v>44669.0</v>
      </c>
      <c r="L229" s="95">
        <v>1774.0</v>
      </c>
      <c r="M229" s="95">
        <v>4.501524483E9</v>
      </c>
      <c r="O229" s="95">
        <v>44701.0</v>
      </c>
    </row>
    <row r="230" ht="14.25" hidden="1" customHeight="1">
      <c r="B230" s="95">
        <v>44642.0</v>
      </c>
      <c r="C230" s="95" t="s">
        <v>1358</v>
      </c>
      <c r="D230" s="95" t="s">
        <v>44</v>
      </c>
      <c r="E230" s="95" t="s">
        <v>1360</v>
      </c>
      <c r="F230" s="95">
        <v>5.0</v>
      </c>
      <c r="G230" s="95">
        <v>269.96</v>
      </c>
      <c r="H230" s="95" t="s">
        <v>180</v>
      </c>
      <c r="J230" s="95">
        <v>266.14</v>
      </c>
      <c r="K230" s="95">
        <v>44669.0</v>
      </c>
      <c r="L230" s="95">
        <v>1774.0</v>
      </c>
      <c r="M230" s="95">
        <v>4.501524483E9</v>
      </c>
      <c r="O230" s="95">
        <v>44701.0</v>
      </c>
    </row>
    <row r="231" ht="14.25" hidden="1" customHeight="1">
      <c r="B231" s="95">
        <v>44643.0</v>
      </c>
      <c r="C231" s="95" t="s">
        <v>1361</v>
      </c>
      <c r="D231" s="95" t="s">
        <v>44</v>
      </c>
      <c r="E231" s="95" t="s">
        <v>1109</v>
      </c>
      <c r="F231" s="95">
        <v>4.0</v>
      </c>
      <c r="G231" s="95">
        <v>3234.13</v>
      </c>
      <c r="H231" s="95" t="s">
        <v>180</v>
      </c>
      <c r="J231" s="95">
        <v>3234.13</v>
      </c>
      <c r="K231" s="95">
        <v>44671.0</v>
      </c>
      <c r="L231" s="95">
        <v>1784.0</v>
      </c>
      <c r="M231" s="95">
        <v>4.501531374E9</v>
      </c>
      <c r="O231" s="95">
        <v>44701.0</v>
      </c>
    </row>
    <row r="232" ht="14.25" hidden="1" customHeight="1">
      <c r="B232" s="95">
        <v>44643.0</v>
      </c>
      <c r="C232" s="95">
        <v>1866.0</v>
      </c>
      <c r="D232" s="95" t="s">
        <v>44</v>
      </c>
      <c r="E232" s="95" t="s">
        <v>1110</v>
      </c>
      <c r="F232" s="95">
        <v>2.0</v>
      </c>
      <c r="G232" s="95">
        <v>2584.32</v>
      </c>
      <c r="H232" s="95" t="s">
        <v>167</v>
      </c>
    </row>
    <row r="233" ht="14.25" hidden="1" customHeight="1">
      <c r="B233" s="95">
        <v>44643.0</v>
      </c>
      <c r="C233" s="95">
        <v>1866.0</v>
      </c>
      <c r="D233" s="95" t="s">
        <v>44</v>
      </c>
      <c r="E233" s="95" t="s">
        <v>1362</v>
      </c>
      <c r="F233" s="95">
        <v>1.0</v>
      </c>
      <c r="G233" s="95">
        <v>1803.13</v>
      </c>
      <c r="H233" s="95" t="s">
        <v>167</v>
      </c>
    </row>
    <row r="234" ht="14.25" hidden="1" customHeight="1">
      <c r="B234" s="95">
        <v>44643.0</v>
      </c>
      <c r="D234" s="95" t="s">
        <v>188</v>
      </c>
      <c r="E234" s="95" t="s">
        <v>1363</v>
      </c>
      <c r="F234" s="95">
        <v>2.0</v>
      </c>
      <c r="H234" s="95" t="s">
        <v>1281</v>
      </c>
    </row>
    <row r="235" ht="14.25" hidden="1" customHeight="1">
      <c r="B235" s="95">
        <v>44644.0</v>
      </c>
      <c r="C235" s="95">
        <v>1868.0</v>
      </c>
      <c r="D235" s="95" t="s">
        <v>77</v>
      </c>
      <c r="E235" s="95" t="s">
        <v>1109</v>
      </c>
      <c r="F235" s="95">
        <v>4.0</v>
      </c>
      <c r="G235" s="95">
        <v>3234.1</v>
      </c>
      <c r="H235" s="95" t="s">
        <v>167</v>
      </c>
    </row>
    <row r="236" ht="14.25" hidden="1" customHeight="1">
      <c r="B236" s="95">
        <v>44644.0</v>
      </c>
      <c r="C236" s="95">
        <v>1868.0</v>
      </c>
      <c r="D236" s="95" t="s">
        <v>77</v>
      </c>
      <c r="E236" s="95" t="s">
        <v>1110</v>
      </c>
      <c r="F236" s="95">
        <v>2.0</v>
      </c>
      <c r="G236" s="95">
        <v>2584.32</v>
      </c>
      <c r="H236" s="95" t="s">
        <v>167</v>
      </c>
    </row>
    <row r="237" ht="14.25" hidden="1" customHeight="1">
      <c r="B237" s="95">
        <v>44644.0</v>
      </c>
      <c r="C237" s="95">
        <v>1868.0</v>
      </c>
      <c r="D237" s="95" t="s">
        <v>77</v>
      </c>
      <c r="E237" s="95" t="s">
        <v>1362</v>
      </c>
      <c r="F237" s="95">
        <v>1.0</v>
      </c>
      <c r="G237" s="95">
        <v>1803.13</v>
      </c>
      <c r="H237" s="95" t="s">
        <v>167</v>
      </c>
    </row>
    <row r="238" ht="14.25" hidden="1" customHeight="1">
      <c r="B238" s="95">
        <v>44645.0</v>
      </c>
      <c r="D238" s="95" t="s">
        <v>170</v>
      </c>
      <c r="E238" s="95" t="s">
        <v>1364</v>
      </c>
      <c r="F238" s="95">
        <v>1.0</v>
      </c>
      <c r="H238" s="95" t="s">
        <v>241</v>
      </c>
      <c r="I238" s="95" t="s">
        <v>1365</v>
      </c>
    </row>
    <row r="239" ht="14.25" hidden="1" customHeight="1">
      <c r="B239" s="95">
        <v>44645.0</v>
      </c>
      <c r="C239" s="95">
        <v>1871.0</v>
      </c>
      <c r="D239" s="95" t="s">
        <v>19</v>
      </c>
      <c r="E239" s="95" t="s">
        <v>1366</v>
      </c>
      <c r="F239" s="95">
        <v>100.0</v>
      </c>
      <c r="G239" s="95">
        <v>1128.12</v>
      </c>
      <c r="H239" s="95" t="s">
        <v>180</v>
      </c>
      <c r="J239" s="95">
        <v>1128.12</v>
      </c>
      <c r="K239" s="95">
        <v>44671.0</v>
      </c>
      <c r="L239" s="95">
        <v>1785.0</v>
      </c>
      <c r="M239" s="95">
        <v>4.500392566E9</v>
      </c>
      <c r="O239" s="95">
        <v>44701.0</v>
      </c>
    </row>
    <row r="240" ht="14.25" hidden="1" customHeight="1">
      <c r="B240" s="95">
        <v>44645.0</v>
      </c>
      <c r="D240" s="95" t="s">
        <v>19</v>
      </c>
      <c r="E240" s="95" t="s">
        <v>1367</v>
      </c>
      <c r="H240" s="95" t="s">
        <v>241</v>
      </c>
    </row>
    <row r="241" ht="14.25" hidden="1" customHeight="1">
      <c r="B241" s="95">
        <v>44648.0</v>
      </c>
      <c r="C241" s="95">
        <v>1883.0</v>
      </c>
      <c r="D241" s="95" t="s">
        <v>44</v>
      </c>
      <c r="E241" s="95" t="s">
        <v>1368</v>
      </c>
      <c r="F241" s="95">
        <v>1.0</v>
      </c>
      <c r="G241" s="95">
        <v>214.02</v>
      </c>
      <c r="H241" s="95" t="s">
        <v>167</v>
      </c>
      <c r="I241" s="95" t="s">
        <v>1369</v>
      </c>
    </row>
    <row r="242" ht="14.25" hidden="1" customHeight="1">
      <c r="B242" s="95">
        <v>44648.0</v>
      </c>
      <c r="D242" s="95" t="s">
        <v>19</v>
      </c>
      <c r="E242" s="95" t="s">
        <v>1370</v>
      </c>
      <c r="F242" s="95">
        <v>1.0</v>
      </c>
      <c r="H242" s="95" t="s">
        <v>241</v>
      </c>
      <c r="I242" s="95" t="s">
        <v>1371</v>
      </c>
    </row>
    <row r="243" ht="14.25" hidden="1" customHeight="1">
      <c r="B243" s="95">
        <v>44649.0</v>
      </c>
      <c r="C243" s="95">
        <v>1872.0</v>
      </c>
      <c r="D243" s="95" t="s">
        <v>1372</v>
      </c>
      <c r="E243" s="95" t="s">
        <v>1373</v>
      </c>
      <c r="F243" s="95">
        <v>1.0</v>
      </c>
      <c r="G243" s="95">
        <v>65.0</v>
      </c>
      <c r="H243" s="95" t="s">
        <v>180</v>
      </c>
      <c r="J243" s="95">
        <v>65.0</v>
      </c>
      <c r="K243" s="95">
        <v>44649.0</v>
      </c>
      <c r="L243" s="95">
        <v>1730.0</v>
      </c>
      <c r="O243" s="95">
        <v>44649.0</v>
      </c>
    </row>
    <row r="244" ht="14.25" hidden="1" customHeight="1">
      <c r="B244" s="95">
        <v>44650.0</v>
      </c>
      <c r="C244" s="95">
        <v>1873.0</v>
      </c>
      <c r="D244" s="95" t="s">
        <v>188</v>
      </c>
      <c r="E244" s="95" t="s">
        <v>1374</v>
      </c>
      <c r="F244" s="95">
        <v>4.0</v>
      </c>
      <c r="H244" s="95" t="s">
        <v>241</v>
      </c>
    </row>
    <row r="245" ht="14.25" hidden="1" customHeight="1">
      <c r="B245" s="95">
        <v>44650.0</v>
      </c>
      <c r="C245" s="95">
        <v>1873.0</v>
      </c>
      <c r="D245" s="95" t="s">
        <v>188</v>
      </c>
      <c r="E245" s="95" t="s">
        <v>1340</v>
      </c>
      <c r="F245" s="95">
        <v>2.0</v>
      </c>
      <c r="H245" s="95" t="s">
        <v>241</v>
      </c>
    </row>
    <row r="246" ht="14.25" hidden="1" customHeight="1">
      <c r="B246" s="95">
        <v>44651.0</v>
      </c>
      <c r="C246" s="95" t="s">
        <v>1375</v>
      </c>
      <c r="D246" s="95" t="s">
        <v>53</v>
      </c>
      <c r="E246" s="95" t="s">
        <v>1376</v>
      </c>
      <c r="F246" s="95">
        <v>2.0</v>
      </c>
      <c r="G246" s="95">
        <v>6124.82</v>
      </c>
      <c r="H246" s="95" t="s">
        <v>180</v>
      </c>
      <c r="J246" s="95">
        <v>6124.82</v>
      </c>
      <c r="K246" s="95">
        <v>44679.0</v>
      </c>
      <c r="L246" s="95">
        <v>1787.0</v>
      </c>
      <c r="M246" s="95">
        <v>3.70001266E9</v>
      </c>
      <c r="N246" s="95">
        <v>44679.0</v>
      </c>
      <c r="O246" s="95">
        <v>44726.0</v>
      </c>
    </row>
    <row r="247" ht="14.25" hidden="1" customHeight="1">
      <c r="B247" s="95">
        <v>44651.0</v>
      </c>
      <c r="C247" s="95">
        <v>1880.0</v>
      </c>
      <c r="D247" s="95" t="s">
        <v>53</v>
      </c>
      <c r="E247" s="95" t="s">
        <v>1376</v>
      </c>
      <c r="F247" s="95">
        <v>4.0</v>
      </c>
      <c r="G247" s="95">
        <v>12249.67</v>
      </c>
      <c r="H247" s="95" t="s">
        <v>167</v>
      </c>
    </row>
    <row r="248" ht="14.25" hidden="1" customHeight="1">
      <c r="B248" s="95">
        <v>44651.0</v>
      </c>
      <c r="C248" s="95">
        <v>1880.0</v>
      </c>
      <c r="D248" s="95" t="s">
        <v>53</v>
      </c>
      <c r="E248" s="95" t="s">
        <v>1376</v>
      </c>
      <c r="F248" s="95">
        <v>3.0</v>
      </c>
      <c r="G248" s="95">
        <v>9187.26</v>
      </c>
      <c r="H248" s="95" t="s">
        <v>167</v>
      </c>
    </row>
    <row r="249" ht="14.25" hidden="1" customHeight="1">
      <c r="B249" s="95">
        <v>44651.0</v>
      </c>
      <c r="C249" s="95">
        <v>1880.0</v>
      </c>
      <c r="D249" s="95" t="s">
        <v>53</v>
      </c>
      <c r="E249" s="95" t="s">
        <v>1377</v>
      </c>
      <c r="F249" s="95">
        <v>1.0</v>
      </c>
      <c r="G249" s="95">
        <v>260.54</v>
      </c>
      <c r="H249" s="95" t="s">
        <v>167</v>
      </c>
    </row>
    <row r="250" ht="14.25" hidden="1" customHeight="1">
      <c r="B250" s="95">
        <v>44651.0</v>
      </c>
      <c r="C250" s="95">
        <v>1880.0</v>
      </c>
      <c r="D250" s="95" t="s">
        <v>53</v>
      </c>
      <c r="E250" s="95" t="s">
        <v>1378</v>
      </c>
      <c r="F250" s="95">
        <v>10.0</v>
      </c>
      <c r="G250" s="95">
        <v>575.12</v>
      </c>
      <c r="H250" s="95" t="s">
        <v>167</v>
      </c>
    </row>
    <row r="251" ht="14.25" hidden="1" customHeight="1">
      <c r="B251" s="95">
        <v>44651.0</v>
      </c>
      <c r="C251" s="95">
        <v>1880.0</v>
      </c>
      <c r="D251" s="95" t="s">
        <v>53</v>
      </c>
      <c r="E251" s="95" t="s">
        <v>1379</v>
      </c>
      <c r="F251" s="95">
        <v>1.0</v>
      </c>
      <c r="G251" s="95">
        <v>304.84</v>
      </c>
      <c r="H251" s="95" t="s">
        <v>167</v>
      </c>
    </row>
    <row r="252" ht="14.25" hidden="1" customHeight="1">
      <c r="B252" s="95">
        <v>44651.0</v>
      </c>
      <c r="C252" s="95">
        <v>1881.0</v>
      </c>
      <c r="D252" s="95" t="s">
        <v>19</v>
      </c>
      <c r="E252" s="95" t="s">
        <v>1380</v>
      </c>
      <c r="F252" s="95">
        <v>7.0</v>
      </c>
      <c r="G252" s="95">
        <v>6949.32</v>
      </c>
      <c r="H252" s="95" t="s">
        <v>167</v>
      </c>
    </row>
    <row r="253" ht="14.25" hidden="1" customHeight="1">
      <c r="B253" s="95">
        <v>44651.0</v>
      </c>
      <c r="C253" s="95">
        <v>1877.0</v>
      </c>
      <c r="D253" s="95" t="s">
        <v>77</v>
      </c>
      <c r="E253" s="95" t="s">
        <v>1376</v>
      </c>
      <c r="F253" s="95">
        <v>4.0</v>
      </c>
      <c r="G253" s="95">
        <v>13076.66</v>
      </c>
      <c r="H253" s="95" t="s">
        <v>167</v>
      </c>
    </row>
    <row r="254" ht="14.25" hidden="1" customHeight="1">
      <c r="B254" s="95">
        <v>44651.0</v>
      </c>
      <c r="C254" s="95">
        <v>1877.0</v>
      </c>
      <c r="D254" s="95" t="s">
        <v>77</v>
      </c>
      <c r="E254" s="95" t="s">
        <v>1376</v>
      </c>
      <c r="F254" s="95">
        <v>3.0</v>
      </c>
      <c r="G254" s="95">
        <v>9807.48</v>
      </c>
      <c r="H254" s="95" t="s">
        <v>167</v>
      </c>
    </row>
    <row r="255" ht="14.25" hidden="1" customHeight="1">
      <c r="B255" s="95">
        <v>44651.0</v>
      </c>
      <c r="C255" s="95">
        <v>1877.0</v>
      </c>
      <c r="D255" s="95" t="s">
        <v>77</v>
      </c>
      <c r="E255" s="95" t="s">
        <v>1377</v>
      </c>
      <c r="F255" s="95">
        <v>1.0</v>
      </c>
      <c r="G255" s="95">
        <v>260.54</v>
      </c>
      <c r="H255" s="95" t="s">
        <v>167</v>
      </c>
    </row>
    <row r="256" ht="14.25" hidden="1" customHeight="1">
      <c r="B256" s="95">
        <v>44651.0</v>
      </c>
      <c r="C256" s="95">
        <v>1877.0</v>
      </c>
      <c r="D256" s="95" t="s">
        <v>77</v>
      </c>
      <c r="E256" s="95" t="s">
        <v>1378</v>
      </c>
      <c r="F256" s="95">
        <v>10.0</v>
      </c>
      <c r="G256" s="95">
        <v>575.12</v>
      </c>
      <c r="H256" s="95" t="s">
        <v>167</v>
      </c>
    </row>
    <row r="257" ht="14.25" hidden="1" customHeight="1">
      <c r="B257" s="95">
        <v>44651.0</v>
      </c>
      <c r="C257" s="95">
        <v>1877.0</v>
      </c>
      <c r="D257" s="95" t="s">
        <v>77</v>
      </c>
      <c r="E257" s="95" t="s">
        <v>1379</v>
      </c>
      <c r="F257" s="95">
        <v>1.0</v>
      </c>
      <c r="G257" s="95">
        <v>304.84</v>
      </c>
      <c r="H257" s="95" t="s">
        <v>167</v>
      </c>
    </row>
    <row r="258" ht="14.25" hidden="1" customHeight="1"/>
    <row r="259" ht="14.25" hidden="1" customHeight="1">
      <c r="B259" s="95">
        <v>44652.0</v>
      </c>
      <c r="C259" s="95">
        <v>1894.0</v>
      </c>
      <c r="D259" s="95" t="s">
        <v>188</v>
      </c>
      <c r="E259" s="95" t="s">
        <v>1381</v>
      </c>
      <c r="F259" s="95">
        <v>50.0</v>
      </c>
      <c r="G259" s="95">
        <v>695.0</v>
      </c>
      <c r="H259" s="95" t="s">
        <v>167</v>
      </c>
    </row>
    <row r="260" ht="14.25" hidden="1" customHeight="1">
      <c r="B260" s="95">
        <v>44655.0</v>
      </c>
      <c r="C260" s="95">
        <v>1891.0</v>
      </c>
      <c r="D260" s="95" t="s">
        <v>44</v>
      </c>
      <c r="E260" s="95" t="s">
        <v>1382</v>
      </c>
      <c r="F260" s="95">
        <v>2.0</v>
      </c>
      <c r="G260" s="95">
        <v>2454.32</v>
      </c>
      <c r="H260" s="95" t="s">
        <v>180</v>
      </c>
      <c r="I260" s="95" t="s">
        <v>1383</v>
      </c>
      <c r="J260" s="95">
        <v>2454.32</v>
      </c>
      <c r="K260" s="95">
        <v>44776.0</v>
      </c>
      <c r="L260" s="95">
        <v>1894.0</v>
      </c>
      <c r="M260" s="95">
        <v>4.501539373E9</v>
      </c>
      <c r="N260" s="95">
        <v>44814.0</v>
      </c>
      <c r="O260" s="95">
        <v>44814.0</v>
      </c>
    </row>
    <row r="261" ht="14.25" hidden="1" customHeight="1">
      <c r="B261" s="95">
        <v>44655.0</v>
      </c>
      <c r="C261" s="95">
        <v>1884.0</v>
      </c>
      <c r="D261" s="95" t="s">
        <v>44</v>
      </c>
      <c r="E261" s="95" t="s">
        <v>1384</v>
      </c>
      <c r="F261" s="95">
        <v>1.0</v>
      </c>
      <c r="G261" s="95">
        <v>737.96</v>
      </c>
      <c r="H261" s="95" t="s">
        <v>180</v>
      </c>
      <c r="J261" s="95">
        <v>737.96</v>
      </c>
      <c r="K261" s="95">
        <v>44665.0</v>
      </c>
      <c r="L261" s="95">
        <v>1773.0</v>
      </c>
      <c r="M261" s="95">
        <v>4.501528145E9</v>
      </c>
      <c r="O261" s="95">
        <v>44701.0</v>
      </c>
    </row>
    <row r="262" ht="14.25" hidden="1" customHeight="1">
      <c r="B262" s="95">
        <v>44655.0</v>
      </c>
      <c r="C262" s="95">
        <v>1884.0</v>
      </c>
      <c r="D262" s="95" t="s">
        <v>44</v>
      </c>
      <c r="E262" s="95" t="s">
        <v>1385</v>
      </c>
      <c r="F262" s="95">
        <v>1.0</v>
      </c>
      <c r="G262" s="95">
        <v>790.53</v>
      </c>
      <c r="H262" s="95" t="s">
        <v>180</v>
      </c>
      <c r="J262" s="95">
        <v>790.53</v>
      </c>
      <c r="K262" s="95">
        <v>44665.0</v>
      </c>
      <c r="L262" s="95">
        <v>1773.0</v>
      </c>
      <c r="M262" s="95">
        <v>4.501528145E9</v>
      </c>
      <c r="O262" s="95">
        <v>44701.0</v>
      </c>
    </row>
    <row r="263" ht="14.25" hidden="1" customHeight="1">
      <c r="B263" s="95">
        <v>44655.0</v>
      </c>
      <c r="C263" s="95">
        <v>1884.0</v>
      </c>
      <c r="D263" s="95" t="s">
        <v>44</v>
      </c>
      <c r="E263" s="95" t="s">
        <v>1386</v>
      </c>
      <c r="F263" s="95">
        <v>2.0</v>
      </c>
      <c r="G263" s="95">
        <v>20162.02</v>
      </c>
      <c r="H263" s="95" t="s">
        <v>180</v>
      </c>
      <c r="J263" s="95">
        <v>20162.02</v>
      </c>
      <c r="K263" s="95">
        <v>44778.0</v>
      </c>
      <c r="L263" s="95">
        <v>1897.0</v>
      </c>
      <c r="M263" s="95">
        <v>4.501528145E9</v>
      </c>
      <c r="N263" s="95">
        <v>44800.0</v>
      </c>
      <c r="O263" s="95">
        <v>44809.0</v>
      </c>
    </row>
    <row r="264" ht="14.25" hidden="1" customHeight="1">
      <c r="B264" s="95">
        <v>44655.0</v>
      </c>
      <c r="C264" s="95">
        <v>1884.0</v>
      </c>
      <c r="D264" s="95" t="s">
        <v>44</v>
      </c>
      <c r="E264" s="95" t="s">
        <v>1387</v>
      </c>
      <c r="F264" s="95">
        <v>2.0</v>
      </c>
      <c r="G264" s="95">
        <v>2533.39</v>
      </c>
      <c r="H264" s="95" t="s">
        <v>180</v>
      </c>
      <c r="I264" s="95" t="s">
        <v>1388</v>
      </c>
      <c r="J264" s="95">
        <v>2533.39</v>
      </c>
      <c r="K264" s="95">
        <v>44665.0</v>
      </c>
      <c r="L264" s="95">
        <v>1773.0</v>
      </c>
      <c r="M264" s="95">
        <v>4.501528145E9</v>
      </c>
      <c r="O264" s="95">
        <v>44701.0</v>
      </c>
    </row>
    <row r="265" ht="14.25" hidden="1" customHeight="1">
      <c r="B265" s="95">
        <v>44655.0</v>
      </c>
      <c r="C265" s="95">
        <v>1885.0</v>
      </c>
      <c r="D265" s="95" t="s">
        <v>1301</v>
      </c>
      <c r="E265" s="95" t="s">
        <v>1389</v>
      </c>
      <c r="F265" s="95">
        <v>1.0</v>
      </c>
      <c r="G265" s="95">
        <v>737.96</v>
      </c>
      <c r="H265" s="95" t="s">
        <v>167</v>
      </c>
    </row>
    <row r="266" ht="14.25" hidden="1" customHeight="1">
      <c r="B266" s="95">
        <v>44655.0</v>
      </c>
      <c r="C266" s="95">
        <v>1885.0</v>
      </c>
      <c r="D266" s="95" t="s">
        <v>1301</v>
      </c>
      <c r="E266" s="95" t="s">
        <v>1385</v>
      </c>
      <c r="F266" s="95">
        <v>1.0</v>
      </c>
      <c r="G266" s="95">
        <v>790.53</v>
      </c>
      <c r="H266" s="95" t="s">
        <v>167</v>
      </c>
    </row>
    <row r="267" ht="14.25" hidden="1" customHeight="1">
      <c r="B267" s="95">
        <v>44655.0</v>
      </c>
      <c r="C267" s="95">
        <v>1885.0</v>
      </c>
      <c r="D267" s="95" t="s">
        <v>1301</v>
      </c>
      <c r="E267" s="95" t="s">
        <v>1386</v>
      </c>
      <c r="F267" s="95">
        <v>2.0</v>
      </c>
      <c r="G267" s="95">
        <v>20162.02</v>
      </c>
      <c r="H267" s="95" t="s">
        <v>167</v>
      </c>
    </row>
    <row r="268" ht="14.25" hidden="1" customHeight="1">
      <c r="B268" s="95">
        <v>44655.0</v>
      </c>
      <c r="C268" s="95">
        <v>1885.0</v>
      </c>
      <c r="D268" s="95" t="s">
        <v>1301</v>
      </c>
      <c r="E268" s="95" t="s">
        <v>1387</v>
      </c>
      <c r="F268" s="95">
        <v>2.0</v>
      </c>
      <c r="G268" s="95">
        <v>2533.39</v>
      </c>
      <c r="H268" s="95" t="s">
        <v>167</v>
      </c>
    </row>
    <row r="269" ht="14.25" hidden="1" customHeight="1">
      <c r="B269" s="95">
        <v>44655.0</v>
      </c>
      <c r="D269" s="95" t="s">
        <v>1390</v>
      </c>
      <c r="E269" s="95" t="s">
        <v>1391</v>
      </c>
      <c r="F269" s="95">
        <v>2.0</v>
      </c>
      <c r="H269" s="95" t="s">
        <v>241</v>
      </c>
    </row>
    <row r="270" ht="14.25" hidden="1" customHeight="1">
      <c r="B270" s="95">
        <v>44655.0</v>
      </c>
      <c r="C270" s="95">
        <v>1892.0</v>
      </c>
      <c r="D270" s="95" t="s">
        <v>1392</v>
      </c>
      <c r="E270" s="95" t="s">
        <v>1393</v>
      </c>
      <c r="F270" s="95">
        <v>5.0</v>
      </c>
      <c r="G270" s="95">
        <v>35865.03</v>
      </c>
      <c r="H270" s="95" t="s">
        <v>167</v>
      </c>
      <c r="I270" s="95" t="s">
        <v>1394</v>
      </c>
    </row>
    <row r="271" ht="14.25" hidden="1" customHeight="1">
      <c r="B271" s="95">
        <v>44655.0</v>
      </c>
      <c r="C271" s="95">
        <v>1892.0</v>
      </c>
      <c r="D271" s="95" t="s">
        <v>1392</v>
      </c>
      <c r="E271" s="95" t="s">
        <v>1395</v>
      </c>
      <c r="F271" s="95">
        <v>3.0</v>
      </c>
      <c r="G271" s="95">
        <v>5069.05</v>
      </c>
      <c r="H271" s="95" t="s">
        <v>167</v>
      </c>
    </row>
    <row r="272" ht="14.25" hidden="1" customHeight="1">
      <c r="B272" s="95">
        <v>44655.0</v>
      </c>
      <c r="D272" s="95" t="s">
        <v>19</v>
      </c>
      <c r="E272" s="95" t="s">
        <v>1396</v>
      </c>
      <c r="F272" s="95">
        <v>30.0</v>
      </c>
      <c r="H272" s="95" t="s">
        <v>241</v>
      </c>
    </row>
    <row r="273" ht="14.25" hidden="1" customHeight="1">
      <c r="B273" s="95">
        <v>44655.0</v>
      </c>
      <c r="D273" s="95" t="s">
        <v>19</v>
      </c>
      <c r="E273" s="95" t="s">
        <v>2022</v>
      </c>
      <c r="F273" s="95">
        <v>20.0</v>
      </c>
      <c r="H273" s="95" t="s">
        <v>241</v>
      </c>
    </row>
    <row r="274" ht="14.25" hidden="1" customHeight="1">
      <c r="B274" s="95">
        <v>44656.0</v>
      </c>
      <c r="D274" s="95" t="s">
        <v>188</v>
      </c>
      <c r="E274" s="95" t="s">
        <v>1398</v>
      </c>
      <c r="F274" s="95">
        <v>100.0</v>
      </c>
      <c r="H274" s="95" t="s">
        <v>241</v>
      </c>
    </row>
    <row r="275" ht="14.25" hidden="1" customHeight="1">
      <c r="B275" s="95">
        <v>44657.0</v>
      </c>
      <c r="C275" s="95">
        <v>1887.0</v>
      </c>
      <c r="D275" s="95" t="s">
        <v>44</v>
      </c>
      <c r="E275" s="95" t="s">
        <v>450</v>
      </c>
      <c r="F275" s="95">
        <v>3.0</v>
      </c>
      <c r="G275" s="95">
        <v>14189.39</v>
      </c>
      <c r="H275" s="95" t="s">
        <v>167</v>
      </c>
      <c r="I275" s="95" t="s">
        <v>1399</v>
      </c>
    </row>
    <row r="276" ht="14.25" hidden="1" customHeight="1">
      <c r="B276" s="95">
        <v>44659.0</v>
      </c>
      <c r="C276" s="95">
        <v>1903.0</v>
      </c>
      <c r="D276" s="95" t="s">
        <v>44</v>
      </c>
      <c r="E276" s="95" t="s">
        <v>1400</v>
      </c>
      <c r="F276" s="95">
        <v>1.0</v>
      </c>
      <c r="G276" s="95">
        <v>2148.86</v>
      </c>
      <c r="H276" s="95" t="s">
        <v>180</v>
      </c>
      <c r="I276" s="95" t="s">
        <v>1401</v>
      </c>
      <c r="J276" s="95">
        <v>2148.86</v>
      </c>
      <c r="K276" s="95">
        <v>44762.0</v>
      </c>
      <c r="L276" s="95">
        <v>1876.0</v>
      </c>
      <c r="M276" s="95">
        <v>4.501531111E9</v>
      </c>
      <c r="N276" s="95">
        <v>44806.0</v>
      </c>
      <c r="O276" s="95">
        <v>44793.0</v>
      </c>
    </row>
    <row r="277" ht="14.25" hidden="1" customHeight="1">
      <c r="B277" s="95">
        <v>44659.0</v>
      </c>
      <c r="D277" s="95" t="s">
        <v>44</v>
      </c>
      <c r="E277" s="95" t="s">
        <v>1402</v>
      </c>
      <c r="F277" s="95">
        <v>1.0</v>
      </c>
      <c r="H277" s="95" t="s">
        <v>1281</v>
      </c>
    </row>
    <row r="278" ht="14.25" hidden="1" customHeight="1">
      <c r="B278" s="95">
        <v>44659.0</v>
      </c>
      <c r="D278" s="95" t="s">
        <v>44</v>
      </c>
      <c r="E278" s="95" t="s">
        <v>1403</v>
      </c>
      <c r="F278" s="95">
        <v>1.0</v>
      </c>
      <c r="H278" s="95" t="s">
        <v>1281</v>
      </c>
    </row>
    <row r="279" ht="14.25" hidden="1" customHeight="1">
      <c r="B279" s="95">
        <v>44659.0</v>
      </c>
      <c r="D279" s="95" t="s">
        <v>44</v>
      </c>
      <c r="E279" s="95" t="s">
        <v>1404</v>
      </c>
      <c r="F279" s="95">
        <v>1.0</v>
      </c>
      <c r="H279" s="95" t="s">
        <v>1281</v>
      </c>
    </row>
    <row r="280" ht="14.25" hidden="1" customHeight="1">
      <c r="B280" s="95">
        <v>44659.0</v>
      </c>
      <c r="D280" s="95" t="s">
        <v>44</v>
      </c>
      <c r="E280" s="95" t="s">
        <v>1405</v>
      </c>
      <c r="F280" s="95">
        <v>1.0</v>
      </c>
      <c r="H280" s="95" t="s">
        <v>1281</v>
      </c>
    </row>
    <row r="281" ht="14.25" hidden="1" customHeight="1">
      <c r="B281" s="95">
        <v>44659.0</v>
      </c>
      <c r="D281" s="95" t="s">
        <v>44</v>
      </c>
      <c r="E281" s="95" t="s">
        <v>1406</v>
      </c>
      <c r="F281" s="95">
        <v>1.0</v>
      </c>
      <c r="H281" s="95" t="s">
        <v>1281</v>
      </c>
    </row>
    <row r="282" ht="14.25" hidden="1" customHeight="1">
      <c r="B282" s="95">
        <v>44659.0</v>
      </c>
      <c r="C282" s="95">
        <v>1893.0</v>
      </c>
      <c r="D282" s="95" t="s">
        <v>188</v>
      </c>
      <c r="E282" s="95" t="s">
        <v>1407</v>
      </c>
      <c r="F282" s="95">
        <v>100.0</v>
      </c>
      <c r="G282" s="95">
        <v>4590.0</v>
      </c>
      <c r="H282" s="95" t="s">
        <v>167</v>
      </c>
    </row>
    <row r="283" ht="14.25" hidden="1" customHeight="1">
      <c r="B283" s="95">
        <v>44659.0</v>
      </c>
      <c r="C283" s="95">
        <v>1895.0</v>
      </c>
      <c r="D283" s="95" t="s">
        <v>188</v>
      </c>
      <c r="E283" s="95" t="s">
        <v>1408</v>
      </c>
      <c r="F283" s="95">
        <v>2.0</v>
      </c>
      <c r="G283" s="95">
        <v>197452.92</v>
      </c>
      <c r="H283" s="95" t="s">
        <v>167</v>
      </c>
    </row>
    <row r="284" ht="14.25" hidden="1" customHeight="1">
      <c r="B284" s="95">
        <v>44659.0</v>
      </c>
      <c r="C284" s="95">
        <v>1901.0</v>
      </c>
      <c r="D284" s="95" t="s">
        <v>1409</v>
      </c>
      <c r="E284" s="95" t="s">
        <v>1410</v>
      </c>
      <c r="F284" s="95">
        <v>2.0</v>
      </c>
      <c r="G284" s="95">
        <v>18614.87</v>
      </c>
      <c r="H284" s="95" t="s">
        <v>180</v>
      </c>
      <c r="I284" s="95" t="s">
        <v>1411</v>
      </c>
      <c r="J284" s="95">
        <v>18614.87</v>
      </c>
      <c r="K284" s="95">
        <v>44830.0</v>
      </c>
      <c r="L284" s="95">
        <v>1938.0</v>
      </c>
      <c r="M284" s="95">
        <v>4.503134941E9</v>
      </c>
      <c r="N284" s="95">
        <v>44834.0</v>
      </c>
      <c r="O284" s="95">
        <v>44860.0</v>
      </c>
    </row>
    <row r="285" ht="14.25" hidden="1" customHeight="1">
      <c r="B285" s="95">
        <v>44662.0</v>
      </c>
      <c r="D285" s="95" t="s">
        <v>188</v>
      </c>
      <c r="E285" s="95" t="s">
        <v>1412</v>
      </c>
      <c r="F285" s="95">
        <v>2.0</v>
      </c>
      <c r="H285" s="95" t="s">
        <v>18</v>
      </c>
    </row>
    <row r="286" ht="14.25" hidden="1" customHeight="1">
      <c r="B286" s="95">
        <v>44663.0</v>
      </c>
      <c r="D286" s="95" t="s">
        <v>188</v>
      </c>
      <c r="E286" s="95" t="s">
        <v>1413</v>
      </c>
      <c r="F286" s="95">
        <v>2.0</v>
      </c>
      <c r="H286" s="95" t="s">
        <v>241</v>
      </c>
      <c r="I286" s="95" t="s">
        <v>1414</v>
      </c>
    </row>
    <row r="287" ht="14.25" hidden="1" customHeight="1">
      <c r="B287" s="95">
        <v>44663.0</v>
      </c>
      <c r="D287" s="95" t="s">
        <v>44</v>
      </c>
      <c r="E287" s="95" t="s">
        <v>1415</v>
      </c>
      <c r="F287" s="95">
        <v>4.0</v>
      </c>
      <c r="H287" s="95" t="s">
        <v>1281</v>
      </c>
    </row>
    <row r="288" ht="14.25" hidden="1" customHeight="1">
      <c r="B288" s="95">
        <v>44663.0</v>
      </c>
      <c r="D288" s="95" t="s">
        <v>44</v>
      </c>
      <c r="E288" s="95" t="s">
        <v>1416</v>
      </c>
      <c r="F288" s="95">
        <v>2.0</v>
      </c>
      <c r="H288" s="95" t="s">
        <v>1281</v>
      </c>
    </row>
    <row r="289" ht="14.25" hidden="1" customHeight="1">
      <c r="B289" s="95">
        <v>44663.0</v>
      </c>
      <c r="D289" s="95" t="s">
        <v>44</v>
      </c>
      <c r="E289" s="95" t="s">
        <v>1417</v>
      </c>
      <c r="F289" s="95">
        <v>4.0</v>
      </c>
      <c r="H289" s="95" t="s">
        <v>1281</v>
      </c>
    </row>
    <row r="290" ht="14.25" hidden="1" customHeight="1">
      <c r="B290" s="95">
        <v>44663.0</v>
      </c>
      <c r="D290" s="95" t="s">
        <v>44</v>
      </c>
      <c r="E290" s="95" t="s">
        <v>1418</v>
      </c>
      <c r="F290" s="95">
        <v>2.0</v>
      </c>
      <c r="H290" s="95" t="s">
        <v>1281</v>
      </c>
    </row>
    <row r="291" ht="14.25" hidden="1" customHeight="1">
      <c r="B291" s="95">
        <v>44663.0</v>
      </c>
      <c r="D291" s="95" t="s">
        <v>44</v>
      </c>
      <c r="E291" s="95" t="s">
        <v>1416</v>
      </c>
      <c r="F291" s="95">
        <v>2.0</v>
      </c>
      <c r="H291" s="95" t="s">
        <v>1281</v>
      </c>
    </row>
    <row r="292" ht="14.25" hidden="1" customHeight="1">
      <c r="B292" s="95">
        <v>44663.0</v>
      </c>
      <c r="D292" s="95" t="s">
        <v>44</v>
      </c>
      <c r="E292" s="95" t="s">
        <v>1418</v>
      </c>
      <c r="F292" s="95">
        <v>4.0</v>
      </c>
      <c r="H292" s="95" t="s">
        <v>1281</v>
      </c>
    </row>
    <row r="293" ht="14.25" hidden="1" customHeight="1">
      <c r="B293" s="95">
        <v>44663.0</v>
      </c>
      <c r="C293" s="95">
        <v>1908.0</v>
      </c>
      <c r="D293" s="95" t="s">
        <v>44</v>
      </c>
      <c r="E293" s="95" t="s">
        <v>758</v>
      </c>
      <c r="F293" s="95">
        <v>1.0</v>
      </c>
      <c r="G293" s="95">
        <v>940.08</v>
      </c>
      <c r="H293" s="95" t="s">
        <v>167</v>
      </c>
    </row>
    <row r="294" ht="14.25" hidden="1" customHeight="1">
      <c r="B294" s="95">
        <v>44663.0</v>
      </c>
      <c r="C294" s="95">
        <v>1908.0</v>
      </c>
      <c r="D294" s="95" t="s">
        <v>44</v>
      </c>
      <c r="E294" s="95" t="s">
        <v>1419</v>
      </c>
      <c r="F294" s="95">
        <v>1.0</v>
      </c>
      <c r="G294" s="95">
        <v>2108.2</v>
      </c>
      <c r="H294" s="95" t="s">
        <v>167</v>
      </c>
    </row>
    <row r="295" ht="14.25" hidden="1" customHeight="1">
      <c r="B295" s="95">
        <v>44663.0</v>
      </c>
      <c r="C295" s="95">
        <v>1915.0</v>
      </c>
      <c r="D295" s="95" t="s">
        <v>77</v>
      </c>
      <c r="E295" s="95" t="s">
        <v>1420</v>
      </c>
      <c r="F295" s="95">
        <v>3.0</v>
      </c>
      <c r="G295" s="95">
        <v>4192.32</v>
      </c>
      <c r="H295" s="95" t="s">
        <v>167</v>
      </c>
      <c r="I295" s="95" t="s">
        <v>1421</v>
      </c>
    </row>
    <row r="296" ht="14.25" hidden="1" customHeight="1">
      <c r="B296" s="95">
        <v>44663.0</v>
      </c>
      <c r="C296" s="95">
        <v>1915.0</v>
      </c>
      <c r="D296" s="95" t="s">
        <v>77</v>
      </c>
      <c r="E296" s="95" t="s">
        <v>1422</v>
      </c>
      <c r="F296" s="95">
        <v>3.0</v>
      </c>
      <c r="G296" s="95">
        <v>1843.74</v>
      </c>
      <c r="H296" s="95" t="s">
        <v>167</v>
      </c>
    </row>
    <row r="297" ht="14.25" hidden="1" customHeight="1">
      <c r="B297" s="95">
        <v>44663.0</v>
      </c>
      <c r="C297" s="95">
        <v>1915.0</v>
      </c>
      <c r="D297" s="95" t="s">
        <v>77</v>
      </c>
      <c r="E297" s="95" t="s">
        <v>354</v>
      </c>
      <c r="F297" s="95">
        <v>1.0</v>
      </c>
      <c r="G297" s="95">
        <v>810.97</v>
      </c>
      <c r="H297" s="95" t="s">
        <v>167</v>
      </c>
    </row>
    <row r="298" ht="14.25" hidden="1" customHeight="1">
      <c r="B298" s="95">
        <v>44663.0</v>
      </c>
      <c r="C298" s="95">
        <v>1915.0</v>
      </c>
      <c r="D298" s="95" t="s">
        <v>77</v>
      </c>
      <c r="E298" s="95" t="s">
        <v>416</v>
      </c>
      <c r="F298" s="95">
        <v>1.0</v>
      </c>
      <c r="G298" s="95">
        <v>1818.66</v>
      </c>
      <c r="H298" s="95" t="s">
        <v>167</v>
      </c>
    </row>
    <row r="299" ht="14.25" hidden="1" customHeight="1">
      <c r="B299" s="95">
        <v>44665.0</v>
      </c>
      <c r="C299" s="95">
        <v>1920.0</v>
      </c>
      <c r="D299" s="95" t="s">
        <v>170</v>
      </c>
      <c r="E299" s="95" t="s">
        <v>1423</v>
      </c>
      <c r="F299" s="95">
        <v>2.0</v>
      </c>
      <c r="G299" s="95">
        <v>10390.39</v>
      </c>
      <c r="H299" s="95" t="s">
        <v>167</v>
      </c>
      <c r="I299" s="95" t="s">
        <v>1424</v>
      </c>
    </row>
    <row r="300" ht="14.25" hidden="1" customHeight="1">
      <c r="B300" s="95">
        <v>44670.0</v>
      </c>
      <c r="C300" s="95">
        <v>1924.0</v>
      </c>
      <c r="D300" s="95" t="s">
        <v>1425</v>
      </c>
      <c r="E300" s="95" t="s">
        <v>1426</v>
      </c>
      <c r="F300" s="95">
        <v>2.0</v>
      </c>
      <c r="G300" s="95">
        <v>995.3</v>
      </c>
      <c r="H300" s="95" t="s">
        <v>167</v>
      </c>
    </row>
    <row r="301" ht="14.25" hidden="1" customHeight="1">
      <c r="B301" s="95">
        <v>44670.0</v>
      </c>
      <c r="C301" s="95">
        <v>1924.0</v>
      </c>
      <c r="D301" s="95" t="s">
        <v>1425</v>
      </c>
      <c r="E301" s="95" t="s">
        <v>1284</v>
      </c>
      <c r="F301" s="95">
        <v>2.0</v>
      </c>
      <c r="G301" s="95">
        <v>3554.88</v>
      </c>
      <c r="H301" s="95" t="s">
        <v>167</v>
      </c>
    </row>
    <row r="302" ht="14.25" hidden="1" customHeight="1">
      <c r="B302" s="95">
        <v>44670.0</v>
      </c>
      <c r="C302" s="95">
        <v>1924.0</v>
      </c>
      <c r="D302" s="95" t="s">
        <v>1425</v>
      </c>
      <c r="E302" s="95" t="s">
        <v>1427</v>
      </c>
      <c r="F302" s="95">
        <v>2.0</v>
      </c>
      <c r="G302" s="95">
        <v>2519.1</v>
      </c>
      <c r="H302" s="95" t="s">
        <v>167</v>
      </c>
    </row>
    <row r="303" ht="14.25" hidden="1" customHeight="1">
      <c r="B303" s="95">
        <v>44670.0</v>
      </c>
      <c r="C303" s="95">
        <v>1924.0</v>
      </c>
      <c r="D303" s="95" t="s">
        <v>1425</v>
      </c>
      <c r="E303" s="95" t="s">
        <v>1428</v>
      </c>
      <c r="F303" s="95">
        <v>2.0</v>
      </c>
      <c r="G303" s="95">
        <v>2702.46</v>
      </c>
      <c r="H303" s="95" t="s">
        <v>167</v>
      </c>
    </row>
    <row r="304" ht="14.25" hidden="1" customHeight="1">
      <c r="B304" s="95">
        <v>44673.0</v>
      </c>
      <c r="C304" s="95">
        <v>1925.0</v>
      </c>
      <c r="D304" s="95" t="s">
        <v>44</v>
      </c>
      <c r="E304" s="95" t="s">
        <v>1429</v>
      </c>
      <c r="F304" s="95">
        <v>2.0</v>
      </c>
      <c r="G304" s="95">
        <v>6739.9</v>
      </c>
      <c r="H304" s="95" t="s">
        <v>180</v>
      </c>
      <c r="J304" s="95">
        <v>6739.9</v>
      </c>
      <c r="K304" s="95">
        <v>44683.0</v>
      </c>
      <c r="L304" s="95">
        <v>1790.0</v>
      </c>
      <c r="M304" s="95">
        <v>4.501536924E9</v>
      </c>
      <c r="N304" s="95">
        <v>44694.0</v>
      </c>
      <c r="O304" s="95">
        <v>44722.0</v>
      </c>
    </row>
    <row r="305" ht="14.25" hidden="1" customHeight="1">
      <c r="B305" s="95">
        <v>44673.0</v>
      </c>
      <c r="C305" s="95">
        <v>1925.0</v>
      </c>
      <c r="D305" s="95" t="s">
        <v>44</v>
      </c>
      <c r="E305" s="95" t="s">
        <v>1430</v>
      </c>
      <c r="F305" s="95">
        <v>3.0</v>
      </c>
      <c r="G305" s="95">
        <v>7274.63</v>
      </c>
      <c r="H305" s="95" t="s">
        <v>180</v>
      </c>
      <c r="J305" s="95">
        <v>5528.72</v>
      </c>
      <c r="K305" s="95">
        <v>44748.0</v>
      </c>
      <c r="L305" s="95">
        <v>1860.0</v>
      </c>
      <c r="M305" s="95">
        <v>4.501536924E9</v>
      </c>
      <c r="N305" s="95">
        <v>44779.0</v>
      </c>
      <c r="O305" s="95">
        <v>44779.0</v>
      </c>
    </row>
    <row r="306" ht="14.25" hidden="1" customHeight="1">
      <c r="B306" s="95">
        <v>44673.0</v>
      </c>
      <c r="C306" s="95">
        <v>1925.0</v>
      </c>
      <c r="D306" s="95" t="s">
        <v>44</v>
      </c>
      <c r="E306" s="95" t="s">
        <v>1430</v>
      </c>
      <c r="F306" s="95">
        <v>1.0</v>
      </c>
      <c r="G306" s="95">
        <v>1745.91</v>
      </c>
      <c r="H306" s="95" t="s">
        <v>180</v>
      </c>
      <c r="J306" s="95">
        <v>1745.91</v>
      </c>
      <c r="K306" s="95">
        <v>44762.0</v>
      </c>
      <c r="L306" s="95">
        <v>1875.0</v>
      </c>
      <c r="M306" s="95">
        <v>4.501536924E9</v>
      </c>
      <c r="O306" s="95">
        <v>44793.0</v>
      </c>
    </row>
    <row r="307" ht="14.25" hidden="1" customHeight="1">
      <c r="B307" s="95">
        <v>44673.0</v>
      </c>
      <c r="C307" s="95">
        <v>1925.0</v>
      </c>
      <c r="D307" s="95" t="s">
        <v>44</v>
      </c>
      <c r="E307" s="95" t="s">
        <v>1431</v>
      </c>
      <c r="F307" s="95">
        <v>50.0</v>
      </c>
      <c r="G307" s="95">
        <v>795.31</v>
      </c>
      <c r="H307" s="95" t="s">
        <v>180</v>
      </c>
      <c r="J307" s="95">
        <v>795.31</v>
      </c>
      <c r="K307" s="95">
        <v>44683.0</v>
      </c>
      <c r="L307" s="95">
        <v>1790.0</v>
      </c>
      <c r="M307" s="95">
        <v>4.501536924E9</v>
      </c>
      <c r="N307" s="95">
        <v>44694.0</v>
      </c>
      <c r="O307" s="95">
        <v>44722.0</v>
      </c>
    </row>
    <row r="308" ht="14.25" hidden="1" customHeight="1">
      <c r="B308" s="95">
        <v>44673.0</v>
      </c>
      <c r="D308" s="95" t="s">
        <v>44</v>
      </c>
      <c r="E308" s="95" t="s">
        <v>1432</v>
      </c>
      <c r="F308" s="95">
        <v>40.0</v>
      </c>
      <c r="H308" s="95" t="s">
        <v>18</v>
      </c>
    </row>
    <row r="309" ht="14.25" hidden="1" customHeight="1">
      <c r="B309" s="95">
        <v>44677.0</v>
      </c>
      <c r="C309" s="95">
        <v>1929.0</v>
      </c>
      <c r="D309" s="95" t="s">
        <v>19</v>
      </c>
      <c r="E309" s="95" t="s">
        <v>1433</v>
      </c>
      <c r="F309" s="95">
        <v>12.0</v>
      </c>
      <c r="G309" s="95">
        <v>311.52</v>
      </c>
      <c r="H309" s="95" t="s">
        <v>180</v>
      </c>
      <c r="J309" s="95">
        <v>311.52</v>
      </c>
      <c r="K309" s="95">
        <v>44684.0</v>
      </c>
      <c r="L309" s="95">
        <v>1791.0</v>
      </c>
      <c r="M309" s="95">
        <v>4.500394032E9</v>
      </c>
      <c r="N309" s="95">
        <v>44687.0</v>
      </c>
      <c r="O309" s="95">
        <v>44715.0</v>
      </c>
    </row>
    <row r="310" ht="14.25" hidden="1" customHeight="1">
      <c r="B310" s="95">
        <v>44677.0</v>
      </c>
      <c r="C310" s="95">
        <v>1930.0</v>
      </c>
      <c r="D310" s="95" t="s">
        <v>1434</v>
      </c>
      <c r="E310" s="95" t="s">
        <v>1435</v>
      </c>
      <c r="F310" s="95">
        <v>1.0</v>
      </c>
      <c r="G310" s="95">
        <v>1195.03</v>
      </c>
      <c r="H310" s="95" t="s">
        <v>167</v>
      </c>
      <c r="I310" s="95" t="s">
        <v>1436</v>
      </c>
    </row>
    <row r="311" ht="14.25" hidden="1" customHeight="1">
      <c r="B311" s="95">
        <v>44677.0</v>
      </c>
      <c r="C311" s="95" t="s">
        <v>1437</v>
      </c>
      <c r="D311" s="95" t="s">
        <v>1434</v>
      </c>
      <c r="E311" s="95" t="s">
        <v>1438</v>
      </c>
      <c r="F311" s="95">
        <v>1.0</v>
      </c>
      <c r="G311" s="95">
        <v>1830.59</v>
      </c>
      <c r="H311" s="95" t="s">
        <v>180</v>
      </c>
      <c r="J311" s="95">
        <v>1830.59</v>
      </c>
      <c r="K311" s="95">
        <v>44699.0</v>
      </c>
      <c r="L311" s="95">
        <v>1806.0</v>
      </c>
      <c r="M311" s="95" t="s">
        <v>1439</v>
      </c>
      <c r="N311" s="95">
        <v>44699.0</v>
      </c>
      <c r="O311" s="95">
        <v>44730.0</v>
      </c>
    </row>
    <row r="312" ht="14.25" hidden="1" customHeight="1">
      <c r="B312" s="95">
        <v>44677.0</v>
      </c>
      <c r="C312" s="95">
        <v>1931.0</v>
      </c>
      <c r="D312" s="95" t="s">
        <v>188</v>
      </c>
      <c r="E312" s="95" t="s">
        <v>1440</v>
      </c>
      <c r="F312" s="95">
        <v>9.0</v>
      </c>
      <c r="G312" s="95">
        <v>14738.13</v>
      </c>
      <c r="H312" s="95" t="s">
        <v>167</v>
      </c>
      <c r="I312" s="95" t="s">
        <v>1441</v>
      </c>
    </row>
    <row r="313" ht="14.25" hidden="1" customHeight="1">
      <c r="B313" s="95">
        <v>44677.0</v>
      </c>
      <c r="C313" s="95">
        <v>1928.0</v>
      </c>
      <c r="D313" s="95" t="s">
        <v>1442</v>
      </c>
      <c r="E313" s="95" t="s">
        <v>1443</v>
      </c>
      <c r="F313" s="95">
        <v>4.0</v>
      </c>
      <c r="G313" s="95">
        <v>665.24</v>
      </c>
      <c r="H313" s="95" t="s">
        <v>180</v>
      </c>
      <c r="J313" s="95">
        <v>665.24</v>
      </c>
      <c r="K313" s="95">
        <v>44683.0</v>
      </c>
      <c r="L313" s="95">
        <v>1788.0</v>
      </c>
      <c r="M313" s="95">
        <v>61587.0</v>
      </c>
      <c r="N313" s="95">
        <v>44686.0</v>
      </c>
      <c r="O313" s="95">
        <v>44714.0</v>
      </c>
    </row>
    <row r="314" ht="14.25" hidden="1" customHeight="1">
      <c r="B314" s="95">
        <v>44677.0</v>
      </c>
      <c r="C314" s="95">
        <v>1928.0</v>
      </c>
      <c r="D314" s="95" t="s">
        <v>1442</v>
      </c>
      <c r="E314" s="95" t="s">
        <v>1444</v>
      </c>
      <c r="F314" s="95">
        <v>6.0</v>
      </c>
      <c r="G314" s="95">
        <v>2283.86</v>
      </c>
      <c r="H314" s="95" t="s">
        <v>180</v>
      </c>
      <c r="J314" s="95">
        <v>2283.86</v>
      </c>
      <c r="K314" s="95">
        <v>44719.0</v>
      </c>
      <c r="L314" s="95">
        <v>1836.0</v>
      </c>
      <c r="M314" s="95">
        <v>61587.0</v>
      </c>
      <c r="N314" s="95">
        <v>44708.0</v>
      </c>
      <c r="O314" s="95">
        <v>44749.0</v>
      </c>
    </row>
    <row r="315" ht="14.25" hidden="1" customHeight="1">
      <c r="B315" s="95">
        <v>44678.0</v>
      </c>
      <c r="C315" s="95">
        <v>1932.0</v>
      </c>
      <c r="D315" s="95" t="s">
        <v>77</v>
      </c>
      <c r="E315" s="95" t="s">
        <v>1445</v>
      </c>
      <c r="F315" s="95">
        <v>20.0</v>
      </c>
      <c r="G315" s="95">
        <v>2824.0</v>
      </c>
      <c r="H315" s="95" t="s">
        <v>180</v>
      </c>
      <c r="J315" s="95">
        <v>2824.0</v>
      </c>
      <c r="K315" s="95">
        <v>44823.0</v>
      </c>
      <c r="L315" s="95">
        <v>1929.0</v>
      </c>
      <c r="M315" s="95">
        <v>166718.0</v>
      </c>
      <c r="N315" s="95">
        <v>44875.0</v>
      </c>
      <c r="O315" s="95">
        <v>44853.0</v>
      </c>
    </row>
    <row r="316" ht="14.25" hidden="1" customHeight="1">
      <c r="B316" s="95">
        <v>44678.0</v>
      </c>
      <c r="C316" s="95">
        <v>1934.0</v>
      </c>
      <c r="D316" s="95" t="s">
        <v>1446</v>
      </c>
      <c r="E316" s="95" t="s">
        <v>1447</v>
      </c>
      <c r="F316" s="95">
        <v>5.0</v>
      </c>
      <c r="G316" s="95">
        <v>16.68</v>
      </c>
      <c r="H316" s="95" t="s">
        <v>167</v>
      </c>
      <c r="I316" s="95" t="s">
        <v>1448</v>
      </c>
    </row>
    <row r="317" ht="14.25" hidden="1" customHeight="1">
      <c r="B317" s="95">
        <v>44678.0</v>
      </c>
      <c r="C317" s="95">
        <v>1934.0</v>
      </c>
      <c r="D317" s="95" t="s">
        <v>1446</v>
      </c>
      <c r="E317" s="95" t="s">
        <v>1449</v>
      </c>
      <c r="F317" s="95">
        <v>5.0</v>
      </c>
      <c r="G317" s="95">
        <v>17.33</v>
      </c>
      <c r="H317" s="95" t="s">
        <v>167</v>
      </c>
    </row>
    <row r="318" ht="14.25" hidden="1" customHeight="1">
      <c r="B318" s="95">
        <v>44678.0</v>
      </c>
      <c r="C318" s="95">
        <v>1934.0</v>
      </c>
      <c r="D318" s="95" t="s">
        <v>1446</v>
      </c>
      <c r="E318" s="95" t="s">
        <v>1450</v>
      </c>
      <c r="F318" s="95">
        <v>10.0</v>
      </c>
      <c r="G318" s="95">
        <v>33.58</v>
      </c>
      <c r="H318" s="95" t="s">
        <v>167</v>
      </c>
    </row>
    <row r="319" ht="14.25" hidden="1" customHeight="1">
      <c r="B319" s="95">
        <v>44678.0</v>
      </c>
      <c r="C319" s="95">
        <v>1934.0</v>
      </c>
      <c r="D319" s="95" t="s">
        <v>1446</v>
      </c>
      <c r="E319" s="95" t="s">
        <v>1451</v>
      </c>
      <c r="F319" s="95">
        <v>2.0</v>
      </c>
      <c r="G319" s="95">
        <v>523.96</v>
      </c>
      <c r="H319" s="95" t="s">
        <v>167</v>
      </c>
    </row>
    <row r="320" ht="14.25" hidden="1" customHeight="1">
      <c r="B320" s="95">
        <v>44678.0</v>
      </c>
      <c r="C320" s="95">
        <v>1934.0</v>
      </c>
      <c r="D320" s="95" t="s">
        <v>1446</v>
      </c>
      <c r="E320" s="95" t="s">
        <v>1452</v>
      </c>
      <c r="F320" s="95">
        <v>1.0</v>
      </c>
      <c r="G320" s="95">
        <v>523.96</v>
      </c>
      <c r="H320" s="95" t="s">
        <v>167</v>
      </c>
    </row>
    <row r="321" ht="14.25" hidden="1" customHeight="1">
      <c r="B321" s="95">
        <v>44678.0</v>
      </c>
      <c r="C321" s="95">
        <v>1934.0</v>
      </c>
      <c r="D321" s="95" t="s">
        <v>1446</v>
      </c>
      <c r="E321" s="95" t="s">
        <v>1453</v>
      </c>
      <c r="F321" s="95">
        <v>1.0</v>
      </c>
      <c r="G321" s="95">
        <v>524.49</v>
      </c>
      <c r="H321" s="95" t="s">
        <v>167</v>
      </c>
    </row>
    <row r="322" ht="14.25" hidden="1" customHeight="1">
      <c r="B322" s="95">
        <v>44678.0</v>
      </c>
      <c r="C322" s="95">
        <v>1934.0</v>
      </c>
      <c r="D322" s="95" t="s">
        <v>1446</v>
      </c>
      <c r="E322" s="95" t="s">
        <v>1454</v>
      </c>
      <c r="F322" s="95">
        <v>1.0</v>
      </c>
      <c r="G322" s="95">
        <v>524.49</v>
      </c>
      <c r="H322" s="95" t="s">
        <v>167</v>
      </c>
    </row>
    <row r="323" ht="14.25" hidden="1" customHeight="1">
      <c r="B323" s="95">
        <v>44678.0</v>
      </c>
      <c r="C323" s="95">
        <v>1934.0</v>
      </c>
      <c r="D323" s="95" t="s">
        <v>1446</v>
      </c>
      <c r="E323" s="95" t="s">
        <v>1455</v>
      </c>
      <c r="F323" s="95">
        <v>2.0</v>
      </c>
      <c r="G323" s="95">
        <v>115.4</v>
      </c>
      <c r="H323" s="95" t="s">
        <v>167</v>
      </c>
    </row>
    <row r="324" ht="14.25" hidden="1" customHeight="1">
      <c r="B324" s="95">
        <v>44678.0</v>
      </c>
      <c r="C324" s="95">
        <v>1934.0</v>
      </c>
      <c r="D324" s="95" t="s">
        <v>1446</v>
      </c>
      <c r="E324" s="95" t="s">
        <v>1456</v>
      </c>
      <c r="F324" s="95">
        <v>1.0</v>
      </c>
      <c r="G324" s="95">
        <v>57.7</v>
      </c>
      <c r="H324" s="95" t="s">
        <v>167</v>
      </c>
    </row>
    <row r="325" ht="14.25" hidden="1" customHeight="1">
      <c r="B325" s="95">
        <v>44678.0</v>
      </c>
      <c r="C325" s="95">
        <v>1934.0</v>
      </c>
      <c r="D325" s="95" t="s">
        <v>1446</v>
      </c>
      <c r="E325" s="95" t="s">
        <v>1457</v>
      </c>
      <c r="F325" s="95">
        <v>1.0</v>
      </c>
      <c r="G325" s="95">
        <v>58.66</v>
      </c>
      <c r="H325" s="95" t="s">
        <v>167</v>
      </c>
    </row>
    <row r="326" ht="14.25" hidden="1" customHeight="1">
      <c r="B326" s="95">
        <v>44678.0</v>
      </c>
      <c r="C326" s="95">
        <v>1934.0</v>
      </c>
      <c r="D326" s="95" t="s">
        <v>1446</v>
      </c>
      <c r="E326" s="95" t="s">
        <v>1458</v>
      </c>
      <c r="F326" s="95">
        <v>1.0</v>
      </c>
      <c r="G326" s="95">
        <v>55.49</v>
      </c>
      <c r="H326" s="95" t="s">
        <v>167</v>
      </c>
    </row>
    <row r="327" ht="14.25" hidden="1" customHeight="1">
      <c r="B327" s="95">
        <v>44678.0</v>
      </c>
      <c r="C327" s="95">
        <v>1935.0</v>
      </c>
      <c r="D327" s="95" t="s">
        <v>1459</v>
      </c>
      <c r="E327" s="95" t="s">
        <v>1460</v>
      </c>
      <c r="F327" s="95">
        <v>1.0</v>
      </c>
      <c r="G327" s="95">
        <v>2605.78</v>
      </c>
      <c r="H327" s="95" t="s">
        <v>167</v>
      </c>
      <c r="I327" s="95" t="s">
        <v>1461</v>
      </c>
    </row>
    <row r="328" ht="14.25" hidden="1" customHeight="1">
      <c r="B328" s="95">
        <v>44678.0</v>
      </c>
      <c r="C328" s="95">
        <v>1936.0</v>
      </c>
      <c r="D328" s="95" t="s">
        <v>44</v>
      </c>
      <c r="E328" s="95" t="s">
        <v>1462</v>
      </c>
      <c r="F328" s="95">
        <v>1.0</v>
      </c>
      <c r="G328" s="95">
        <v>6064.23</v>
      </c>
      <c r="H328" s="95" t="s">
        <v>167</v>
      </c>
    </row>
    <row r="329" ht="14.25" hidden="1" customHeight="1">
      <c r="B329" s="95">
        <v>44678.0</v>
      </c>
      <c r="C329" s="95">
        <v>1936.0</v>
      </c>
      <c r="D329" s="95" t="s">
        <v>44</v>
      </c>
      <c r="E329" s="95" t="s">
        <v>1463</v>
      </c>
      <c r="F329" s="95">
        <v>150.0</v>
      </c>
      <c r="G329" s="95">
        <v>1906.5</v>
      </c>
      <c r="H329" s="95" t="s">
        <v>167</v>
      </c>
    </row>
    <row r="330" ht="14.25" hidden="1" customHeight="1">
      <c r="B330" s="95">
        <v>44679.0</v>
      </c>
      <c r="C330" s="95" t="s">
        <v>1464</v>
      </c>
      <c r="D330" s="95" t="s">
        <v>188</v>
      </c>
      <c r="E330" s="95" t="s">
        <v>1465</v>
      </c>
      <c r="F330" s="95">
        <v>15.0</v>
      </c>
      <c r="G330" s="95">
        <v>56100.31</v>
      </c>
      <c r="H330" s="95" t="s">
        <v>167</v>
      </c>
      <c r="I330" s="95" t="s">
        <v>1466</v>
      </c>
    </row>
    <row r="331" ht="14.25" hidden="1" customHeight="1">
      <c r="B331" s="95">
        <v>44679.0</v>
      </c>
      <c r="D331" s="95" t="s">
        <v>1467</v>
      </c>
      <c r="E331" s="95" t="s">
        <v>1468</v>
      </c>
      <c r="F331" s="95">
        <v>1.0</v>
      </c>
      <c r="H331" s="95" t="s">
        <v>1281</v>
      </c>
    </row>
    <row r="332" ht="14.25" hidden="1" customHeight="1">
      <c r="B332" s="95">
        <v>44679.0</v>
      </c>
      <c r="C332" s="95">
        <v>1940.0</v>
      </c>
      <c r="D332" s="95" t="s">
        <v>1469</v>
      </c>
      <c r="E332" s="95" t="s">
        <v>1460</v>
      </c>
      <c r="F332" s="95">
        <v>1.0</v>
      </c>
      <c r="G332" s="95">
        <v>2408.24</v>
      </c>
      <c r="H332" s="95" t="s">
        <v>167</v>
      </c>
    </row>
    <row r="333" ht="14.25" hidden="1" customHeight="1">
      <c r="B333" s="95">
        <v>44679.0</v>
      </c>
      <c r="C333" s="95">
        <v>1940.0</v>
      </c>
      <c r="D333" s="95" t="s">
        <v>1469</v>
      </c>
      <c r="E333" s="95" t="s">
        <v>1470</v>
      </c>
      <c r="F333" s="95">
        <v>1.0</v>
      </c>
      <c r="G333" s="95">
        <v>6689.28</v>
      </c>
      <c r="H333" s="95" t="s">
        <v>167</v>
      </c>
    </row>
    <row r="334" ht="14.25" hidden="1" customHeight="1">
      <c r="B334" s="95">
        <v>44679.0</v>
      </c>
      <c r="C334" s="95">
        <v>1941.0</v>
      </c>
      <c r="D334" s="95" t="s">
        <v>1471</v>
      </c>
      <c r="E334" s="95" t="s">
        <v>1472</v>
      </c>
      <c r="F334" s="95">
        <v>20.0</v>
      </c>
      <c r="G334" s="95">
        <v>2263.32</v>
      </c>
      <c r="H334" s="95" t="s">
        <v>167</v>
      </c>
      <c r="I334" s="95" t="s">
        <v>1473</v>
      </c>
    </row>
    <row r="335" ht="14.25" hidden="1" customHeight="1">
      <c r="B335" s="95">
        <v>44680.0</v>
      </c>
      <c r="C335" s="95">
        <v>1942.0</v>
      </c>
      <c r="D335" s="95" t="s">
        <v>188</v>
      </c>
      <c r="E335" s="95" t="s">
        <v>1474</v>
      </c>
      <c r="F335" s="95">
        <v>11.0</v>
      </c>
      <c r="G335" s="95">
        <v>7199.83</v>
      </c>
      <c r="H335" s="95" t="s">
        <v>180</v>
      </c>
      <c r="J335" s="95">
        <v>7199.83</v>
      </c>
      <c r="K335" s="95">
        <v>44757.0</v>
      </c>
      <c r="L335" s="95">
        <v>1866.0</v>
      </c>
      <c r="M335" s="95">
        <v>5.20203989E9</v>
      </c>
      <c r="N335" s="95">
        <v>44793.0</v>
      </c>
      <c r="O335" s="95">
        <v>44803.0</v>
      </c>
    </row>
    <row r="336" ht="14.25" hidden="1" customHeight="1">
      <c r="B336" s="95">
        <v>44680.0</v>
      </c>
      <c r="C336" s="95">
        <v>1978.0</v>
      </c>
      <c r="D336" s="95" t="s">
        <v>1434</v>
      </c>
      <c r="E336" s="95" t="s">
        <v>1475</v>
      </c>
      <c r="F336" s="95">
        <v>14.0</v>
      </c>
      <c r="G336" s="95">
        <v>1706.24</v>
      </c>
      <c r="H336" s="95" t="s">
        <v>167</v>
      </c>
      <c r="I336" s="95" t="s">
        <v>1476</v>
      </c>
    </row>
    <row r="337" ht="14.25" hidden="1" customHeight="1">
      <c r="B337" s="95">
        <v>44680.0</v>
      </c>
      <c r="C337" s="95" t="s">
        <v>1477</v>
      </c>
      <c r="D337" s="95" t="s">
        <v>1478</v>
      </c>
      <c r="E337" s="95" t="s">
        <v>1479</v>
      </c>
      <c r="F337" s="95">
        <v>4.0</v>
      </c>
      <c r="G337" s="95">
        <v>2093.32</v>
      </c>
      <c r="H337" s="95" t="s">
        <v>180</v>
      </c>
      <c r="J337" s="95">
        <v>2093.32</v>
      </c>
      <c r="K337" s="95">
        <v>44700.0</v>
      </c>
      <c r="L337" s="95">
        <v>1809.0</v>
      </c>
      <c r="M337" s="95">
        <v>4.511802983E9</v>
      </c>
      <c r="N337" s="95">
        <v>44701.0</v>
      </c>
      <c r="O337" s="95">
        <v>44731.0</v>
      </c>
    </row>
    <row r="338" ht="14.25" hidden="1" customHeight="1">
      <c r="B338" s="95">
        <v>44681.0</v>
      </c>
      <c r="D338" s="95" t="s">
        <v>19</v>
      </c>
      <c r="E338" s="95" t="s">
        <v>1480</v>
      </c>
      <c r="F338" s="95">
        <v>30.0</v>
      </c>
      <c r="H338" s="95" t="s">
        <v>1281</v>
      </c>
    </row>
    <row r="339" ht="14.25" hidden="1" customHeight="1"/>
    <row r="340" ht="14.25" hidden="1" customHeight="1">
      <c r="B340" s="95">
        <v>44683.0</v>
      </c>
      <c r="C340" s="95">
        <v>1973.0</v>
      </c>
      <c r="D340" s="95" t="s">
        <v>1481</v>
      </c>
      <c r="E340" s="95" t="s">
        <v>1482</v>
      </c>
      <c r="F340" s="95">
        <v>1.0</v>
      </c>
      <c r="G340" s="95">
        <v>7905.89</v>
      </c>
      <c r="H340" s="95" t="s">
        <v>167</v>
      </c>
      <c r="I340" s="95" t="s">
        <v>1483</v>
      </c>
    </row>
    <row r="341" ht="14.25" hidden="1" customHeight="1">
      <c r="B341" s="95">
        <v>44683.0</v>
      </c>
      <c r="C341" s="95">
        <v>1973.0</v>
      </c>
      <c r="D341" s="95" t="s">
        <v>1481</v>
      </c>
      <c r="E341" s="95" t="s">
        <v>1484</v>
      </c>
      <c r="F341" s="95">
        <v>1.0</v>
      </c>
      <c r="G341" s="95">
        <v>7422.88</v>
      </c>
      <c r="H341" s="95" t="s">
        <v>167</v>
      </c>
    </row>
    <row r="342" ht="14.25" hidden="1" customHeight="1">
      <c r="B342" s="95">
        <v>44683.0</v>
      </c>
      <c r="C342" s="95">
        <v>1944.0</v>
      </c>
      <c r="D342" s="95" t="s">
        <v>1004</v>
      </c>
      <c r="E342" s="95" t="s">
        <v>197</v>
      </c>
      <c r="F342" s="95">
        <v>1.0</v>
      </c>
      <c r="G342" s="95">
        <v>890.37</v>
      </c>
      <c r="H342" s="95" t="s">
        <v>167</v>
      </c>
    </row>
    <row r="343" ht="14.25" hidden="1" customHeight="1">
      <c r="B343" s="95">
        <v>44683.0</v>
      </c>
      <c r="C343" s="95">
        <v>1944.0</v>
      </c>
      <c r="D343" s="95" t="s">
        <v>1004</v>
      </c>
      <c r="E343" s="95" t="s">
        <v>168</v>
      </c>
      <c r="F343" s="95">
        <v>3.0</v>
      </c>
      <c r="G343" s="95">
        <v>2491.4</v>
      </c>
      <c r="H343" s="95" t="s">
        <v>167</v>
      </c>
    </row>
    <row r="344" ht="14.25" hidden="1" customHeight="1">
      <c r="B344" s="95">
        <v>44683.0</v>
      </c>
      <c r="C344" s="95">
        <v>1945.0</v>
      </c>
      <c r="D344" s="95" t="s">
        <v>1409</v>
      </c>
      <c r="E344" s="95" t="s">
        <v>1485</v>
      </c>
      <c r="F344" s="95">
        <v>1.0</v>
      </c>
      <c r="G344" s="95">
        <v>16467.25</v>
      </c>
      <c r="H344" s="95" t="s">
        <v>167</v>
      </c>
      <c r="I344" s="95" t="s">
        <v>1486</v>
      </c>
    </row>
    <row r="345" ht="14.25" hidden="1" customHeight="1">
      <c r="B345" s="95">
        <v>44683.0</v>
      </c>
      <c r="C345" s="95">
        <v>1945.0</v>
      </c>
      <c r="D345" s="95" t="s">
        <v>1409</v>
      </c>
      <c r="E345" s="95" t="s">
        <v>1487</v>
      </c>
      <c r="F345" s="95">
        <v>1.0</v>
      </c>
      <c r="G345" s="95">
        <v>6859.91</v>
      </c>
      <c r="H345" s="95" t="s">
        <v>167</v>
      </c>
    </row>
    <row r="346" ht="14.25" hidden="1" customHeight="1">
      <c r="B346" s="95">
        <v>44683.0</v>
      </c>
      <c r="C346" s="95">
        <v>1946.0</v>
      </c>
      <c r="D346" s="95" t="s">
        <v>188</v>
      </c>
      <c r="E346" s="95" t="s">
        <v>1488</v>
      </c>
      <c r="F346" s="95">
        <v>5.0</v>
      </c>
      <c r="G346" s="95">
        <v>194.5</v>
      </c>
      <c r="H346" s="95" t="s">
        <v>167</v>
      </c>
    </row>
    <row r="347" ht="14.25" hidden="1" customHeight="1">
      <c r="B347" s="95">
        <v>44683.0</v>
      </c>
      <c r="C347" s="95">
        <v>1950.0</v>
      </c>
      <c r="D347" s="95" t="s">
        <v>1489</v>
      </c>
      <c r="E347" s="95" t="s">
        <v>1490</v>
      </c>
      <c r="F347" s="95">
        <v>18.0</v>
      </c>
      <c r="G347" s="95">
        <v>18994.89</v>
      </c>
      <c r="H347" s="95" t="s">
        <v>167</v>
      </c>
    </row>
    <row r="348" ht="14.25" hidden="1" customHeight="1">
      <c r="B348" s="95">
        <v>44684.0</v>
      </c>
      <c r="C348" s="95">
        <v>1950.0</v>
      </c>
      <c r="D348" s="95" t="s">
        <v>1489</v>
      </c>
      <c r="E348" s="95" t="s">
        <v>1491</v>
      </c>
      <c r="F348" s="95">
        <v>18.0</v>
      </c>
      <c r="G348" s="95">
        <v>51018.72</v>
      </c>
      <c r="H348" s="95" t="s">
        <v>167</v>
      </c>
      <c r="I348" s="95" t="s">
        <v>1492</v>
      </c>
    </row>
    <row r="349" ht="14.25" hidden="1" customHeight="1">
      <c r="B349" s="95">
        <v>44685.0</v>
      </c>
      <c r="C349" s="95">
        <v>1953.0</v>
      </c>
      <c r="D349" s="95" t="s">
        <v>19</v>
      </c>
      <c r="E349" s="95" t="s">
        <v>1493</v>
      </c>
      <c r="F349" s="95">
        <v>120.0</v>
      </c>
      <c r="G349" s="95">
        <v>384.0</v>
      </c>
      <c r="H349" s="95" t="s">
        <v>180</v>
      </c>
      <c r="J349" s="95">
        <v>384.0</v>
      </c>
      <c r="K349" s="95">
        <v>44692.0</v>
      </c>
      <c r="L349" s="95">
        <v>1800.0</v>
      </c>
      <c r="M349" s="95">
        <v>4.500394328E9</v>
      </c>
      <c r="N349" s="95">
        <v>44693.0</v>
      </c>
      <c r="O349" s="95">
        <v>44723.0</v>
      </c>
    </row>
    <row r="350" ht="14.25" hidden="1" customHeight="1">
      <c r="B350" s="95">
        <v>44686.0</v>
      </c>
      <c r="C350" s="95">
        <v>1972.0</v>
      </c>
      <c r="D350" s="95" t="s">
        <v>44</v>
      </c>
      <c r="E350" s="95" t="s">
        <v>1494</v>
      </c>
      <c r="F350" s="95">
        <v>1.0</v>
      </c>
      <c r="H350" s="95" t="s">
        <v>167</v>
      </c>
      <c r="I350" s="95" t="s">
        <v>1495</v>
      </c>
    </row>
    <row r="351" ht="14.25" hidden="1" customHeight="1">
      <c r="B351" s="95">
        <v>44686.0</v>
      </c>
      <c r="C351" s="95">
        <v>1972.0</v>
      </c>
      <c r="D351" s="95" t="s">
        <v>44</v>
      </c>
      <c r="E351" s="95" t="s">
        <v>1496</v>
      </c>
      <c r="F351" s="95">
        <v>1.0</v>
      </c>
      <c r="H351" s="95" t="s">
        <v>167</v>
      </c>
    </row>
    <row r="352" ht="14.25" hidden="1" customHeight="1">
      <c r="B352" s="95">
        <v>44686.0</v>
      </c>
      <c r="C352" s="95">
        <v>1972.0</v>
      </c>
      <c r="D352" s="95" t="s">
        <v>44</v>
      </c>
      <c r="E352" s="95" t="s">
        <v>1497</v>
      </c>
      <c r="F352" s="95">
        <v>4.0</v>
      </c>
      <c r="H352" s="95" t="s">
        <v>167</v>
      </c>
    </row>
    <row r="353" ht="14.25" hidden="1" customHeight="1">
      <c r="B353" s="95">
        <v>44686.0</v>
      </c>
      <c r="C353" s="95">
        <v>1972.0</v>
      </c>
      <c r="D353" s="95" t="s">
        <v>44</v>
      </c>
      <c r="E353" s="95" t="s">
        <v>1498</v>
      </c>
      <c r="F353" s="95">
        <v>1.0</v>
      </c>
      <c r="H353" s="95" t="s">
        <v>167</v>
      </c>
    </row>
    <row r="354" ht="14.25" hidden="1" customHeight="1">
      <c r="B354" s="95">
        <v>44686.0</v>
      </c>
      <c r="C354" s="95">
        <v>1972.0</v>
      </c>
      <c r="D354" s="95" t="s">
        <v>44</v>
      </c>
      <c r="E354" s="95" t="s">
        <v>1499</v>
      </c>
      <c r="F354" s="95">
        <v>3.0</v>
      </c>
      <c r="H354" s="95" t="s">
        <v>167</v>
      </c>
    </row>
    <row r="355" ht="14.25" hidden="1" customHeight="1">
      <c r="B355" s="95">
        <v>44686.0</v>
      </c>
      <c r="C355" s="95">
        <v>1972.0</v>
      </c>
      <c r="D355" s="95" t="s">
        <v>44</v>
      </c>
      <c r="E355" s="95" t="s">
        <v>1500</v>
      </c>
      <c r="F355" s="95">
        <v>3.0</v>
      </c>
      <c r="H355" s="95" t="s">
        <v>167</v>
      </c>
    </row>
    <row r="356" ht="14.25" hidden="1" customHeight="1">
      <c r="B356" s="95">
        <v>44686.0</v>
      </c>
      <c r="C356" s="95">
        <v>1972.0</v>
      </c>
      <c r="D356" s="95" t="s">
        <v>44</v>
      </c>
      <c r="E356" s="95" t="s">
        <v>1501</v>
      </c>
      <c r="F356" s="95">
        <v>1.0</v>
      </c>
      <c r="H356" s="95" t="s">
        <v>167</v>
      </c>
    </row>
    <row r="357" ht="14.25" hidden="1" customHeight="1">
      <c r="B357" s="95">
        <v>44686.0</v>
      </c>
      <c r="C357" s="95">
        <v>1965.0</v>
      </c>
      <c r="D357" s="95" t="s">
        <v>188</v>
      </c>
      <c r="E357" s="95" t="s">
        <v>1502</v>
      </c>
      <c r="F357" s="95">
        <v>1.0</v>
      </c>
      <c r="G357" s="95">
        <v>38900.0</v>
      </c>
      <c r="H357" s="95" t="s">
        <v>167</v>
      </c>
    </row>
    <row r="358" ht="14.25" hidden="1" customHeight="1">
      <c r="B358" s="95">
        <v>44686.0</v>
      </c>
      <c r="C358" s="95" t="s">
        <v>1503</v>
      </c>
      <c r="D358" s="95" t="s">
        <v>188</v>
      </c>
      <c r="E358" s="95" t="s">
        <v>1504</v>
      </c>
      <c r="F358" s="95">
        <v>1.0</v>
      </c>
      <c r="G358" s="95">
        <v>3916.78</v>
      </c>
      <c r="H358" s="95" t="s">
        <v>180</v>
      </c>
      <c r="J358" s="95">
        <v>3916.78</v>
      </c>
      <c r="K358" s="95">
        <v>44944.0</v>
      </c>
      <c r="L358" s="95">
        <v>2042.0</v>
      </c>
      <c r="M358" s="95">
        <v>4.40541904E8</v>
      </c>
      <c r="N358" s="95">
        <v>44831.0</v>
      </c>
      <c r="O358" s="95">
        <v>44991.0</v>
      </c>
    </row>
    <row r="359" ht="14.25" hidden="1" customHeight="1">
      <c r="B359" s="95">
        <v>44686.0</v>
      </c>
      <c r="C359" s="95" t="s">
        <v>1503</v>
      </c>
      <c r="D359" s="95" t="s">
        <v>188</v>
      </c>
      <c r="E359" s="95" t="s">
        <v>1504</v>
      </c>
      <c r="F359" s="95">
        <v>5.0</v>
      </c>
      <c r="G359" s="95">
        <v>23500.67</v>
      </c>
      <c r="H359" s="95" t="s">
        <v>180</v>
      </c>
      <c r="J359" s="95">
        <v>19583.89</v>
      </c>
      <c r="K359" s="95">
        <v>44748.0</v>
      </c>
      <c r="L359" s="95">
        <v>1861.0</v>
      </c>
      <c r="M359" s="95">
        <v>4.40541904E8</v>
      </c>
      <c r="N359" s="95">
        <v>44831.0</v>
      </c>
      <c r="O359" s="95">
        <v>44794.0</v>
      </c>
    </row>
    <row r="360" ht="14.25" hidden="1" customHeight="1">
      <c r="B360" s="95">
        <v>44686.0</v>
      </c>
      <c r="C360" s="95">
        <v>1961.0</v>
      </c>
      <c r="D360" s="95" t="s">
        <v>44</v>
      </c>
      <c r="E360" s="95" t="s">
        <v>1505</v>
      </c>
      <c r="F360" s="95">
        <v>1.0</v>
      </c>
      <c r="G360" s="95">
        <v>1740.21</v>
      </c>
      <c r="H360" s="95" t="s">
        <v>167</v>
      </c>
    </row>
    <row r="361" ht="14.25" hidden="1" customHeight="1">
      <c r="B361" s="95">
        <v>44686.0</v>
      </c>
      <c r="D361" s="95" t="s">
        <v>44</v>
      </c>
      <c r="E361" s="95" t="s">
        <v>1506</v>
      </c>
      <c r="F361" s="95">
        <v>1.0</v>
      </c>
      <c r="H361" s="95" t="s">
        <v>1281</v>
      </c>
    </row>
    <row r="362" ht="14.25" hidden="1" customHeight="1">
      <c r="B362" s="95">
        <v>44686.0</v>
      </c>
      <c r="D362" s="95" t="s">
        <v>44</v>
      </c>
      <c r="E362" s="95" t="s">
        <v>1507</v>
      </c>
      <c r="F362" s="95">
        <v>2.0</v>
      </c>
      <c r="H362" s="95" t="s">
        <v>1281</v>
      </c>
    </row>
    <row r="363" ht="14.25" hidden="1" customHeight="1">
      <c r="B363" s="95">
        <v>44686.0</v>
      </c>
      <c r="D363" s="95" t="s">
        <v>44</v>
      </c>
      <c r="E363" s="95" t="s">
        <v>1508</v>
      </c>
      <c r="F363" s="95">
        <v>20.0</v>
      </c>
      <c r="H363" s="95" t="s">
        <v>1281</v>
      </c>
    </row>
    <row r="364" ht="14.25" hidden="1" customHeight="1">
      <c r="B364" s="95">
        <v>44687.0</v>
      </c>
      <c r="C364" s="95">
        <v>1960.0</v>
      </c>
      <c r="D364" s="95" t="s">
        <v>44</v>
      </c>
      <c r="E364" s="95" t="s">
        <v>825</v>
      </c>
      <c r="F364" s="95">
        <v>1.0</v>
      </c>
      <c r="G364" s="95">
        <v>1362.35</v>
      </c>
      <c r="H364" s="95" t="s">
        <v>167</v>
      </c>
    </row>
    <row r="365" ht="14.25" hidden="1" customHeight="1">
      <c r="B365" s="95">
        <v>44687.0</v>
      </c>
      <c r="D365" s="95" t="s">
        <v>44</v>
      </c>
      <c r="E365" s="95" t="s">
        <v>1509</v>
      </c>
      <c r="F365" s="95">
        <v>1.0</v>
      </c>
      <c r="H365" s="95" t="s">
        <v>1281</v>
      </c>
    </row>
    <row r="366" ht="14.25" hidden="1" customHeight="1">
      <c r="B366" s="95">
        <v>44687.0</v>
      </c>
      <c r="D366" s="95" t="s">
        <v>44</v>
      </c>
      <c r="E366" s="95" t="s">
        <v>1509</v>
      </c>
      <c r="F366" s="95">
        <v>1.0</v>
      </c>
      <c r="H366" s="95" t="s">
        <v>1281</v>
      </c>
    </row>
    <row r="367" ht="14.25" hidden="1" customHeight="1">
      <c r="B367" s="95">
        <v>44687.0</v>
      </c>
      <c r="D367" s="95" t="s">
        <v>1510</v>
      </c>
      <c r="E367" s="95" t="s">
        <v>1511</v>
      </c>
      <c r="F367" s="95">
        <v>1.0</v>
      </c>
      <c r="H367" s="95" t="s">
        <v>241</v>
      </c>
    </row>
    <row r="368" ht="14.25" hidden="1" customHeight="1">
      <c r="B368" s="95">
        <v>44687.0</v>
      </c>
      <c r="C368" s="95">
        <v>1958.0</v>
      </c>
      <c r="D368" s="95" t="s">
        <v>44</v>
      </c>
      <c r="E368" s="95" t="s">
        <v>1512</v>
      </c>
      <c r="F368" s="95">
        <v>1.0</v>
      </c>
      <c r="G368" s="95">
        <v>3456.66</v>
      </c>
      <c r="H368" s="95" t="s">
        <v>167</v>
      </c>
    </row>
    <row r="369" ht="14.25" hidden="1" customHeight="1">
      <c r="B369" s="95">
        <v>44687.0</v>
      </c>
      <c r="C369" s="95">
        <v>1958.0</v>
      </c>
      <c r="D369" s="95" t="s">
        <v>44</v>
      </c>
      <c r="E369" s="95" t="s">
        <v>1513</v>
      </c>
      <c r="F369" s="95">
        <v>1.0</v>
      </c>
      <c r="G369" s="95">
        <v>3097.29</v>
      </c>
      <c r="H369" s="95" t="s">
        <v>167</v>
      </c>
    </row>
    <row r="370" ht="14.25" hidden="1" customHeight="1">
      <c r="B370" s="95">
        <v>44687.0</v>
      </c>
      <c r="C370" s="95">
        <v>1958.0</v>
      </c>
      <c r="D370" s="95" t="s">
        <v>44</v>
      </c>
      <c r="E370" s="95" t="s">
        <v>1514</v>
      </c>
      <c r="F370" s="95">
        <v>1.0</v>
      </c>
      <c r="G370" s="95">
        <v>9623.12</v>
      </c>
      <c r="H370" s="95" t="s">
        <v>167</v>
      </c>
    </row>
    <row r="371" ht="14.25" hidden="1" customHeight="1">
      <c r="B371" s="95">
        <v>44687.0</v>
      </c>
      <c r="C371" s="95">
        <v>1958.0</v>
      </c>
      <c r="D371" s="95" t="s">
        <v>44</v>
      </c>
      <c r="E371" s="95" t="s">
        <v>1515</v>
      </c>
      <c r="F371" s="95">
        <v>1.0</v>
      </c>
      <c r="G371" s="95">
        <v>2722.5</v>
      </c>
      <c r="H371" s="95" t="s">
        <v>167</v>
      </c>
    </row>
    <row r="372" ht="14.25" hidden="1" customHeight="1">
      <c r="B372" s="95">
        <v>44687.0</v>
      </c>
      <c r="C372" s="95">
        <v>1958.0</v>
      </c>
      <c r="D372" s="95" t="s">
        <v>44</v>
      </c>
      <c r="E372" s="95" t="s">
        <v>1516</v>
      </c>
      <c r="F372" s="95">
        <v>1.0</v>
      </c>
      <c r="G372" s="95">
        <v>8998.44</v>
      </c>
      <c r="H372" s="95" t="s">
        <v>167</v>
      </c>
    </row>
    <row r="373" ht="14.25" hidden="1" customHeight="1">
      <c r="B373" s="95">
        <v>44687.0</v>
      </c>
      <c r="C373" s="95">
        <v>1958.0</v>
      </c>
      <c r="D373" s="95" t="s">
        <v>44</v>
      </c>
      <c r="E373" s="95" t="s">
        <v>1517</v>
      </c>
      <c r="F373" s="95">
        <v>1.0</v>
      </c>
      <c r="G373" s="95">
        <v>16900.0</v>
      </c>
      <c r="H373" s="95" t="s">
        <v>167</v>
      </c>
    </row>
    <row r="374" ht="14.25" hidden="1" customHeight="1">
      <c r="B374" s="95">
        <v>44687.0</v>
      </c>
      <c r="C374" s="95">
        <v>1958.0</v>
      </c>
      <c r="D374" s="95" t="s">
        <v>44</v>
      </c>
      <c r="E374" s="95" t="s">
        <v>1517</v>
      </c>
      <c r="F374" s="95">
        <v>1.0</v>
      </c>
      <c r="G374" s="95">
        <v>5060.89</v>
      </c>
      <c r="H374" s="95" t="s">
        <v>167</v>
      </c>
    </row>
    <row r="375" ht="14.25" hidden="1" customHeight="1">
      <c r="B375" s="95">
        <v>44690.0</v>
      </c>
      <c r="C375" s="95">
        <v>1959.0</v>
      </c>
      <c r="D375" s="95" t="s">
        <v>39</v>
      </c>
      <c r="E375" s="95" t="s">
        <v>1518</v>
      </c>
      <c r="F375" s="95">
        <v>1.0</v>
      </c>
      <c r="G375" s="95">
        <v>131.38</v>
      </c>
      <c r="H375" s="95" t="s">
        <v>167</v>
      </c>
    </row>
    <row r="376" ht="14.25" hidden="1" customHeight="1">
      <c r="B376" s="95">
        <v>44690.0</v>
      </c>
      <c r="C376" s="95">
        <v>1959.0</v>
      </c>
      <c r="D376" s="95" t="s">
        <v>39</v>
      </c>
      <c r="E376" s="95" t="s">
        <v>1519</v>
      </c>
      <c r="F376" s="95">
        <v>1.0</v>
      </c>
      <c r="G376" s="95">
        <v>52.7</v>
      </c>
      <c r="H376" s="95" t="s">
        <v>167</v>
      </c>
    </row>
    <row r="377" ht="14.25" hidden="1" customHeight="1">
      <c r="B377" s="95">
        <v>44690.0</v>
      </c>
      <c r="C377" s="95">
        <v>1963.0</v>
      </c>
      <c r="D377" s="95" t="s">
        <v>188</v>
      </c>
      <c r="E377" s="95" t="s">
        <v>1520</v>
      </c>
      <c r="F377" s="95">
        <v>1.0</v>
      </c>
      <c r="G377" s="95">
        <v>91135.47</v>
      </c>
      <c r="H377" s="95" t="s">
        <v>167</v>
      </c>
    </row>
    <row r="378" ht="14.25" hidden="1" customHeight="1">
      <c r="B378" s="95">
        <v>44690.0</v>
      </c>
      <c r="C378" s="95">
        <v>2293.0</v>
      </c>
      <c r="D378" s="95" t="s">
        <v>44</v>
      </c>
      <c r="E378" s="95" t="s">
        <v>1521</v>
      </c>
      <c r="F378" s="95">
        <v>2.0</v>
      </c>
      <c r="G378" s="95">
        <v>11627.98</v>
      </c>
      <c r="H378" s="95" t="s">
        <v>180</v>
      </c>
      <c r="J378" s="95">
        <v>11627.98</v>
      </c>
      <c r="K378" s="95">
        <v>44834.0</v>
      </c>
      <c r="L378" s="95">
        <v>1944.0</v>
      </c>
      <c r="M378" s="95">
        <v>4.501554441E9</v>
      </c>
      <c r="N378" s="95">
        <v>44834.0</v>
      </c>
      <c r="O378" s="95">
        <v>44866.0</v>
      </c>
    </row>
    <row r="379" ht="14.25" hidden="1" customHeight="1">
      <c r="B379" s="95">
        <v>44690.0</v>
      </c>
      <c r="C379" s="95">
        <v>1966.0</v>
      </c>
      <c r="D379" s="95" t="s">
        <v>44</v>
      </c>
      <c r="E379" s="95" t="s">
        <v>1521</v>
      </c>
      <c r="F379" s="95">
        <v>2.0</v>
      </c>
      <c r="G379" s="95">
        <v>11627.98</v>
      </c>
      <c r="H379" s="95" t="s">
        <v>167</v>
      </c>
      <c r="I379" s="95" t="s">
        <v>1522</v>
      </c>
      <c r="M379" s="95">
        <v>4.501554441E9</v>
      </c>
      <c r="N379" s="95">
        <v>44904.0</v>
      </c>
    </row>
    <row r="380" ht="14.25" hidden="1" customHeight="1">
      <c r="B380" s="95">
        <v>44690.0</v>
      </c>
      <c r="D380" s="95" t="s">
        <v>44</v>
      </c>
      <c r="E380" s="95" t="s">
        <v>1007</v>
      </c>
      <c r="F380" s="95">
        <v>200.0</v>
      </c>
      <c r="H380" s="95" t="s">
        <v>1281</v>
      </c>
    </row>
    <row r="381" ht="14.25" hidden="1" customHeight="1">
      <c r="B381" s="95">
        <v>44690.0</v>
      </c>
      <c r="C381" s="95">
        <v>1967.0</v>
      </c>
      <c r="D381" s="95" t="s">
        <v>44</v>
      </c>
      <c r="E381" s="95" t="s">
        <v>1523</v>
      </c>
      <c r="F381" s="95">
        <v>1.0</v>
      </c>
      <c r="G381" s="95">
        <v>41700.0</v>
      </c>
      <c r="H381" s="95" t="s">
        <v>167</v>
      </c>
      <c r="I381" s="95" t="s">
        <v>1524</v>
      </c>
    </row>
    <row r="382" ht="14.25" hidden="1" customHeight="1">
      <c r="B382" s="95">
        <v>44690.0</v>
      </c>
      <c r="C382" s="95" t="s">
        <v>1525</v>
      </c>
      <c r="D382" s="95" t="s">
        <v>44</v>
      </c>
      <c r="E382" s="95" t="s">
        <v>1427</v>
      </c>
      <c r="F382" s="95">
        <v>1.0</v>
      </c>
      <c r="G382" s="95">
        <v>1362.35</v>
      </c>
      <c r="H382" s="95" t="s">
        <v>180</v>
      </c>
      <c r="J382" s="95">
        <v>1362.35</v>
      </c>
      <c r="K382" s="95">
        <v>44743.0</v>
      </c>
      <c r="L382" s="95">
        <v>1855.0</v>
      </c>
      <c r="M382" s="95">
        <v>4.501564756E9</v>
      </c>
      <c r="N382" s="95">
        <v>44751.0</v>
      </c>
      <c r="O382" s="95">
        <v>44774.0</v>
      </c>
    </row>
    <row r="383" ht="14.25" hidden="1" customHeight="1">
      <c r="B383" s="95">
        <v>44690.0</v>
      </c>
      <c r="C383" s="95">
        <v>1971.0</v>
      </c>
      <c r="D383" s="95" t="s">
        <v>44</v>
      </c>
      <c r="E383" s="95" t="s">
        <v>586</v>
      </c>
      <c r="F383" s="95">
        <v>1.0</v>
      </c>
      <c r="G383" s="95">
        <v>638.8</v>
      </c>
      <c r="H383" s="95" t="s">
        <v>167</v>
      </c>
    </row>
    <row r="384" ht="14.25" hidden="1" customHeight="1">
      <c r="B384" s="95">
        <v>44690.0</v>
      </c>
      <c r="C384" s="95">
        <v>1971.0</v>
      </c>
      <c r="D384" s="95" t="s">
        <v>44</v>
      </c>
      <c r="E384" s="95" t="s">
        <v>1526</v>
      </c>
      <c r="F384" s="95">
        <v>1.0</v>
      </c>
      <c r="G384" s="95">
        <v>1432.25</v>
      </c>
      <c r="H384" s="95" t="s">
        <v>167</v>
      </c>
    </row>
    <row r="385" ht="14.25" hidden="1" customHeight="1">
      <c r="B385" s="95">
        <v>44690.0</v>
      </c>
      <c r="C385" s="95" t="s">
        <v>1527</v>
      </c>
      <c r="D385" s="95" t="s">
        <v>44</v>
      </c>
      <c r="E385" s="95" t="s">
        <v>1528</v>
      </c>
      <c r="F385" s="95">
        <v>1.0</v>
      </c>
      <c r="G385" s="95">
        <v>8817.42</v>
      </c>
      <c r="H385" s="95" t="s">
        <v>180</v>
      </c>
      <c r="I385" s="95" t="s">
        <v>1529</v>
      </c>
      <c r="J385" s="95">
        <v>8817.42</v>
      </c>
      <c r="K385" s="95">
        <v>44936.0</v>
      </c>
      <c r="L385" s="95">
        <v>2036.0</v>
      </c>
      <c r="M385" s="95">
        <v>4.501557104E9</v>
      </c>
      <c r="N385" s="95">
        <v>44900.0</v>
      </c>
      <c r="O385" s="95">
        <v>44967.0</v>
      </c>
    </row>
    <row r="386" ht="14.25" hidden="1" customHeight="1">
      <c r="B386" s="95">
        <v>44690.0</v>
      </c>
      <c r="C386" s="95">
        <v>1968.0</v>
      </c>
      <c r="D386" s="95" t="s">
        <v>164</v>
      </c>
      <c r="E386" s="95" t="s">
        <v>525</v>
      </c>
      <c r="F386" s="95">
        <v>150.0</v>
      </c>
      <c r="G386" s="95">
        <v>2229.0</v>
      </c>
      <c r="H386" s="95" t="s">
        <v>180</v>
      </c>
      <c r="J386" s="95">
        <v>2229.0</v>
      </c>
      <c r="K386" s="95">
        <v>44713.0</v>
      </c>
      <c r="L386" s="95">
        <v>1830.0</v>
      </c>
      <c r="M386" s="95">
        <v>4.500397163E9</v>
      </c>
      <c r="O386" s="95">
        <v>44743.0</v>
      </c>
    </row>
    <row r="387" ht="14.25" hidden="1" customHeight="1">
      <c r="B387" s="95">
        <v>44691.0</v>
      </c>
      <c r="C387" s="95">
        <v>1969.0</v>
      </c>
      <c r="D387" s="95" t="s">
        <v>188</v>
      </c>
      <c r="E387" s="95" t="s">
        <v>1530</v>
      </c>
      <c r="F387" s="95">
        <v>2.0</v>
      </c>
      <c r="G387" s="95">
        <v>6923.53</v>
      </c>
      <c r="H387" s="95" t="s">
        <v>167</v>
      </c>
    </row>
    <row r="388" ht="14.25" hidden="1" customHeight="1">
      <c r="B388" s="95">
        <v>44692.0</v>
      </c>
      <c r="C388" s="95">
        <v>1974.0</v>
      </c>
      <c r="D388" s="95" t="s">
        <v>1531</v>
      </c>
      <c r="E388" s="95" t="s">
        <v>1532</v>
      </c>
      <c r="F388" s="95">
        <v>4.0</v>
      </c>
      <c r="G388" s="95">
        <v>643.16</v>
      </c>
      <c r="H388" s="95" t="s">
        <v>167</v>
      </c>
    </row>
    <row r="389" ht="14.25" hidden="1" customHeight="1">
      <c r="B389" s="95">
        <v>44692.0</v>
      </c>
      <c r="C389" s="95">
        <v>1974.0</v>
      </c>
      <c r="D389" s="95" t="s">
        <v>1531</v>
      </c>
      <c r="E389" s="95" t="s">
        <v>1533</v>
      </c>
      <c r="F389" s="95">
        <v>2.0</v>
      </c>
      <c r="G389" s="95">
        <v>519.26</v>
      </c>
      <c r="H389" s="95" t="s">
        <v>167</v>
      </c>
    </row>
    <row r="390" ht="14.25" hidden="1" customHeight="1">
      <c r="B390" s="95">
        <v>44693.0</v>
      </c>
      <c r="C390" s="95">
        <v>1916.0</v>
      </c>
      <c r="D390" s="95" t="s">
        <v>44</v>
      </c>
      <c r="E390" s="95" t="s">
        <v>1300</v>
      </c>
      <c r="F390" s="95">
        <v>1.0</v>
      </c>
      <c r="G390" s="95">
        <v>579.54</v>
      </c>
      <c r="H390" s="95" t="s">
        <v>180</v>
      </c>
      <c r="J390" s="95">
        <v>579.54</v>
      </c>
      <c r="K390" s="95">
        <v>44694.0</v>
      </c>
      <c r="L390" s="95">
        <v>1802.0</v>
      </c>
      <c r="M390" s="95">
        <v>4.501522653E9</v>
      </c>
      <c r="O390" s="95">
        <v>44732.0</v>
      </c>
    </row>
    <row r="391" ht="14.25" hidden="1" customHeight="1">
      <c r="B391" s="95">
        <v>44693.0</v>
      </c>
      <c r="C391" s="95">
        <v>1916.0</v>
      </c>
      <c r="D391" s="95" t="s">
        <v>44</v>
      </c>
      <c r="E391" s="95" t="s">
        <v>1335</v>
      </c>
      <c r="F391" s="95">
        <v>1.0</v>
      </c>
      <c r="G391" s="95">
        <v>991.24</v>
      </c>
      <c r="H391" s="95" t="s">
        <v>180</v>
      </c>
      <c r="J391" s="95">
        <v>991.24</v>
      </c>
      <c r="K391" s="95">
        <v>44762.0</v>
      </c>
      <c r="L391" s="95">
        <v>1870.0</v>
      </c>
      <c r="M391" s="95">
        <v>4.501522653E9</v>
      </c>
      <c r="N391" s="95">
        <v>44747.0</v>
      </c>
      <c r="O391" s="95">
        <v>44762.0</v>
      </c>
    </row>
    <row r="392" ht="14.25" hidden="1" customHeight="1">
      <c r="B392" s="95">
        <v>44693.0</v>
      </c>
      <c r="C392" s="95">
        <v>1916.0</v>
      </c>
      <c r="D392" s="95" t="s">
        <v>44</v>
      </c>
      <c r="E392" s="95" t="s">
        <v>1336</v>
      </c>
      <c r="F392" s="95">
        <v>1.0</v>
      </c>
      <c r="G392" s="95">
        <v>1130.49</v>
      </c>
      <c r="H392" s="95" t="s">
        <v>180</v>
      </c>
      <c r="J392" s="95">
        <v>1130.49</v>
      </c>
      <c r="K392" s="95">
        <v>44694.0</v>
      </c>
      <c r="L392" s="95">
        <v>1802.0</v>
      </c>
      <c r="M392" s="95">
        <v>4.501522653E9</v>
      </c>
      <c r="O392" s="95">
        <v>44732.0</v>
      </c>
    </row>
    <row r="393" ht="14.25" hidden="1" customHeight="1">
      <c r="B393" s="95">
        <v>44693.0</v>
      </c>
      <c r="C393" s="95">
        <v>1916.0</v>
      </c>
      <c r="D393" s="95" t="s">
        <v>44</v>
      </c>
      <c r="E393" s="95" t="s">
        <v>1337</v>
      </c>
      <c r="F393" s="95">
        <v>1.0</v>
      </c>
      <c r="G393" s="95">
        <v>1852.81</v>
      </c>
      <c r="H393" s="95" t="s">
        <v>180</v>
      </c>
      <c r="J393" s="95">
        <v>1852.81</v>
      </c>
      <c r="K393" s="95">
        <v>44776.0</v>
      </c>
      <c r="L393" s="95">
        <v>1893.0</v>
      </c>
      <c r="M393" s="95">
        <v>4.501522653E9</v>
      </c>
      <c r="N393" s="95">
        <v>44761.0</v>
      </c>
      <c r="O393" s="95">
        <v>44814.0</v>
      </c>
    </row>
    <row r="394" ht="14.25" hidden="1" customHeight="1">
      <c r="B394" s="95">
        <v>44693.0</v>
      </c>
      <c r="C394" s="95">
        <v>1916.0</v>
      </c>
      <c r="D394" s="95" t="s">
        <v>44</v>
      </c>
      <c r="E394" s="95" t="s">
        <v>1338</v>
      </c>
      <c r="F394" s="95">
        <v>1.0</v>
      </c>
      <c r="G394" s="95">
        <v>2584.73</v>
      </c>
      <c r="H394" s="95" t="s">
        <v>180</v>
      </c>
      <c r="J394" s="95">
        <v>2584.73</v>
      </c>
      <c r="K394" s="95">
        <v>44776.0</v>
      </c>
      <c r="L394" s="95">
        <v>1893.0</v>
      </c>
      <c r="M394" s="95">
        <v>4.501522653E9</v>
      </c>
      <c r="N394" s="95">
        <v>44754.0</v>
      </c>
      <c r="O394" s="95">
        <v>44814.0</v>
      </c>
    </row>
    <row r="395" ht="14.25" hidden="1" customHeight="1">
      <c r="B395" s="95">
        <v>44694.0</v>
      </c>
      <c r="C395" s="95">
        <v>1976.0</v>
      </c>
      <c r="D395" s="95" t="s">
        <v>44</v>
      </c>
      <c r="E395" s="95" t="s">
        <v>825</v>
      </c>
      <c r="F395" s="95">
        <v>1.0</v>
      </c>
      <c r="G395" s="95">
        <v>1362.35</v>
      </c>
      <c r="H395" s="95" t="s">
        <v>167</v>
      </c>
    </row>
    <row r="396" ht="14.25" hidden="1" customHeight="1">
      <c r="B396" s="95">
        <v>44694.0</v>
      </c>
      <c r="C396" s="95">
        <v>1981.0</v>
      </c>
      <c r="D396" s="95" t="s">
        <v>77</v>
      </c>
      <c r="E396" s="95" t="s">
        <v>1534</v>
      </c>
      <c r="F396" s="95">
        <v>1.0</v>
      </c>
      <c r="G396" s="95">
        <v>9445.96</v>
      </c>
      <c r="H396" s="95" t="s">
        <v>167</v>
      </c>
      <c r="I396" s="95" t="s">
        <v>1535</v>
      </c>
    </row>
    <row r="397" ht="14.25" hidden="1" customHeight="1">
      <c r="B397" s="95">
        <v>44697.0</v>
      </c>
      <c r="C397" s="95">
        <v>1980.0</v>
      </c>
      <c r="D397" s="95" t="s">
        <v>44</v>
      </c>
      <c r="E397" s="95" t="s">
        <v>1536</v>
      </c>
      <c r="F397" s="95">
        <v>2.0</v>
      </c>
      <c r="G397" s="95">
        <v>11298.18</v>
      </c>
      <c r="H397" s="95" t="s">
        <v>167</v>
      </c>
      <c r="I397" s="95" t="s">
        <v>1537</v>
      </c>
    </row>
    <row r="398" ht="14.25" hidden="1" customHeight="1">
      <c r="B398" s="95">
        <v>44698.0</v>
      </c>
      <c r="C398" s="95">
        <v>1985.0</v>
      </c>
      <c r="D398" s="95" t="s">
        <v>1538</v>
      </c>
      <c r="E398" s="95" t="s">
        <v>1539</v>
      </c>
      <c r="F398" s="95">
        <v>1.0</v>
      </c>
      <c r="G398" s="95">
        <v>5908.77</v>
      </c>
      <c r="H398" s="95" t="s">
        <v>167</v>
      </c>
      <c r="I398" s="95" t="s">
        <v>1540</v>
      </c>
    </row>
    <row r="399" ht="14.25" hidden="1" customHeight="1">
      <c r="B399" s="95">
        <v>44698.0</v>
      </c>
      <c r="C399" s="95">
        <v>1984.0</v>
      </c>
      <c r="D399" s="95" t="s">
        <v>44</v>
      </c>
      <c r="E399" s="95" t="s">
        <v>1541</v>
      </c>
      <c r="F399" s="95">
        <v>1.0</v>
      </c>
      <c r="G399" s="95">
        <v>6729.42</v>
      </c>
      <c r="H399" s="95" t="s">
        <v>167</v>
      </c>
    </row>
    <row r="400" ht="14.25" hidden="1" customHeight="1">
      <c r="B400" s="95">
        <v>44698.0</v>
      </c>
      <c r="C400" s="95">
        <v>1984.0</v>
      </c>
      <c r="D400" s="95" t="s">
        <v>44</v>
      </c>
      <c r="E400" s="95" t="s">
        <v>1542</v>
      </c>
      <c r="F400" s="95">
        <v>1.0</v>
      </c>
      <c r="G400" s="95">
        <v>5336.33</v>
      </c>
      <c r="H400" s="95" t="s">
        <v>167</v>
      </c>
    </row>
    <row r="401" ht="14.25" hidden="1" customHeight="1">
      <c r="B401" s="95">
        <v>44699.0</v>
      </c>
      <c r="C401" s="95">
        <v>1989.0</v>
      </c>
      <c r="D401" s="95" t="s">
        <v>1543</v>
      </c>
      <c r="E401" s="95" t="s">
        <v>1544</v>
      </c>
      <c r="F401" s="95">
        <v>1.0</v>
      </c>
      <c r="G401" s="95">
        <v>11040.65</v>
      </c>
      <c r="H401" s="95" t="s">
        <v>167</v>
      </c>
      <c r="I401" s="95" t="s">
        <v>1545</v>
      </c>
    </row>
    <row r="402" ht="14.25" hidden="1" customHeight="1">
      <c r="B402" s="95">
        <v>44701.0</v>
      </c>
      <c r="C402" s="95">
        <v>1994.0</v>
      </c>
      <c r="D402" s="95" t="s">
        <v>44</v>
      </c>
      <c r="E402" s="95" t="s">
        <v>807</v>
      </c>
      <c r="F402" s="95">
        <v>1.0</v>
      </c>
      <c r="G402" s="95">
        <v>41400.0</v>
      </c>
      <c r="H402" s="95" t="s">
        <v>180</v>
      </c>
      <c r="J402" s="95">
        <v>41400.0</v>
      </c>
      <c r="K402" s="95">
        <v>44813.0</v>
      </c>
      <c r="L402" s="95">
        <v>1923.0</v>
      </c>
      <c r="M402" s="95">
        <v>4.501541594E9</v>
      </c>
      <c r="N402" s="95">
        <v>44742.0</v>
      </c>
      <c r="O402" s="95">
        <v>44844.0</v>
      </c>
    </row>
    <row r="403" ht="14.25" hidden="1" customHeight="1">
      <c r="B403" s="95">
        <v>44704.0</v>
      </c>
      <c r="C403" s="95">
        <v>1995.0</v>
      </c>
      <c r="D403" s="95" t="s">
        <v>188</v>
      </c>
      <c r="E403" s="95" t="s">
        <v>1465</v>
      </c>
      <c r="F403" s="95">
        <v>20.0</v>
      </c>
      <c r="G403" s="95">
        <v>73296.88</v>
      </c>
      <c r="H403" s="95" t="s">
        <v>167</v>
      </c>
    </row>
    <row r="404" ht="14.25" hidden="1" customHeight="1">
      <c r="B404" s="95">
        <v>44704.0</v>
      </c>
      <c r="C404" s="95">
        <v>1997.0</v>
      </c>
      <c r="D404" s="95" t="s">
        <v>1546</v>
      </c>
      <c r="E404" s="95" t="s">
        <v>1547</v>
      </c>
      <c r="F404" s="95">
        <v>1.0</v>
      </c>
      <c r="G404" s="95">
        <v>3529.76</v>
      </c>
      <c r="H404" s="95" t="s">
        <v>167</v>
      </c>
    </row>
    <row r="405" ht="14.25" hidden="1" customHeight="1">
      <c r="B405" s="95">
        <v>44704.0</v>
      </c>
      <c r="C405" s="95">
        <v>1997.0</v>
      </c>
      <c r="D405" s="95" t="s">
        <v>1546</v>
      </c>
      <c r="E405" s="95" t="s">
        <v>1548</v>
      </c>
      <c r="F405" s="95">
        <v>1.0</v>
      </c>
      <c r="G405" s="95">
        <v>19784.26</v>
      </c>
      <c r="H405" s="95" t="s">
        <v>167</v>
      </c>
    </row>
    <row r="406" ht="14.25" hidden="1" customHeight="1">
      <c r="B406" s="95">
        <v>44704.0</v>
      </c>
      <c r="C406" s="95">
        <v>1996.0</v>
      </c>
      <c r="D406" s="95" t="s">
        <v>1549</v>
      </c>
      <c r="E406" s="95" t="s">
        <v>1550</v>
      </c>
      <c r="F406" s="95">
        <v>1.0</v>
      </c>
      <c r="G406" s="95">
        <v>1339.63</v>
      </c>
      <c r="H406" s="95" t="s">
        <v>167</v>
      </c>
    </row>
    <row r="407" ht="14.25" hidden="1" customHeight="1">
      <c r="B407" s="95">
        <v>44704.0</v>
      </c>
      <c r="C407" s="95">
        <v>1996.0</v>
      </c>
      <c r="D407" s="95" t="s">
        <v>1549</v>
      </c>
      <c r="E407" s="95" t="s">
        <v>1551</v>
      </c>
      <c r="F407" s="95">
        <v>1.0</v>
      </c>
      <c r="G407" s="95">
        <v>1978.51</v>
      </c>
      <c r="H407" s="95" t="s">
        <v>167</v>
      </c>
    </row>
    <row r="408" ht="14.25" hidden="1" customHeight="1">
      <c r="B408" s="95">
        <v>44704.0</v>
      </c>
      <c r="C408" s="95">
        <v>1996.0</v>
      </c>
      <c r="D408" s="95" t="s">
        <v>1549</v>
      </c>
      <c r="E408" s="95" t="s">
        <v>1552</v>
      </c>
      <c r="F408" s="95">
        <v>1.0</v>
      </c>
      <c r="G408" s="95">
        <v>3360.42</v>
      </c>
      <c r="H408" s="95" t="s">
        <v>167</v>
      </c>
    </row>
    <row r="409" ht="14.25" hidden="1" customHeight="1">
      <c r="B409" s="95">
        <v>44704.0</v>
      </c>
      <c r="C409" s="95">
        <v>1996.0</v>
      </c>
      <c r="D409" s="95" t="s">
        <v>1549</v>
      </c>
      <c r="E409" s="95" t="s">
        <v>1553</v>
      </c>
      <c r="F409" s="95">
        <v>1.0</v>
      </c>
      <c r="G409" s="95">
        <v>1297.14</v>
      </c>
      <c r="H409" s="95" t="s">
        <v>167</v>
      </c>
    </row>
    <row r="410" ht="14.25" hidden="1" customHeight="1">
      <c r="B410" s="95">
        <v>44704.0</v>
      </c>
      <c r="C410" s="95" t="s">
        <v>1554</v>
      </c>
      <c r="D410" s="95" t="s">
        <v>1549</v>
      </c>
      <c r="E410" s="95" t="s">
        <v>1555</v>
      </c>
      <c r="F410" s="95">
        <v>4.0</v>
      </c>
      <c r="G410" s="95">
        <v>3478.12</v>
      </c>
      <c r="H410" s="95" t="s">
        <v>167</v>
      </c>
    </row>
    <row r="411" ht="14.25" hidden="1" customHeight="1">
      <c r="B411" s="95">
        <v>44705.0</v>
      </c>
      <c r="C411" s="95">
        <v>2003.0</v>
      </c>
      <c r="D411" s="95" t="s">
        <v>44</v>
      </c>
      <c r="E411" s="95" t="s">
        <v>1556</v>
      </c>
      <c r="F411" s="95">
        <v>1.0</v>
      </c>
      <c r="G411" s="95">
        <v>782.46</v>
      </c>
      <c r="H411" s="95" t="s">
        <v>167</v>
      </c>
      <c r="I411" s="95" t="s">
        <v>1557</v>
      </c>
    </row>
    <row r="412" ht="14.25" hidden="1" customHeight="1">
      <c r="B412" s="95">
        <v>44705.0</v>
      </c>
      <c r="C412" s="95">
        <v>2002.0</v>
      </c>
      <c r="D412" s="95" t="s">
        <v>44</v>
      </c>
      <c r="E412" s="95" t="s">
        <v>1558</v>
      </c>
      <c r="F412" s="95">
        <v>100.0</v>
      </c>
      <c r="G412" s="95">
        <v>1683.13</v>
      </c>
      <c r="H412" s="95" t="s">
        <v>180</v>
      </c>
      <c r="J412" s="95">
        <v>1683.13</v>
      </c>
      <c r="K412" s="95">
        <v>44838.0</v>
      </c>
      <c r="L412" s="95">
        <v>1947.0</v>
      </c>
      <c r="M412" s="95">
        <v>4.501611231E9</v>
      </c>
      <c r="O412" s="95">
        <v>44875.0</v>
      </c>
    </row>
    <row r="413" ht="14.25" hidden="1" customHeight="1">
      <c r="B413" s="95">
        <v>44705.0</v>
      </c>
      <c r="C413" s="95">
        <v>2002.0</v>
      </c>
      <c r="D413" s="95" t="s">
        <v>44</v>
      </c>
      <c r="E413" s="95" t="s">
        <v>1559</v>
      </c>
      <c r="F413" s="95">
        <v>100.0</v>
      </c>
      <c r="G413" s="95">
        <v>3724.1</v>
      </c>
      <c r="H413" s="95" t="s">
        <v>180</v>
      </c>
      <c r="J413" s="95">
        <v>3724.1</v>
      </c>
      <c r="K413" s="95">
        <v>44838.0</v>
      </c>
      <c r="L413" s="95">
        <v>1947.0</v>
      </c>
      <c r="M413" s="95">
        <v>4.501611231E9</v>
      </c>
      <c r="O413" s="95">
        <v>44875.0</v>
      </c>
    </row>
    <row r="414" ht="14.25" hidden="1" customHeight="1">
      <c r="B414" s="95">
        <v>44705.0</v>
      </c>
      <c r="C414" s="95">
        <v>2002.0</v>
      </c>
      <c r="D414" s="95" t="s">
        <v>44</v>
      </c>
      <c r="E414" s="95" t="s">
        <v>1273</v>
      </c>
      <c r="F414" s="95">
        <v>430.0</v>
      </c>
      <c r="G414" s="95">
        <v>13640.85</v>
      </c>
      <c r="H414" s="95" t="s">
        <v>180</v>
      </c>
      <c r="J414" s="95">
        <v>13640.85</v>
      </c>
      <c r="K414" s="95">
        <v>44838.0</v>
      </c>
      <c r="L414" s="95">
        <v>1947.0</v>
      </c>
      <c r="M414" s="95">
        <v>4.501611231E9</v>
      </c>
      <c r="O414" s="95">
        <v>44875.0</v>
      </c>
    </row>
    <row r="415" ht="14.25" hidden="1" customHeight="1">
      <c r="B415" s="95">
        <v>44705.0</v>
      </c>
      <c r="C415" s="95">
        <v>2002.0</v>
      </c>
      <c r="D415" s="95" t="s">
        <v>44</v>
      </c>
      <c r="E415" s="95" t="s">
        <v>1273</v>
      </c>
      <c r="F415" s="95">
        <v>10.0</v>
      </c>
      <c r="G415" s="94">
        <v>317.22</v>
      </c>
      <c r="J415" s="95">
        <v>317.23</v>
      </c>
      <c r="K415" s="95">
        <v>45005.0</v>
      </c>
      <c r="L415" s="95">
        <v>2083.0</v>
      </c>
      <c r="M415" s="95">
        <v>4.501611231E9</v>
      </c>
    </row>
    <row r="416" ht="14.25" hidden="1" customHeight="1">
      <c r="B416" s="95">
        <v>44706.0</v>
      </c>
      <c r="C416" s="95">
        <v>2006.0</v>
      </c>
      <c r="D416" s="95" t="s">
        <v>188</v>
      </c>
      <c r="E416" s="95" t="s">
        <v>1561</v>
      </c>
      <c r="F416" s="95">
        <v>10.0</v>
      </c>
      <c r="G416" s="95">
        <v>352.7</v>
      </c>
      <c r="H416" s="95" t="s">
        <v>167</v>
      </c>
    </row>
    <row r="417" ht="14.25" hidden="1" customHeight="1">
      <c r="B417" s="95">
        <v>44711.0</v>
      </c>
      <c r="C417" s="95">
        <v>2014.0</v>
      </c>
      <c r="D417" s="95" t="s">
        <v>44</v>
      </c>
      <c r="E417" s="95" t="s">
        <v>1562</v>
      </c>
      <c r="F417" s="95">
        <v>1.0</v>
      </c>
      <c r="H417" s="95" t="s">
        <v>241</v>
      </c>
      <c r="I417" s="95" t="s">
        <v>1563</v>
      </c>
    </row>
    <row r="418" ht="14.25" hidden="1" customHeight="1">
      <c r="B418" s="95">
        <v>44711.0</v>
      </c>
      <c r="C418" s="95">
        <v>2015.0</v>
      </c>
      <c r="D418" s="95" t="s">
        <v>44</v>
      </c>
      <c r="E418" s="95" t="s">
        <v>1562</v>
      </c>
      <c r="F418" s="95">
        <v>1.0</v>
      </c>
      <c r="H418" s="95" t="s">
        <v>241</v>
      </c>
    </row>
    <row r="419" ht="14.25" hidden="1" customHeight="1">
      <c r="B419" s="95">
        <v>44711.0</v>
      </c>
      <c r="C419" s="95">
        <v>2016.0</v>
      </c>
      <c r="D419" s="95" t="s">
        <v>44</v>
      </c>
      <c r="E419" s="95" t="s">
        <v>1564</v>
      </c>
      <c r="F419" s="95">
        <v>1.0</v>
      </c>
      <c r="H419" s="95" t="s">
        <v>241</v>
      </c>
    </row>
    <row r="420" ht="14.25" hidden="1" customHeight="1">
      <c r="B420" s="95">
        <v>44711.0</v>
      </c>
      <c r="C420" s="95">
        <v>2017.0</v>
      </c>
      <c r="D420" s="95" t="s">
        <v>44</v>
      </c>
      <c r="E420" s="95" t="s">
        <v>1564</v>
      </c>
      <c r="F420" s="95">
        <v>2.0</v>
      </c>
      <c r="H420" s="95" t="s">
        <v>241</v>
      </c>
    </row>
    <row r="421" ht="14.25" hidden="1" customHeight="1">
      <c r="B421" s="95">
        <v>44711.0</v>
      </c>
      <c r="C421" s="95">
        <v>2018.0</v>
      </c>
      <c r="D421" s="95" t="s">
        <v>19</v>
      </c>
      <c r="E421" s="95" t="s">
        <v>1565</v>
      </c>
      <c r="F421" s="95">
        <v>36.0</v>
      </c>
      <c r="G421" s="95">
        <v>342.0</v>
      </c>
      <c r="H421" s="95" t="s">
        <v>167</v>
      </c>
    </row>
    <row r="422" ht="14.25" hidden="1" customHeight="1">
      <c r="B422" s="95">
        <v>44711.0</v>
      </c>
      <c r="C422" s="95">
        <v>2023.0</v>
      </c>
      <c r="D422" s="95" t="s">
        <v>19</v>
      </c>
      <c r="E422" s="95" t="s">
        <v>1565</v>
      </c>
      <c r="F422" s="95">
        <v>36.0</v>
      </c>
      <c r="G422" s="95">
        <v>702.0</v>
      </c>
      <c r="H422" s="95" t="s">
        <v>180</v>
      </c>
      <c r="J422" s="95">
        <v>702.0</v>
      </c>
      <c r="K422" s="95">
        <v>44714.0</v>
      </c>
      <c r="L422" s="95">
        <v>1832.0</v>
      </c>
      <c r="M422" s="95">
        <v>4.500397387E9</v>
      </c>
      <c r="O422" s="95">
        <v>44744.0</v>
      </c>
    </row>
    <row r="423" ht="14.25" hidden="1" customHeight="1">
      <c r="B423" s="95">
        <v>44711.0</v>
      </c>
      <c r="C423" s="95">
        <v>2020.0</v>
      </c>
      <c r="D423" s="95" t="s">
        <v>1566</v>
      </c>
      <c r="E423" s="95" t="s">
        <v>1567</v>
      </c>
      <c r="F423" s="95">
        <v>1.0</v>
      </c>
      <c r="G423" s="95">
        <v>3340.0</v>
      </c>
      <c r="H423" s="95" t="s">
        <v>167</v>
      </c>
    </row>
    <row r="424" ht="14.25" hidden="1" customHeight="1">
      <c r="B424" s="95">
        <v>44712.0</v>
      </c>
      <c r="C424" s="95">
        <v>2019.0</v>
      </c>
      <c r="D424" s="95" t="s">
        <v>77</v>
      </c>
      <c r="E424" s="95" t="s">
        <v>88</v>
      </c>
      <c r="F424" s="95">
        <v>1.0</v>
      </c>
      <c r="G424" s="95">
        <v>20170.19</v>
      </c>
      <c r="H424" s="95" t="s">
        <v>167</v>
      </c>
      <c r="I424" s="95" t="s">
        <v>1568</v>
      </c>
    </row>
    <row r="425" ht="14.25" hidden="1" customHeight="1">
      <c r="B425" s="95">
        <v>44712.0</v>
      </c>
      <c r="C425" s="95">
        <v>2021.0</v>
      </c>
      <c r="D425" s="95" t="s">
        <v>44</v>
      </c>
      <c r="E425" s="95" t="s">
        <v>88</v>
      </c>
      <c r="F425" s="95">
        <v>1.0</v>
      </c>
      <c r="G425" s="95">
        <v>21793.86</v>
      </c>
      <c r="H425" s="95" t="s">
        <v>167</v>
      </c>
    </row>
    <row r="426" ht="14.25" hidden="1" customHeight="1"/>
    <row r="427" ht="14.25" hidden="1" customHeight="1">
      <c r="B427" s="95">
        <v>44713.0</v>
      </c>
      <c r="C427" s="95">
        <v>2022.0</v>
      </c>
      <c r="D427" s="95" t="s">
        <v>1569</v>
      </c>
      <c r="E427" s="95" t="s">
        <v>1570</v>
      </c>
      <c r="F427" s="95">
        <v>3.0</v>
      </c>
      <c r="G427" s="95">
        <v>24931.82</v>
      </c>
      <c r="H427" s="95" t="s">
        <v>167</v>
      </c>
    </row>
    <row r="428" ht="14.25" hidden="1" customHeight="1">
      <c r="B428" s="95">
        <v>44713.0</v>
      </c>
      <c r="C428" s="95">
        <v>2022.0</v>
      </c>
      <c r="D428" s="95" t="s">
        <v>1569</v>
      </c>
      <c r="E428" s="95" t="s">
        <v>1571</v>
      </c>
      <c r="F428" s="95">
        <v>31.0</v>
      </c>
      <c r="G428" s="95">
        <v>8719.48</v>
      </c>
      <c r="H428" s="95" t="s">
        <v>167</v>
      </c>
    </row>
    <row r="429" ht="14.25" hidden="1" customHeight="1">
      <c r="B429" s="95">
        <v>44713.0</v>
      </c>
      <c r="C429" s="95">
        <v>2034.0</v>
      </c>
      <c r="D429" s="95" t="s">
        <v>1569</v>
      </c>
      <c r="E429" s="95" t="s">
        <v>1571</v>
      </c>
      <c r="F429" s="95">
        <v>13.0</v>
      </c>
      <c r="G429" s="95">
        <v>3656.55</v>
      </c>
      <c r="H429" s="95" t="s">
        <v>180</v>
      </c>
      <c r="J429" s="95">
        <v>3656.55</v>
      </c>
      <c r="K429" s="95">
        <v>44722.0</v>
      </c>
      <c r="L429" s="95">
        <v>1839.0</v>
      </c>
      <c r="O429" s="95">
        <v>44752.0</v>
      </c>
    </row>
    <row r="430" ht="14.25" hidden="1" customHeight="1">
      <c r="B430" s="95">
        <v>44713.0</v>
      </c>
      <c r="C430" s="95">
        <v>2034.0</v>
      </c>
      <c r="D430" s="95" t="s">
        <v>1569</v>
      </c>
      <c r="E430" s="95" t="s">
        <v>1571</v>
      </c>
      <c r="F430" s="95">
        <v>2.0</v>
      </c>
      <c r="H430" s="95" t="s">
        <v>180</v>
      </c>
      <c r="J430" s="95">
        <v>562.55</v>
      </c>
      <c r="K430" s="95">
        <v>44732.0</v>
      </c>
      <c r="L430" s="95">
        <v>1843.0</v>
      </c>
    </row>
    <row r="431" ht="14.25" hidden="1" customHeight="1">
      <c r="B431" s="95">
        <v>44713.0</v>
      </c>
      <c r="C431" s="95">
        <v>2035.0</v>
      </c>
      <c r="D431" s="95" t="s">
        <v>1569</v>
      </c>
      <c r="E431" s="95" t="s">
        <v>1571</v>
      </c>
      <c r="F431" s="95">
        <v>16.0</v>
      </c>
      <c r="G431" s="95">
        <v>4500.37</v>
      </c>
      <c r="H431" s="95" t="s">
        <v>180</v>
      </c>
      <c r="J431" s="95">
        <v>4500.37</v>
      </c>
      <c r="K431" s="95">
        <v>44742.0</v>
      </c>
      <c r="L431" s="95">
        <v>1852.0</v>
      </c>
      <c r="O431" s="95">
        <v>44772.0</v>
      </c>
    </row>
    <row r="432" ht="14.25" hidden="1" customHeight="1">
      <c r="B432" s="95">
        <v>44714.0</v>
      </c>
      <c r="C432" s="95">
        <v>2024.0</v>
      </c>
      <c r="D432" s="95" t="s">
        <v>1434</v>
      </c>
      <c r="E432" s="95" t="s">
        <v>1572</v>
      </c>
      <c r="F432" s="95">
        <v>1.0</v>
      </c>
      <c r="G432" s="95">
        <v>1830.59</v>
      </c>
      <c r="H432" s="95" t="s">
        <v>180</v>
      </c>
      <c r="J432" s="95">
        <v>1830.59</v>
      </c>
      <c r="K432" s="95">
        <v>44715.0</v>
      </c>
      <c r="L432" s="95">
        <v>1833.0</v>
      </c>
      <c r="M432" s="95" t="s">
        <v>1573</v>
      </c>
      <c r="O432" s="95">
        <v>44745.0</v>
      </c>
    </row>
    <row r="433" ht="14.25" hidden="1" customHeight="1">
      <c r="B433" s="95">
        <v>44714.0</v>
      </c>
      <c r="C433" s="95">
        <v>2025.0</v>
      </c>
      <c r="D433" s="95" t="s">
        <v>725</v>
      </c>
      <c r="E433" s="95" t="s">
        <v>1574</v>
      </c>
      <c r="F433" s="95">
        <v>1.0</v>
      </c>
      <c r="G433" s="95">
        <v>24335.57</v>
      </c>
      <c r="H433" s="95" t="s">
        <v>167</v>
      </c>
    </row>
    <row r="434" ht="14.25" hidden="1" customHeight="1">
      <c r="B434" s="95">
        <v>44715.0</v>
      </c>
      <c r="C434" s="95">
        <v>2026.0</v>
      </c>
      <c r="D434" s="95" t="s">
        <v>77</v>
      </c>
      <c r="E434" s="95" t="s">
        <v>1575</v>
      </c>
      <c r="F434" s="95">
        <v>1.0</v>
      </c>
      <c r="H434" s="95" t="s">
        <v>167</v>
      </c>
      <c r="I434" s="95" t="s">
        <v>1576</v>
      </c>
    </row>
    <row r="435" ht="14.25" hidden="1" customHeight="1">
      <c r="B435" s="95">
        <v>44715.0</v>
      </c>
      <c r="C435" s="95">
        <v>2061.0</v>
      </c>
      <c r="D435" s="95" t="s">
        <v>1442</v>
      </c>
      <c r="E435" s="95" t="s">
        <v>1577</v>
      </c>
      <c r="F435" s="95">
        <v>5.0</v>
      </c>
      <c r="G435" s="95">
        <v>831.55</v>
      </c>
      <c r="H435" s="95" t="s">
        <v>180</v>
      </c>
      <c r="J435" s="95">
        <v>831.55</v>
      </c>
      <c r="K435" s="95">
        <v>44725.0</v>
      </c>
      <c r="L435" s="95">
        <v>1840.0</v>
      </c>
      <c r="M435" s="95" t="s">
        <v>1578</v>
      </c>
      <c r="N435" s="95">
        <v>44729.0</v>
      </c>
      <c r="O435" s="95">
        <v>44755.0</v>
      </c>
    </row>
    <row r="436" ht="14.25" hidden="1" customHeight="1">
      <c r="B436" s="95">
        <v>44715.0</v>
      </c>
      <c r="C436" s="95">
        <v>2036.0</v>
      </c>
      <c r="D436" s="95" t="s">
        <v>170</v>
      </c>
      <c r="E436" s="95" t="s">
        <v>1579</v>
      </c>
      <c r="F436" s="95">
        <v>2.0</v>
      </c>
      <c r="G436" s="95">
        <v>365.5</v>
      </c>
      <c r="H436" s="95" t="s">
        <v>167</v>
      </c>
    </row>
    <row r="437" ht="14.25" hidden="1" customHeight="1">
      <c r="B437" s="95">
        <v>44718.0</v>
      </c>
      <c r="C437" s="95">
        <v>2037.0</v>
      </c>
      <c r="D437" s="95" t="s">
        <v>1580</v>
      </c>
      <c r="E437" s="95" t="s">
        <v>179</v>
      </c>
      <c r="F437" s="95">
        <v>1.0</v>
      </c>
      <c r="G437" s="95">
        <v>322.58</v>
      </c>
      <c r="H437" s="95" t="s">
        <v>180</v>
      </c>
      <c r="J437" s="95">
        <v>322.58</v>
      </c>
      <c r="K437" s="95">
        <v>44718.0</v>
      </c>
      <c r="L437" s="95">
        <v>1834.0</v>
      </c>
      <c r="M437" s="95">
        <v>2037.0</v>
      </c>
      <c r="O437" s="95">
        <v>44748.0</v>
      </c>
    </row>
    <row r="438" ht="14.25" hidden="1" customHeight="1">
      <c r="B438" s="95">
        <v>44720.0</v>
      </c>
      <c r="C438" s="95">
        <v>1864.0</v>
      </c>
      <c r="D438" s="95" t="s">
        <v>44</v>
      </c>
      <c r="E438" s="95" t="s">
        <v>1581</v>
      </c>
      <c r="F438" s="95">
        <v>5.0</v>
      </c>
      <c r="G438" s="95">
        <v>6146.98</v>
      </c>
      <c r="H438" s="95" t="s">
        <v>180</v>
      </c>
      <c r="J438" s="95">
        <v>6146.98</v>
      </c>
      <c r="K438" s="95">
        <v>44743.0</v>
      </c>
      <c r="L438" s="95">
        <v>1853.0</v>
      </c>
      <c r="M438" s="95">
        <v>4.501511951E9</v>
      </c>
      <c r="N438" s="95">
        <v>44781.0</v>
      </c>
      <c r="O438" s="95">
        <v>44774.0</v>
      </c>
    </row>
    <row r="439" ht="14.25" hidden="1" customHeight="1">
      <c r="B439" s="95">
        <v>44721.0</v>
      </c>
      <c r="C439" s="95">
        <v>2055.0</v>
      </c>
      <c r="D439" s="95" t="s">
        <v>188</v>
      </c>
      <c r="E439" s="95" t="s">
        <v>1582</v>
      </c>
      <c r="F439" s="95">
        <v>60.0</v>
      </c>
      <c r="H439" s="95" t="s">
        <v>167</v>
      </c>
      <c r="I439" s="95" t="s">
        <v>1583</v>
      </c>
    </row>
    <row r="440" ht="14.25" hidden="1" customHeight="1">
      <c r="B440" s="95">
        <v>44721.0</v>
      </c>
      <c r="C440" s="95">
        <v>2056.0</v>
      </c>
      <c r="D440" s="95" t="s">
        <v>77</v>
      </c>
      <c r="E440" s="95" t="s">
        <v>1584</v>
      </c>
      <c r="F440" s="95">
        <v>2.0</v>
      </c>
      <c r="G440" s="95">
        <v>1878.48</v>
      </c>
      <c r="H440" s="95" t="s">
        <v>167</v>
      </c>
    </row>
    <row r="441" ht="14.25" hidden="1" customHeight="1">
      <c r="B441" s="95">
        <v>44721.0</v>
      </c>
      <c r="C441" s="95">
        <v>2056.0</v>
      </c>
      <c r="D441" s="95" t="s">
        <v>77</v>
      </c>
      <c r="E441" s="95" t="s">
        <v>1284</v>
      </c>
      <c r="F441" s="95">
        <v>1.0</v>
      </c>
      <c r="G441" s="95">
        <v>1922.55</v>
      </c>
      <c r="H441" s="95" t="s">
        <v>167</v>
      </c>
    </row>
    <row r="442" ht="14.25" hidden="1" customHeight="1">
      <c r="B442" s="95">
        <v>44721.0</v>
      </c>
      <c r="C442" s="95">
        <v>2056.0</v>
      </c>
      <c r="D442" s="95" t="s">
        <v>77</v>
      </c>
      <c r="E442" s="95" t="s">
        <v>1585</v>
      </c>
      <c r="F442" s="95">
        <v>1.0</v>
      </c>
      <c r="G442" s="95">
        <v>1364.63</v>
      </c>
      <c r="H442" s="95" t="s">
        <v>167</v>
      </c>
    </row>
    <row r="443" ht="14.25" hidden="1" customHeight="1">
      <c r="B443" s="95">
        <v>44721.0</v>
      </c>
      <c r="C443" s="95" t="s">
        <v>1586</v>
      </c>
      <c r="D443" s="95" t="s">
        <v>164</v>
      </c>
      <c r="E443" s="95" t="s">
        <v>1587</v>
      </c>
      <c r="F443" s="95">
        <v>1.0</v>
      </c>
      <c r="G443" s="95">
        <v>3526.93</v>
      </c>
      <c r="H443" s="95" t="s">
        <v>180</v>
      </c>
      <c r="J443" s="95">
        <v>3526.93</v>
      </c>
      <c r="K443" s="95">
        <v>44816.0</v>
      </c>
      <c r="L443" s="95">
        <v>1925.0</v>
      </c>
      <c r="M443" s="95">
        <v>4.500398541E9</v>
      </c>
      <c r="N443" s="95">
        <v>44827.0</v>
      </c>
      <c r="O443" s="95">
        <v>44853.0</v>
      </c>
    </row>
    <row r="444" ht="14.25" hidden="1" customHeight="1">
      <c r="B444" s="95">
        <v>44725.0</v>
      </c>
      <c r="C444" s="95">
        <v>2062.0</v>
      </c>
      <c r="D444" s="95" t="s">
        <v>44</v>
      </c>
      <c r="E444" s="95" t="s">
        <v>1588</v>
      </c>
      <c r="F444" s="95">
        <v>1.0</v>
      </c>
      <c r="G444" s="95">
        <v>7556.68</v>
      </c>
      <c r="H444" s="95" t="s">
        <v>167</v>
      </c>
      <c r="I444" s="95" t="s">
        <v>1589</v>
      </c>
    </row>
    <row r="445" ht="14.25" hidden="1" customHeight="1">
      <c r="B445" s="95">
        <v>44725.0</v>
      </c>
      <c r="C445" s="95" t="s">
        <v>1590</v>
      </c>
      <c r="D445" s="95" t="s">
        <v>44</v>
      </c>
      <c r="E445" s="95" t="s">
        <v>1591</v>
      </c>
      <c r="F445" s="95">
        <v>1.0</v>
      </c>
      <c r="G445" s="95">
        <v>39069.06</v>
      </c>
      <c r="H445" s="95" t="s">
        <v>167</v>
      </c>
    </row>
    <row r="446" ht="14.25" hidden="1" customHeight="1">
      <c r="B446" s="95">
        <v>44725.0</v>
      </c>
      <c r="C446" s="95" t="s">
        <v>1590</v>
      </c>
      <c r="D446" s="95" t="s">
        <v>44</v>
      </c>
      <c r="E446" s="95" t="s">
        <v>1592</v>
      </c>
      <c r="F446" s="95">
        <v>1.0</v>
      </c>
      <c r="G446" s="95">
        <v>13618.04</v>
      </c>
      <c r="H446" s="95" t="s">
        <v>167</v>
      </c>
      <c r="I446" s="95" t="s">
        <v>1593</v>
      </c>
    </row>
    <row r="447" ht="14.25" hidden="1" customHeight="1">
      <c r="B447" s="95">
        <v>44725.0</v>
      </c>
      <c r="C447" s="95">
        <v>2063.0</v>
      </c>
      <c r="D447" s="95" t="s">
        <v>1594</v>
      </c>
      <c r="E447" s="95" t="s">
        <v>1595</v>
      </c>
      <c r="F447" s="95">
        <v>1.0</v>
      </c>
      <c r="G447" s="95">
        <v>10713.04</v>
      </c>
      <c r="H447" s="95" t="s">
        <v>167</v>
      </c>
      <c r="I447" s="95" t="s">
        <v>1596</v>
      </c>
    </row>
    <row r="448" ht="14.25" hidden="1" customHeight="1">
      <c r="B448" s="95">
        <v>44725.0</v>
      </c>
      <c r="C448" s="95">
        <v>2064.0</v>
      </c>
      <c r="D448" s="95" t="s">
        <v>164</v>
      </c>
      <c r="E448" s="95" t="s">
        <v>1597</v>
      </c>
      <c r="F448" s="95">
        <v>1.0</v>
      </c>
      <c r="H448" s="95" t="s">
        <v>167</v>
      </c>
      <c r="I448" s="95" t="s">
        <v>1598</v>
      </c>
    </row>
    <row r="449" ht="14.25" hidden="1" customHeight="1">
      <c r="B449" s="95">
        <v>44726.0</v>
      </c>
      <c r="D449" s="95" t="s">
        <v>188</v>
      </c>
      <c r="E449" s="95" t="s">
        <v>1599</v>
      </c>
      <c r="F449" s="95">
        <v>1.0</v>
      </c>
      <c r="H449" s="95" t="s">
        <v>1262</v>
      </c>
    </row>
    <row r="450" ht="14.25" hidden="1" customHeight="1">
      <c r="B450" s="95">
        <v>44726.0</v>
      </c>
      <c r="C450" s="95">
        <v>2065.0</v>
      </c>
      <c r="D450" s="95" t="s">
        <v>1600</v>
      </c>
      <c r="E450" s="95" t="s">
        <v>1592</v>
      </c>
      <c r="F450" s="95">
        <v>3.0</v>
      </c>
      <c r="G450" s="95">
        <v>24314.78</v>
      </c>
      <c r="H450" s="95" t="s">
        <v>167</v>
      </c>
      <c r="I450" s="95" t="s">
        <v>1601</v>
      </c>
    </row>
    <row r="451" ht="14.25" hidden="1" customHeight="1">
      <c r="B451" s="95">
        <v>44727.0</v>
      </c>
      <c r="C451" s="95">
        <v>2066.0</v>
      </c>
      <c r="D451" s="95" t="s">
        <v>1602</v>
      </c>
      <c r="E451" s="95" t="s">
        <v>156</v>
      </c>
      <c r="F451" s="95">
        <v>1.0</v>
      </c>
      <c r="G451" s="95">
        <v>17884.13</v>
      </c>
      <c r="H451" s="95" t="s">
        <v>167</v>
      </c>
    </row>
    <row r="452" ht="14.25" hidden="1" customHeight="1">
      <c r="B452" s="95">
        <v>44727.0</v>
      </c>
      <c r="D452" s="95" t="s">
        <v>44</v>
      </c>
      <c r="E452" s="95" t="s">
        <v>1603</v>
      </c>
      <c r="F452" s="95">
        <v>33.0</v>
      </c>
      <c r="H452" s="95" t="s">
        <v>1281</v>
      </c>
    </row>
    <row r="453" ht="14.25" hidden="1" customHeight="1">
      <c r="B453" s="95">
        <v>44727.0</v>
      </c>
      <c r="C453" s="95">
        <v>2067.0</v>
      </c>
      <c r="D453" s="95" t="s">
        <v>44</v>
      </c>
      <c r="E453" s="95" t="s">
        <v>826</v>
      </c>
      <c r="F453" s="95">
        <v>3.0</v>
      </c>
      <c r="G453" s="95">
        <v>5767.64</v>
      </c>
      <c r="H453" s="95" t="s">
        <v>180</v>
      </c>
      <c r="J453" s="95">
        <v>5767.64</v>
      </c>
      <c r="K453" s="95">
        <v>44743.0</v>
      </c>
      <c r="L453" s="95">
        <v>1854.0</v>
      </c>
      <c r="M453" s="95">
        <v>4.501565387E9</v>
      </c>
      <c r="N453" s="95">
        <v>44754.0</v>
      </c>
      <c r="O453" s="95">
        <v>44774.0</v>
      </c>
    </row>
    <row r="454" ht="14.25" hidden="1" customHeight="1">
      <c r="B454" s="95">
        <v>44727.0</v>
      </c>
      <c r="C454" s="95">
        <v>2068.0</v>
      </c>
      <c r="D454" s="95" t="s">
        <v>44</v>
      </c>
      <c r="E454" s="95" t="s">
        <v>1604</v>
      </c>
      <c r="F454" s="95">
        <v>1710.0</v>
      </c>
      <c r="G454" s="95">
        <v>423203.67</v>
      </c>
      <c r="H454" s="95" t="s">
        <v>167</v>
      </c>
    </row>
    <row r="455" ht="14.25" hidden="1" customHeight="1">
      <c r="B455" s="95">
        <v>44727.0</v>
      </c>
      <c r="C455" s="95">
        <v>2068.0</v>
      </c>
      <c r="D455" s="95" t="s">
        <v>44</v>
      </c>
      <c r="E455" s="95" t="s">
        <v>1605</v>
      </c>
      <c r="F455" s="95">
        <v>18.0</v>
      </c>
      <c r="G455" s="95">
        <v>2264.1</v>
      </c>
      <c r="H455" s="95" t="s">
        <v>167</v>
      </c>
      <c r="I455" s="95" t="s">
        <v>1606</v>
      </c>
    </row>
    <row r="456" ht="14.25" hidden="1" customHeight="1">
      <c r="B456" s="95">
        <v>44727.0</v>
      </c>
      <c r="C456" s="95">
        <v>2068.0</v>
      </c>
      <c r="D456" s="95" t="s">
        <v>44</v>
      </c>
      <c r="E456" s="95" t="s">
        <v>1607</v>
      </c>
      <c r="F456" s="95">
        <v>3.0</v>
      </c>
      <c r="G456" s="95">
        <v>4087.05</v>
      </c>
      <c r="H456" s="95" t="s">
        <v>167</v>
      </c>
    </row>
    <row r="457" ht="14.25" hidden="1" customHeight="1">
      <c r="B457" s="95">
        <v>44727.0</v>
      </c>
      <c r="D457" s="95" t="s">
        <v>44</v>
      </c>
      <c r="E457" s="95" t="s">
        <v>1608</v>
      </c>
      <c r="F457" s="95">
        <v>1.0</v>
      </c>
      <c r="H457" s="95" t="s">
        <v>1281</v>
      </c>
    </row>
    <row r="458" ht="14.25" hidden="1" customHeight="1">
      <c r="B458" s="95">
        <v>44727.0</v>
      </c>
      <c r="D458" s="95" t="s">
        <v>44</v>
      </c>
      <c r="E458" s="95" t="s">
        <v>1609</v>
      </c>
      <c r="F458" s="95">
        <v>6.0</v>
      </c>
      <c r="H458" s="95" t="s">
        <v>1281</v>
      </c>
    </row>
    <row r="459" ht="14.25" hidden="1" customHeight="1">
      <c r="B459" s="95">
        <v>44727.0</v>
      </c>
      <c r="D459" s="95" t="s">
        <v>44</v>
      </c>
      <c r="E459" s="95" t="s">
        <v>1610</v>
      </c>
      <c r="F459" s="95">
        <v>50.0</v>
      </c>
      <c r="H459" s="95" t="s">
        <v>1281</v>
      </c>
    </row>
    <row r="460" ht="14.25" hidden="1" customHeight="1">
      <c r="B460" s="95">
        <v>44727.0</v>
      </c>
      <c r="D460" s="95" t="s">
        <v>44</v>
      </c>
      <c r="E460" s="95" t="s">
        <v>1611</v>
      </c>
      <c r="F460" s="95">
        <v>1.0</v>
      </c>
      <c r="H460" s="95" t="s">
        <v>1281</v>
      </c>
    </row>
    <row r="461" ht="14.25" hidden="1" customHeight="1">
      <c r="B461" s="95">
        <v>44727.0</v>
      </c>
      <c r="C461" s="95">
        <v>2070.0</v>
      </c>
      <c r="D461" s="95" t="s">
        <v>44</v>
      </c>
      <c r="E461" s="95" t="s">
        <v>1612</v>
      </c>
      <c r="F461" s="95">
        <v>4.0</v>
      </c>
      <c r="G461" s="95">
        <v>45310.01</v>
      </c>
      <c r="H461" s="95" t="s">
        <v>167</v>
      </c>
    </row>
    <row r="462" ht="14.25" hidden="1" customHeight="1">
      <c r="B462" s="95">
        <v>44727.0</v>
      </c>
      <c r="C462" s="95">
        <v>2069.0</v>
      </c>
      <c r="D462" s="95" t="s">
        <v>1409</v>
      </c>
      <c r="E462" s="95" t="s">
        <v>1613</v>
      </c>
      <c r="F462" s="95">
        <v>1.0</v>
      </c>
      <c r="G462" s="95">
        <v>6729.42</v>
      </c>
      <c r="H462" s="95" t="s">
        <v>167</v>
      </c>
    </row>
    <row r="463" ht="14.25" hidden="1" customHeight="1">
      <c r="B463" s="95">
        <v>44732.0</v>
      </c>
      <c r="C463" s="95">
        <v>2073.0</v>
      </c>
      <c r="D463" s="95" t="s">
        <v>1614</v>
      </c>
      <c r="E463" s="95" t="s">
        <v>1615</v>
      </c>
      <c r="F463" s="95">
        <v>2.0</v>
      </c>
      <c r="G463" s="95">
        <v>1853.77</v>
      </c>
      <c r="H463" s="95" t="s">
        <v>180</v>
      </c>
      <c r="J463" s="95">
        <v>1853.77</v>
      </c>
      <c r="K463" s="95">
        <v>44735.0</v>
      </c>
      <c r="L463" s="95">
        <v>1846.0</v>
      </c>
      <c r="M463" s="95">
        <v>9.0</v>
      </c>
      <c r="N463" s="95">
        <v>44734.0</v>
      </c>
      <c r="O463" s="95">
        <v>44750.0</v>
      </c>
    </row>
    <row r="464" ht="14.25" hidden="1" customHeight="1">
      <c r="B464" s="95">
        <v>44732.0</v>
      </c>
      <c r="D464" s="95" t="s">
        <v>1614</v>
      </c>
      <c r="E464" s="95" t="s">
        <v>1616</v>
      </c>
      <c r="F464" s="95">
        <v>1.0</v>
      </c>
      <c r="H464" s="95" t="s">
        <v>1262</v>
      </c>
    </row>
    <row r="465" ht="14.25" hidden="1" customHeight="1">
      <c r="B465" s="95">
        <v>44732.0</v>
      </c>
      <c r="D465" s="95" t="s">
        <v>1614</v>
      </c>
      <c r="E465" s="95" t="s">
        <v>1617</v>
      </c>
      <c r="F465" s="95">
        <v>1.0</v>
      </c>
      <c r="H465" s="95" t="s">
        <v>1262</v>
      </c>
      <c r="I465" s="95" t="s">
        <v>1618</v>
      </c>
    </row>
    <row r="466" ht="14.25" hidden="1" customHeight="1">
      <c r="B466" s="95">
        <v>44732.0</v>
      </c>
      <c r="D466" s="95" t="s">
        <v>1614</v>
      </c>
      <c r="E466" s="95" t="s">
        <v>1619</v>
      </c>
      <c r="F466" s="95">
        <v>20.0</v>
      </c>
      <c r="H466" s="95" t="s">
        <v>1262</v>
      </c>
    </row>
    <row r="467" ht="14.25" hidden="1" customHeight="1">
      <c r="B467" s="95">
        <v>44732.0</v>
      </c>
      <c r="D467" s="95" t="s">
        <v>1614</v>
      </c>
      <c r="E467" s="95" t="s">
        <v>1620</v>
      </c>
      <c r="F467" s="95">
        <v>50.0</v>
      </c>
      <c r="H467" s="95" t="s">
        <v>1262</v>
      </c>
    </row>
    <row r="468" ht="14.25" hidden="1" customHeight="1">
      <c r="B468" s="95">
        <v>44732.0</v>
      </c>
      <c r="D468" s="95" t="s">
        <v>1621</v>
      </c>
      <c r="E468" s="95" t="s">
        <v>1622</v>
      </c>
      <c r="F468" s="95">
        <v>1.0</v>
      </c>
      <c r="H468" s="95" t="s">
        <v>1262</v>
      </c>
    </row>
    <row r="469" ht="14.25" hidden="1" customHeight="1">
      <c r="B469" s="95">
        <v>44733.0</v>
      </c>
      <c r="D469" s="95" t="s">
        <v>44</v>
      </c>
      <c r="E469" s="95" t="s">
        <v>1623</v>
      </c>
      <c r="F469" s="95">
        <v>1.0</v>
      </c>
      <c r="H469" s="95" t="s">
        <v>1262</v>
      </c>
    </row>
    <row r="470" ht="14.25" hidden="1" customHeight="1">
      <c r="B470" s="95">
        <v>44733.0</v>
      </c>
      <c r="D470" s="95" t="s">
        <v>44</v>
      </c>
      <c r="E470" s="95" t="s">
        <v>1624</v>
      </c>
      <c r="F470" s="95">
        <v>4.0</v>
      </c>
      <c r="H470" s="95" t="s">
        <v>1262</v>
      </c>
    </row>
    <row r="471" ht="14.25" hidden="1" customHeight="1">
      <c r="B471" s="95">
        <v>44733.0</v>
      </c>
      <c r="D471" s="95" t="s">
        <v>44</v>
      </c>
      <c r="E471" s="95" t="s">
        <v>1625</v>
      </c>
      <c r="F471" s="95">
        <v>1.0</v>
      </c>
      <c r="H471" s="95" t="s">
        <v>1262</v>
      </c>
    </row>
    <row r="472" ht="14.25" hidden="1" customHeight="1">
      <c r="B472" s="95">
        <v>44733.0</v>
      </c>
      <c r="C472" s="95">
        <v>2075.0</v>
      </c>
      <c r="D472" s="95" t="s">
        <v>44</v>
      </c>
      <c r="E472" s="95" t="s">
        <v>1109</v>
      </c>
      <c r="F472" s="95">
        <v>1.0</v>
      </c>
      <c r="G472" s="95">
        <v>1075.16</v>
      </c>
      <c r="H472" s="95" t="s">
        <v>167</v>
      </c>
    </row>
    <row r="473" ht="14.25" hidden="1" customHeight="1">
      <c r="B473" s="95">
        <v>44733.0</v>
      </c>
      <c r="C473" s="95">
        <v>2078.0</v>
      </c>
      <c r="D473" s="95" t="s">
        <v>164</v>
      </c>
      <c r="E473" s="95" t="s">
        <v>1626</v>
      </c>
      <c r="F473" s="95">
        <v>1.0</v>
      </c>
      <c r="G473" s="95">
        <v>51656.08</v>
      </c>
      <c r="H473" s="95" t="s">
        <v>167</v>
      </c>
    </row>
    <row r="474" ht="14.25" hidden="1" customHeight="1">
      <c r="B474" s="95">
        <v>44733.0</v>
      </c>
      <c r="C474" s="95">
        <v>2072.0</v>
      </c>
      <c r="D474" s="95" t="s">
        <v>188</v>
      </c>
      <c r="E474" s="95" t="s">
        <v>1627</v>
      </c>
      <c r="F474" s="95">
        <v>3.0</v>
      </c>
      <c r="G474" s="95">
        <v>600.0</v>
      </c>
      <c r="H474" s="95" t="s">
        <v>167</v>
      </c>
    </row>
    <row r="475" ht="14.25" hidden="1" customHeight="1">
      <c r="B475" s="95">
        <v>44733.0</v>
      </c>
      <c r="C475" s="95">
        <v>2072.0</v>
      </c>
      <c r="D475" s="95" t="s">
        <v>188</v>
      </c>
      <c r="E475" s="95" t="s">
        <v>1628</v>
      </c>
      <c r="F475" s="95">
        <v>3.0</v>
      </c>
      <c r="G475" s="95">
        <v>2449.36</v>
      </c>
      <c r="H475" s="95" t="s">
        <v>167</v>
      </c>
    </row>
    <row r="476" ht="14.25" hidden="1" customHeight="1">
      <c r="B476" s="95">
        <v>44734.0</v>
      </c>
      <c r="C476" s="95">
        <v>2076.0</v>
      </c>
      <c r="D476" s="95" t="s">
        <v>1629</v>
      </c>
      <c r="E476" s="95" t="s">
        <v>1630</v>
      </c>
      <c r="F476" s="95">
        <v>1.0</v>
      </c>
      <c r="G476" s="95">
        <v>3641.4</v>
      </c>
      <c r="H476" s="95" t="s">
        <v>167</v>
      </c>
    </row>
    <row r="477" ht="14.25" hidden="1" customHeight="1">
      <c r="B477" s="95">
        <v>44734.0</v>
      </c>
      <c r="C477" s="95">
        <v>2077.0</v>
      </c>
      <c r="D477" s="95" t="s">
        <v>77</v>
      </c>
      <c r="E477" s="95" t="s">
        <v>1631</v>
      </c>
      <c r="F477" s="95">
        <v>1.0</v>
      </c>
      <c r="G477" s="95">
        <v>12475.58</v>
      </c>
      <c r="H477" s="95" t="s">
        <v>167</v>
      </c>
    </row>
    <row r="478" ht="14.25" hidden="1" customHeight="1">
      <c r="B478" s="95">
        <v>44734.0</v>
      </c>
      <c r="C478" s="95">
        <v>2077.0</v>
      </c>
      <c r="D478" s="95" t="s">
        <v>77</v>
      </c>
      <c r="E478" s="95" t="s">
        <v>1632</v>
      </c>
      <c r="F478" s="95">
        <v>1.0</v>
      </c>
      <c r="G478" s="95">
        <v>1330.01</v>
      </c>
      <c r="H478" s="95" t="s">
        <v>167</v>
      </c>
    </row>
    <row r="479" ht="14.25" hidden="1" customHeight="1">
      <c r="B479" s="95">
        <v>44734.0</v>
      </c>
      <c r="C479" s="95">
        <v>2077.0</v>
      </c>
      <c r="D479" s="95" t="s">
        <v>77</v>
      </c>
      <c r="E479" s="95" t="s">
        <v>1633</v>
      </c>
      <c r="F479" s="95">
        <v>1.0</v>
      </c>
      <c r="G479" s="95">
        <v>1338.0</v>
      </c>
      <c r="H479" s="95" t="s">
        <v>167</v>
      </c>
    </row>
    <row r="480" ht="14.25" hidden="1" customHeight="1">
      <c r="B480" s="95">
        <v>44736.0</v>
      </c>
      <c r="D480" s="95" t="s">
        <v>188</v>
      </c>
      <c r="E480" s="95" t="s">
        <v>1634</v>
      </c>
      <c r="F480" s="95">
        <v>50.0</v>
      </c>
      <c r="H480" s="95" t="s">
        <v>1262</v>
      </c>
    </row>
    <row r="481" ht="14.25" hidden="1" customHeight="1">
      <c r="B481" s="95">
        <v>44736.0</v>
      </c>
      <c r="D481" s="95" t="s">
        <v>188</v>
      </c>
      <c r="E481" s="95" t="s">
        <v>1635</v>
      </c>
      <c r="F481" s="95">
        <v>30.0</v>
      </c>
      <c r="H481" s="95" t="s">
        <v>1262</v>
      </c>
    </row>
    <row r="482" ht="14.25" hidden="1" customHeight="1">
      <c r="B482" s="95">
        <v>44736.0</v>
      </c>
      <c r="D482" s="95" t="s">
        <v>188</v>
      </c>
      <c r="E482" s="95" t="s">
        <v>1636</v>
      </c>
      <c r="F482" s="95">
        <v>50.0</v>
      </c>
      <c r="H482" s="95" t="s">
        <v>1262</v>
      </c>
    </row>
    <row r="483" ht="14.25" hidden="1" customHeight="1">
      <c r="B483" s="95">
        <v>44736.0</v>
      </c>
      <c r="D483" s="95" t="s">
        <v>1637</v>
      </c>
      <c r="E483" s="95" t="s">
        <v>1638</v>
      </c>
      <c r="F483" s="95">
        <v>1.0</v>
      </c>
      <c r="H483" s="95" t="s">
        <v>1262</v>
      </c>
      <c r="I483" s="95" t="s">
        <v>1639</v>
      </c>
    </row>
    <row r="484" ht="14.25" hidden="1" customHeight="1">
      <c r="B484" s="95">
        <v>44736.0</v>
      </c>
      <c r="C484" s="95">
        <v>2083.0</v>
      </c>
      <c r="D484" s="95" t="s">
        <v>1640</v>
      </c>
      <c r="E484" s="95" t="s">
        <v>1641</v>
      </c>
      <c r="F484" s="95">
        <v>1.0</v>
      </c>
      <c r="G484" s="95">
        <v>62736.99</v>
      </c>
      <c r="H484" s="95" t="s">
        <v>1262</v>
      </c>
    </row>
    <row r="485" ht="14.25" hidden="1" customHeight="1">
      <c r="B485" s="95">
        <v>44739.0</v>
      </c>
      <c r="C485" s="95">
        <v>2090.0</v>
      </c>
      <c r="D485" s="95" t="s">
        <v>1642</v>
      </c>
      <c r="E485" s="95" t="s">
        <v>1643</v>
      </c>
      <c r="F485" s="95">
        <v>1.0</v>
      </c>
      <c r="G485" s="95">
        <v>9592.93</v>
      </c>
      <c r="H485" s="95" t="s">
        <v>167</v>
      </c>
      <c r="I485" s="95" t="s">
        <v>1644</v>
      </c>
    </row>
    <row r="486" ht="14.25" hidden="1" customHeight="1">
      <c r="B486" s="95">
        <v>44739.0</v>
      </c>
      <c r="C486" s="95">
        <v>2091.0</v>
      </c>
      <c r="D486" s="95" t="s">
        <v>164</v>
      </c>
      <c r="E486" s="95" t="s">
        <v>1645</v>
      </c>
      <c r="F486" s="95">
        <v>49.0</v>
      </c>
      <c r="G486" s="95">
        <v>272.93</v>
      </c>
      <c r="H486" s="95" t="s">
        <v>180</v>
      </c>
      <c r="I486" s="95" t="s">
        <v>1646</v>
      </c>
      <c r="J486" s="95">
        <v>272.93</v>
      </c>
      <c r="K486" s="95">
        <v>44748.0</v>
      </c>
      <c r="L486" s="95">
        <v>1862.0</v>
      </c>
      <c r="M486" s="95">
        <v>4.500400723E9</v>
      </c>
      <c r="N486" s="95">
        <v>44750.0</v>
      </c>
      <c r="O486" s="95">
        <v>44779.0</v>
      </c>
    </row>
    <row r="487" ht="14.25" hidden="1" customHeight="1">
      <c r="B487" s="95">
        <v>44739.0</v>
      </c>
      <c r="C487" s="95">
        <v>2091.0</v>
      </c>
      <c r="D487" s="95" t="s">
        <v>164</v>
      </c>
      <c r="E487" s="95" t="s">
        <v>1645</v>
      </c>
      <c r="F487" s="95">
        <v>3.0</v>
      </c>
      <c r="G487" s="95">
        <v>16.71</v>
      </c>
      <c r="H487" s="95" t="s">
        <v>180</v>
      </c>
      <c r="J487" s="95">
        <v>16.71</v>
      </c>
      <c r="K487" s="95">
        <v>44936.0</v>
      </c>
      <c r="L487" s="95">
        <v>2032.0</v>
      </c>
      <c r="M487" s="95">
        <v>4.500400723E9</v>
      </c>
      <c r="N487" s="95">
        <v>44819.0</v>
      </c>
      <c r="O487" s="95">
        <v>44967.0</v>
      </c>
    </row>
    <row r="488" ht="14.25" hidden="1" customHeight="1">
      <c r="B488" s="95">
        <v>44739.0</v>
      </c>
      <c r="D488" s="95" t="s">
        <v>44</v>
      </c>
      <c r="E488" s="95" t="s">
        <v>1647</v>
      </c>
      <c r="F488" s="95">
        <v>52.0</v>
      </c>
      <c r="H488" s="95" t="s">
        <v>1262</v>
      </c>
    </row>
    <row r="489" ht="14.25" hidden="1" customHeight="1">
      <c r="B489" s="95">
        <v>44740.0</v>
      </c>
      <c r="C489" s="95">
        <v>2094.0</v>
      </c>
      <c r="D489" s="95" t="s">
        <v>188</v>
      </c>
      <c r="E489" s="95" t="s">
        <v>1648</v>
      </c>
      <c r="F489" s="95">
        <v>3.0</v>
      </c>
      <c r="G489" s="95">
        <v>69020.71</v>
      </c>
      <c r="H489" s="95" t="s">
        <v>167</v>
      </c>
    </row>
    <row r="490" ht="14.25" hidden="1" customHeight="1">
      <c r="B490" s="95">
        <v>44741.0</v>
      </c>
      <c r="C490" s="95">
        <v>2097.0</v>
      </c>
      <c r="D490" s="95" t="s">
        <v>44</v>
      </c>
      <c r="E490" s="95" t="s">
        <v>450</v>
      </c>
      <c r="F490" s="95">
        <v>3.0</v>
      </c>
      <c r="G490" s="95">
        <v>17280.0</v>
      </c>
      <c r="H490" s="95" t="s">
        <v>180</v>
      </c>
      <c r="I490" s="95" t="s">
        <v>1649</v>
      </c>
      <c r="J490" s="95">
        <v>17280.0</v>
      </c>
      <c r="K490" s="95">
        <v>44824.0</v>
      </c>
      <c r="L490" s="95">
        <v>1934.0</v>
      </c>
      <c r="M490" s="95">
        <v>4.501567324E9</v>
      </c>
      <c r="N490" s="95">
        <v>44862.0</v>
      </c>
      <c r="O490" s="95">
        <v>44854.0</v>
      </c>
    </row>
    <row r="491" ht="14.25" hidden="1" customHeight="1">
      <c r="B491" s="95">
        <v>44741.0</v>
      </c>
      <c r="D491" s="95" t="s">
        <v>44</v>
      </c>
      <c r="E491" s="95" t="s">
        <v>1650</v>
      </c>
      <c r="F491" s="95">
        <v>6.0</v>
      </c>
      <c r="H491" s="95" t="s">
        <v>1262</v>
      </c>
    </row>
    <row r="492" ht="14.25" hidden="1" customHeight="1">
      <c r="B492" s="95">
        <v>44742.0</v>
      </c>
      <c r="D492" s="95" t="s">
        <v>1651</v>
      </c>
      <c r="E492" s="95" t="s">
        <v>1652</v>
      </c>
      <c r="F492" s="95">
        <v>2.0</v>
      </c>
      <c r="H492" s="95" t="s">
        <v>1262</v>
      </c>
    </row>
    <row r="493" ht="14.25" hidden="1" customHeight="1">
      <c r="H493" s="95" t="s">
        <v>1262</v>
      </c>
    </row>
    <row r="494" ht="14.25" hidden="1" customHeight="1">
      <c r="B494" s="95">
        <v>44746.0</v>
      </c>
      <c r="D494" s="95" t="s">
        <v>39</v>
      </c>
      <c r="E494" s="95" t="s">
        <v>1653</v>
      </c>
      <c r="F494" s="95">
        <v>1.0</v>
      </c>
      <c r="H494" s="95" t="s">
        <v>1262</v>
      </c>
    </row>
    <row r="495" ht="14.25" hidden="1" customHeight="1">
      <c r="B495" s="95">
        <v>44746.0</v>
      </c>
      <c r="D495" s="95" t="s">
        <v>39</v>
      </c>
      <c r="E495" s="95" t="s">
        <v>1625</v>
      </c>
      <c r="F495" s="95">
        <v>1.0</v>
      </c>
      <c r="H495" s="95" t="s">
        <v>1262</v>
      </c>
    </row>
    <row r="496" ht="14.25" hidden="1" customHeight="1">
      <c r="B496" s="95">
        <v>44746.0</v>
      </c>
      <c r="D496" s="95" t="s">
        <v>39</v>
      </c>
      <c r="E496" s="95" t="s">
        <v>1654</v>
      </c>
      <c r="F496" s="95">
        <v>1.0</v>
      </c>
      <c r="H496" s="95" t="s">
        <v>1262</v>
      </c>
    </row>
    <row r="497" ht="14.25" hidden="1" customHeight="1">
      <c r="B497" s="95">
        <v>44746.0</v>
      </c>
      <c r="C497" s="95">
        <v>2122.0</v>
      </c>
      <c r="D497" s="95" t="s">
        <v>39</v>
      </c>
      <c r="E497" s="95" t="s">
        <v>1611</v>
      </c>
      <c r="F497" s="95">
        <v>1.0</v>
      </c>
      <c r="G497" s="95">
        <v>1126.76</v>
      </c>
      <c r="H497" s="95" t="s">
        <v>1262</v>
      </c>
    </row>
    <row r="498" ht="14.25" hidden="1" customHeight="1">
      <c r="B498" s="95">
        <v>44746.0</v>
      </c>
      <c r="D498" s="95" t="s">
        <v>39</v>
      </c>
      <c r="E498" s="95" t="s">
        <v>1647</v>
      </c>
      <c r="F498" s="95">
        <v>52.0</v>
      </c>
      <c r="H498" s="95" t="s">
        <v>1262</v>
      </c>
    </row>
    <row r="499" ht="14.25" hidden="1" customHeight="1">
      <c r="B499" s="95">
        <v>44746.0</v>
      </c>
      <c r="D499" s="95" t="s">
        <v>39</v>
      </c>
      <c r="E499" s="95" t="s">
        <v>1655</v>
      </c>
      <c r="F499" s="95">
        <v>4.0</v>
      </c>
      <c r="H499" s="95" t="s">
        <v>1262</v>
      </c>
    </row>
    <row r="500" ht="14.25" hidden="1" customHeight="1">
      <c r="B500" s="95">
        <v>44746.0</v>
      </c>
      <c r="D500" s="95" t="s">
        <v>39</v>
      </c>
      <c r="E500" s="95" t="s">
        <v>1656</v>
      </c>
      <c r="F500" s="95">
        <v>4.0</v>
      </c>
      <c r="H500" s="95" t="s">
        <v>1262</v>
      </c>
    </row>
    <row r="501" ht="14.25" hidden="1" customHeight="1">
      <c r="B501" s="95">
        <v>44746.0</v>
      </c>
      <c r="D501" s="95" t="s">
        <v>39</v>
      </c>
      <c r="E501" s="95" t="s">
        <v>1612</v>
      </c>
      <c r="F501" s="95">
        <v>4.0</v>
      </c>
      <c r="H501" s="95" t="s">
        <v>1262</v>
      </c>
    </row>
    <row r="502" ht="14.25" hidden="1" customHeight="1">
      <c r="B502" s="95">
        <v>44746.0</v>
      </c>
      <c r="D502" s="95" t="s">
        <v>1657</v>
      </c>
      <c r="E502" s="95" t="s">
        <v>1658</v>
      </c>
      <c r="F502" s="95">
        <v>1.0</v>
      </c>
      <c r="G502" s="95">
        <v>34342.57</v>
      </c>
      <c r="H502" s="95" t="s">
        <v>167</v>
      </c>
      <c r="I502" s="95" t="s">
        <v>1659</v>
      </c>
    </row>
    <row r="503" ht="14.25" hidden="1" customHeight="1">
      <c r="B503" s="95">
        <v>44748.0</v>
      </c>
      <c r="D503" s="95" t="s">
        <v>1660</v>
      </c>
      <c r="E503" s="95" t="s">
        <v>1661</v>
      </c>
      <c r="F503" s="95">
        <v>1.0</v>
      </c>
      <c r="H503" s="95" t="s">
        <v>1262</v>
      </c>
      <c r="I503" s="95" t="s">
        <v>1662</v>
      </c>
    </row>
    <row r="504" ht="14.25" hidden="1" customHeight="1">
      <c r="B504" s="95">
        <v>44749.0</v>
      </c>
      <c r="C504" s="95">
        <v>2104.0</v>
      </c>
      <c r="D504" s="95" t="s">
        <v>44</v>
      </c>
      <c r="E504" s="95" t="s">
        <v>1663</v>
      </c>
      <c r="F504" s="95">
        <v>4.0</v>
      </c>
      <c r="G504" s="95">
        <v>40000.0</v>
      </c>
      <c r="H504" s="95" t="s">
        <v>167</v>
      </c>
    </row>
    <row r="505" ht="14.25" hidden="1" customHeight="1">
      <c r="B505" s="95">
        <v>44749.0</v>
      </c>
      <c r="C505" s="95">
        <v>2106.0</v>
      </c>
      <c r="D505" s="95" t="s">
        <v>44</v>
      </c>
      <c r="E505" s="95" t="s">
        <v>1664</v>
      </c>
      <c r="F505" s="95">
        <v>1.0</v>
      </c>
      <c r="G505" s="95">
        <v>6038.99</v>
      </c>
      <c r="H505" s="95" t="s">
        <v>167</v>
      </c>
    </row>
    <row r="506" ht="14.25" hidden="1" customHeight="1">
      <c r="B506" s="95">
        <v>44749.0</v>
      </c>
      <c r="C506" s="95">
        <v>2107.0</v>
      </c>
      <c r="D506" s="95" t="s">
        <v>1665</v>
      </c>
      <c r="E506" s="95" t="s">
        <v>1666</v>
      </c>
      <c r="F506" s="95">
        <v>6.0</v>
      </c>
      <c r="G506" s="95">
        <v>4080.79</v>
      </c>
      <c r="H506" s="95" t="s">
        <v>180</v>
      </c>
      <c r="J506" s="95">
        <v>4080.79</v>
      </c>
      <c r="K506" s="95">
        <v>45139.0</v>
      </c>
      <c r="L506" s="95">
        <v>1883.0</v>
      </c>
      <c r="M506" s="95">
        <v>5076.0</v>
      </c>
      <c r="N506" s="95">
        <v>44802.0</v>
      </c>
    </row>
    <row r="507" ht="14.25" hidden="1" customHeight="1">
      <c r="B507" s="95">
        <v>44749.0</v>
      </c>
      <c r="C507" s="95">
        <v>2108.0</v>
      </c>
      <c r="D507" s="95" t="s">
        <v>75</v>
      </c>
      <c r="E507" s="95" t="s">
        <v>147</v>
      </c>
      <c r="F507" s="95">
        <v>50.0</v>
      </c>
      <c r="H507" s="95" t="s">
        <v>167</v>
      </c>
      <c r="I507" s="95" t="s">
        <v>1667</v>
      </c>
    </row>
    <row r="508" ht="14.25" hidden="1" customHeight="1">
      <c r="B508" s="95">
        <v>44749.0</v>
      </c>
      <c r="C508" s="95">
        <v>2108.0</v>
      </c>
      <c r="D508" s="95" t="s">
        <v>75</v>
      </c>
      <c r="E508" s="95" t="s">
        <v>257</v>
      </c>
      <c r="F508" s="95">
        <v>2.0</v>
      </c>
      <c r="H508" s="95" t="s">
        <v>167</v>
      </c>
      <c r="I508" s="95" t="s">
        <v>1262</v>
      </c>
    </row>
    <row r="509" ht="14.25" hidden="1" customHeight="1">
      <c r="B509" s="95">
        <v>44749.0</v>
      </c>
      <c r="C509" s="95">
        <v>2108.0</v>
      </c>
      <c r="D509" s="95" t="s">
        <v>75</v>
      </c>
      <c r="E509" s="95" t="s">
        <v>1668</v>
      </c>
      <c r="F509" s="95">
        <v>1.0</v>
      </c>
      <c r="H509" s="95" t="s">
        <v>167</v>
      </c>
      <c r="J509" s="95" t="s">
        <v>1262</v>
      </c>
    </row>
    <row r="510" ht="14.25" hidden="1" customHeight="1">
      <c r="B510" s="95">
        <v>44749.0</v>
      </c>
      <c r="C510" s="95">
        <v>2108.0</v>
      </c>
      <c r="D510" s="95" t="s">
        <v>75</v>
      </c>
      <c r="E510" s="95" t="s">
        <v>168</v>
      </c>
      <c r="F510" s="95">
        <v>1.0</v>
      </c>
      <c r="H510" s="95" t="s">
        <v>167</v>
      </c>
    </row>
    <row r="511" ht="14.25" hidden="1" customHeight="1">
      <c r="B511" s="95">
        <v>44749.0</v>
      </c>
      <c r="C511" s="95">
        <v>2108.0</v>
      </c>
      <c r="D511" s="95" t="s">
        <v>75</v>
      </c>
      <c r="E511" s="95" t="s">
        <v>1337</v>
      </c>
      <c r="F511" s="95">
        <v>2.0</v>
      </c>
      <c r="H511" s="95" t="s">
        <v>167</v>
      </c>
    </row>
    <row r="512" ht="14.25" hidden="1" customHeight="1">
      <c r="B512" s="95">
        <v>44749.0</v>
      </c>
      <c r="C512" s="95">
        <v>2108.0</v>
      </c>
      <c r="D512" s="95" t="s">
        <v>75</v>
      </c>
      <c r="E512" s="95" t="s">
        <v>1669</v>
      </c>
      <c r="F512" s="95">
        <v>12.0</v>
      </c>
      <c r="H512" s="95" t="s">
        <v>167</v>
      </c>
    </row>
    <row r="513" ht="14.25" hidden="1" customHeight="1">
      <c r="B513" s="95">
        <v>44749.0</v>
      </c>
      <c r="C513" s="95">
        <v>2108.0</v>
      </c>
      <c r="D513" s="95" t="s">
        <v>75</v>
      </c>
      <c r="E513" s="95" t="s">
        <v>1670</v>
      </c>
      <c r="F513" s="95">
        <v>4.0</v>
      </c>
      <c r="H513" s="95" t="s">
        <v>167</v>
      </c>
    </row>
    <row r="514" ht="14.25" hidden="1" customHeight="1">
      <c r="B514" s="95">
        <v>44749.0</v>
      </c>
      <c r="C514" s="95">
        <v>2108.0</v>
      </c>
      <c r="D514" s="95" t="s">
        <v>75</v>
      </c>
      <c r="E514" s="95" t="s">
        <v>1671</v>
      </c>
      <c r="F514" s="95">
        <v>1.0</v>
      </c>
      <c r="H514" s="95" t="s">
        <v>167</v>
      </c>
    </row>
    <row r="515" ht="14.25" hidden="1" customHeight="1">
      <c r="B515" s="95">
        <v>44749.0</v>
      </c>
      <c r="C515" s="95">
        <v>2108.0</v>
      </c>
      <c r="D515" s="95" t="s">
        <v>75</v>
      </c>
      <c r="E515" s="95" t="s">
        <v>826</v>
      </c>
      <c r="F515" s="95">
        <v>2.0</v>
      </c>
      <c r="H515" s="95" t="s">
        <v>167</v>
      </c>
    </row>
    <row r="516" ht="14.25" hidden="1" customHeight="1">
      <c r="B516" s="95">
        <v>44749.0</v>
      </c>
      <c r="C516" s="95">
        <v>2108.0</v>
      </c>
      <c r="D516" s="95" t="s">
        <v>75</v>
      </c>
      <c r="E516" s="95" t="s">
        <v>826</v>
      </c>
      <c r="F516" s="95">
        <v>1.0</v>
      </c>
      <c r="H516" s="95" t="s">
        <v>167</v>
      </c>
    </row>
    <row r="517" ht="14.25" hidden="1" customHeight="1">
      <c r="B517" s="95">
        <v>44749.0</v>
      </c>
      <c r="C517" s="95">
        <v>2108.0</v>
      </c>
      <c r="D517" s="95" t="s">
        <v>75</v>
      </c>
      <c r="E517" s="95" t="s">
        <v>257</v>
      </c>
      <c r="F517" s="95">
        <v>62.0</v>
      </c>
      <c r="H517" s="95" t="s">
        <v>167</v>
      </c>
    </row>
    <row r="518" ht="14.25" hidden="1" customHeight="1">
      <c r="B518" s="95">
        <v>44749.0</v>
      </c>
      <c r="C518" s="95">
        <v>2108.0</v>
      </c>
      <c r="D518" s="95" t="s">
        <v>75</v>
      </c>
      <c r="E518" s="95" t="s">
        <v>45</v>
      </c>
      <c r="F518" s="95">
        <v>12.0</v>
      </c>
      <c r="H518" s="95" t="s">
        <v>167</v>
      </c>
    </row>
    <row r="519" ht="14.25" hidden="1" customHeight="1">
      <c r="B519" s="95">
        <v>44749.0</v>
      </c>
      <c r="C519" s="95">
        <v>2108.0</v>
      </c>
      <c r="D519" s="95" t="s">
        <v>75</v>
      </c>
      <c r="E519" s="95" t="s">
        <v>221</v>
      </c>
      <c r="F519" s="95">
        <v>6.0</v>
      </c>
      <c r="H519" s="95" t="s">
        <v>167</v>
      </c>
    </row>
    <row r="520" ht="14.25" hidden="1" customHeight="1">
      <c r="B520" s="95">
        <v>44749.0</v>
      </c>
      <c r="C520" s="95">
        <v>2108.0</v>
      </c>
      <c r="D520" s="95" t="s">
        <v>75</v>
      </c>
      <c r="E520" s="95" t="s">
        <v>542</v>
      </c>
      <c r="F520" s="95">
        <v>1.0</v>
      </c>
      <c r="H520" s="95" t="s">
        <v>167</v>
      </c>
    </row>
    <row r="521" ht="14.25" hidden="1" customHeight="1">
      <c r="B521" s="95">
        <v>44749.0</v>
      </c>
      <c r="C521" s="95">
        <v>2108.0</v>
      </c>
      <c r="D521" s="95" t="s">
        <v>75</v>
      </c>
      <c r="E521" s="95" t="s">
        <v>1672</v>
      </c>
      <c r="F521" s="95">
        <v>100.0</v>
      </c>
      <c r="H521" s="95" t="s">
        <v>167</v>
      </c>
    </row>
    <row r="522" ht="14.25" hidden="1" customHeight="1">
      <c r="B522" s="95">
        <v>44749.0</v>
      </c>
      <c r="C522" s="95">
        <v>2108.0</v>
      </c>
      <c r="D522" s="95" t="s">
        <v>75</v>
      </c>
      <c r="E522" s="95" t="s">
        <v>1169</v>
      </c>
      <c r="F522" s="95">
        <v>150.0</v>
      </c>
      <c r="H522" s="95" t="s">
        <v>167</v>
      </c>
    </row>
    <row r="523" ht="14.25" hidden="1" customHeight="1">
      <c r="B523" s="95">
        <v>44749.0</v>
      </c>
      <c r="C523" s="95">
        <v>2110.0</v>
      </c>
      <c r="D523" s="95" t="s">
        <v>164</v>
      </c>
      <c r="E523" s="95" t="s">
        <v>1673</v>
      </c>
      <c r="F523" s="95">
        <v>50.0</v>
      </c>
      <c r="G523" s="95">
        <v>1976.5</v>
      </c>
      <c r="H523" s="95" t="s">
        <v>180</v>
      </c>
      <c r="J523" s="95">
        <v>1976.5</v>
      </c>
      <c r="K523" s="95">
        <v>44755.0</v>
      </c>
      <c r="L523" s="95">
        <v>1865.0</v>
      </c>
      <c r="M523" s="95">
        <v>4.500401428E9</v>
      </c>
      <c r="N523" s="95">
        <v>44762.0</v>
      </c>
      <c r="O523" s="95">
        <v>44786.0</v>
      </c>
    </row>
    <row r="524" ht="14.25" hidden="1" customHeight="1">
      <c r="B524" s="95">
        <v>44750.0</v>
      </c>
      <c r="C524" s="95">
        <v>2111.0</v>
      </c>
      <c r="D524" s="95" t="s">
        <v>164</v>
      </c>
      <c r="E524" s="95" t="s">
        <v>1674</v>
      </c>
      <c r="F524" s="95">
        <v>100.0</v>
      </c>
      <c r="G524" s="95">
        <v>351.0</v>
      </c>
      <c r="H524" s="95" t="s">
        <v>180</v>
      </c>
      <c r="J524" s="95">
        <v>351.0</v>
      </c>
      <c r="K524" s="95">
        <v>44761.0</v>
      </c>
      <c r="L524" s="95">
        <v>1869.0</v>
      </c>
      <c r="M524" s="95">
        <v>4.500401393E9</v>
      </c>
      <c r="N524" s="95">
        <v>44761.0</v>
      </c>
      <c r="O524" s="95">
        <v>44792.0</v>
      </c>
    </row>
    <row r="525" ht="14.25" hidden="1" customHeight="1">
      <c r="B525" s="95">
        <v>44750.0</v>
      </c>
      <c r="C525" s="95">
        <v>2111.0</v>
      </c>
      <c r="D525" s="95" t="s">
        <v>164</v>
      </c>
      <c r="E525" s="95" t="s">
        <v>24</v>
      </c>
      <c r="F525" s="95">
        <v>30.0</v>
      </c>
      <c r="G525" s="95">
        <v>1050.0</v>
      </c>
      <c r="H525" s="95" t="s">
        <v>180</v>
      </c>
      <c r="J525" s="95">
        <v>1050.0</v>
      </c>
      <c r="K525" s="95">
        <v>44761.0</v>
      </c>
      <c r="L525" s="95">
        <v>1869.0</v>
      </c>
      <c r="M525" s="95">
        <v>4.500401393E9</v>
      </c>
      <c r="N525" s="95">
        <v>44761.0</v>
      </c>
      <c r="O525" s="95">
        <v>44792.0</v>
      </c>
    </row>
    <row r="526" ht="14.25" hidden="1" customHeight="1">
      <c r="B526" s="95">
        <v>44750.0</v>
      </c>
      <c r="C526" s="95">
        <v>2111.0</v>
      </c>
      <c r="D526" s="95" t="s">
        <v>164</v>
      </c>
      <c r="E526" s="95" t="s">
        <v>24</v>
      </c>
      <c r="F526" s="95">
        <v>70.0</v>
      </c>
      <c r="G526" s="95">
        <v>2450.0</v>
      </c>
      <c r="H526" s="95" t="s">
        <v>180</v>
      </c>
      <c r="J526" s="95">
        <v>2450.0</v>
      </c>
      <c r="K526" s="95">
        <v>44825.0</v>
      </c>
      <c r="L526" s="95">
        <v>1935.0</v>
      </c>
      <c r="M526" s="95">
        <v>4.500401393E9</v>
      </c>
      <c r="N526" s="95">
        <v>44761.0</v>
      </c>
      <c r="O526" s="95">
        <v>44855.0</v>
      </c>
    </row>
    <row r="527" ht="14.25" hidden="1" customHeight="1">
      <c r="B527" s="95">
        <v>44750.0</v>
      </c>
      <c r="C527" s="95">
        <v>2112.0</v>
      </c>
      <c r="D527" s="95" t="s">
        <v>164</v>
      </c>
      <c r="E527" s="95" t="s">
        <v>1051</v>
      </c>
      <c r="F527" s="95">
        <v>150.0</v>
      </c>
      <c r="G527" s="95">
        <v>2262.03</v>
      </c>
      <c r="H527" s="95" t="s">
        <v>180</v>
      </c>
      <c r="J527" s="95">
        <v>2262.0</v>
      </c>
      <c r="K527" s="95">
        <v>44781.0</v>
      </c>
      <c r="L527" s="95">
        <v>1898.0</v>
      </c>
      <c r="M527" s="95">
        <v>4.500401542E9</v>
      </c>
      <c r="N527" s="95">
        <v>44785.0</v>
      </c>
      <c r="O527" s="95">
        <v>44812.0</v>
      </c>
    </row>
    <row r="528" ht="14.25" hidden="1" customHeight="1">
      <c r="B528" s="95">
        <v>44753.0</v>
      </c>
      <c r="C528" s="95">
        <v>2113.0</v>
      </c>
      <c r="D528" s="95" t="s">
        <v>1569</v>
      </c>
      <c r="E528" s="95" t="s">
        <v>1675</v>
      </c>
      <c r="F528" s="95">
        <v>6.0</v>
      </c>
      <c r="G528" s="95">
        <v>49438.18</v>
      </c>
      <c r="H528" s="95" t="s">
        <v>180</v>
      </c>
      <c r="J528" s="95">
        <v>49438.18</v>
      </c>
      <c r="K528" s="95">
        <v>44834.0</v>
      </c>
      <c r="L528" s="95">
        <v>1945.0</v>
      </c>
      <c r="M528" s="95">
        <v>5.20208036E9</v>
      </c>
      <c r="N528" s="95">
        <v>44809.0</v>
      </c>
      <c r="O528" s="95">
        <v>44880.0</v>
      </c>
    </row>
    <row r="529" ht="14.25" hidden="1" customHeight="1">
      <c r="B529" s="95">
        <v>44753.0</v>
      </c>
      <c r="C529" s="95">
        <v>2121.0</v>
      </c>
      <c r="D529" s="95" t="s">
        <v>164</v>
      </c>
      <c r="E529" s="95" t="s">
        <v>1676</v>
      </c>
      <c r="F529" s="95">
        <v>20.0</v>
      </c>
      <c r="G529" s="95">
        <v>424.99</v>
      </c>
      <c r="H529" s="95" t="s">
        <v>167</v>
      </c>
    </row>
    <row r="530" ht="14.25" hidden="1" customHeight="1">
      <c r="B530" s="95">
        <v>44753.0</v>
      </c>
      <c r="C530" s="95">
        <v>2121.0</v>
      </c>
      <c r="D530" s="95" t="s">
        <v>164</v>
      </c>
      <c r="E530" s="95" t="s">
        <v>1677</v>
      </c>
      <c r="F530" s="95">
        <v>20.0</v>
      </c>
      <c r="G530" s="95">
        <v>424.99</v>
      </c>
      <c r="H530" s="95" t="s">
        <v>167</v>
      </c>
    </row>
    <row r="531" ht="14.25" hidden="1" customHeight="1">
      <c r="B531" s="95">
        <v>44753.0</v>
      </c>
      <c r="C531" s="95">
        <v>2121.0</v>
      </c>
      <c r="D531" s="95" t="s">
        <v>164</v>
      </c>
      <c r="E531" s="95" t="s">
        <v>1678</v>
      </c>
      <c r="F531" s="95">
        <v>20.0</v>
      </c>
      <c r="G531" s="95">
        <v>424.99</v>
      </c>
      <c r="H531" s="95" t="s">
        <v>167</v>
      </c>
    </row>
    <row r="532" ht="14.25" hidden="1" customHeight="1">
      <c r="B532" s="95">
        <v>44753.0</v>
      </c>
      <c r="C532" s="95">
        <v>2121.0</v>
      </c>
      <c r="D532" s="95" t="s">
        <v>164</v>
      </c>
      <c r="E532" s="95" t="s">
        <v>1679</v>
      </c>
      <c r="F532" s="95">
        <v>20.0</v>
      </c>
      <c r="G532" s="95">
        <v>424.99</v>
      </c>
      <c r="H532" s="95" t="s">
        <v>167</v>
      </c>
    </row>
    <row r="533" ht="14.25" hidden="1" customHeight="1">
      <c r="B533" s="95">
        <v>44753.0</v>
      </c>
      <c r="C533" s="95">
        <v>2121.0</v>
      </c>
      <c r="D533" s="95" t="s">
        <v>164</v>
      </c>
      <c r="E533" s="95" t="s">
        <v>1680</v>
      </c>
      <c r="F533" s="95">
        <v>20.0</v>
      </c>
      <c r="G533" s="95">
        <v>424.99</v>
      </c>
      <c r="H533" s="95" t="s">
        <v>167</v>
      </c>
    </row>
    <row r="534" ht="14.25" hidden="1" customHeight="1">
      <c r="B534" s="95">
        <v>44754.0</v>
      </c>
      <c r="C534" s="95">
        <v>2117.0</v>
      </c>
      <c r="D534" s="95" t="s">
        <v>1681</v>
      </c>
      <c r="E534" s="95" t="s">
        <v>1682</v>
      </c>
      <c r="F534" s="95">
        <v>2.0</v>
      </c>
      <c r="H534" s="95" t="s">
        <v>167</v>
      </c>
      <c r="I534" s="95" t="s">
        <v>1683</v>
      </c>
    </row>
    <row r="535" ht="14.25" hidden="1" customHeight="1">
      <c r="B535" s="95">
        <v>44754.0</v>
      </c>
      <c r="D535" s="95" t="s">
        <v>77</v>
      </c>
      <c r="E535" s="95" t="s">
        <v>1684</v>
      </c>
      <c r="F535" s="95">
        <v>1.0</v>
      </c>
      <c r="H535" s="95" t="s">
        <v>167</v>
      </c>
    </row>
    <row r="536" ht="14.25" hidden="1" customHeight="1">
      <c r="B536" s="95">
        <v>44757.0</v>
      </c>
      <c r="D536" s="95" t="s">
        <v>164</v>
      </c>
      <c r="E536" s="95" t="s">
        <v>1685</v>
      </c>
      <c r="F536" s="95">
        <v>12.0</v>
      </c>
      <c r="H536" s="95" t="s">
        <v>167</v>
      </c>
    </row>
    <row r="537" ht="14.25" hidden="1" customHeight="1">
      <c r="B537" s="95">
        <v>44757.0</v>
      </c>
      <c r="D537" s="95" t="s">
        <v>707</v>
      </c>
      <c r="E537" s="95" t="s">
        <v>1686</v>
      </c>
      <c r="F537" s="95">
        <v>1.0</v>
      </c>
      <c r="H537" s="95" t="s">
        <v>167</v>
      </c>
    </row>
    <row r="538" ht="14.25" hidden="1" customHeight="1">
      <c r="B538" s="95">
        <v>44760.0</v>
      </c>
      <c r="D538" s="95" t="s">
        <v>164</v>
      </c>
      <c r="E538" s="95" t="s">
        <v>1687</v>
      </c>
      <c r="F538" s="95">
        <v>1.0</v>
      </c>
      <c r="H538" s="95" t="s">
        <v>167</v>
      </c>
    </row>
    <row r="539" ht="14.25" hidden="1" customHeight="1">
      <c r="B539" s="95">
        <v>44760.0</v>
      </c>
      <c r="D539" s="95" t="s">
        <v>1688</v>
      </c>
      <c r="E539" s="95" t="s">
        <v>1689</v>
      </c>
      <c r="F539" s="95">
        <v>1.0</v>
      </c>
      <c r="H539" s="95" t="s">
        <v>167</v>
      </c>
    </row>
    <row r="540" ht="14.25" hidden="1" customHeight="1">
      <c r="B540" s="95">
        <v>44760.0</v>
      </c>
      <c r="C540" s="95">
        <v>2127.0</v>
      </c>
      <c r="D540" s="95" t="s">
        <v>75</v>
      </c>
      <c r="E540" s="95" t="s">
        <v>1690</v>
      </c>
      <c r="F540" s="95">
        <v>100.0</v>
      </c>
      <c r="G540" s="95">
        <v>2214.69</v>
      </c>
      <c r="H540" s="95" t="s">
        <v>167</v>
      </c>
    </row>
    <row r="541" ht="14.25" hidden="1" customHeight="1">
      <c r="B541" s="95">
        <v>44761.0</v>
      </c>
      <c r="C541" s="95">
        <v>2131.0</v>
      </c>
      <c r="D541" s="95" t="s">
        <v>44</v>
      </c>
      <c r="E541" s="95" t="s">
        <v>1691</v>
      </c>
      <c r="F541" s="95">
        <v>4.0</v>
      </c>
      <c r="G541" s="95">
        <v>4396.94</v>
      </c>
      <c r="H541" s="95" t="s">
        <v>180</v>
      </c>
      <c r="J541" s="95">
        <v>4396.94</v>
      </c>
      <c r="K541" s="95">
        <v>44817.0</v>
      </c>
      <c r="L541" s="95">
        <v>1926.0</v>
      </c>
      <c r="M541" s="95">
        <v>4.501578898E9</v>
      </c>
      <c r="N541" s="95">
        <v>44796.0</v>
      </c>
    </row>
    <row r="542" ht="14.25" hidden="1" customHeight="1">
      <c r="B542" s="95">
        <v>44762.0</v>
      </c>
      <c r="C542" s="95">
        <v>2132.0</v>
      </c>
      <c r="D542" s="95" t="s">
        <v>1692</v>
      </c>
      <c r="E542" s="95" t="s">
        <v>1693</v>
      </c>
      <c r="F542" s="95">
        <v>130.0</v>
      </c>
      <c r="G542" s="95">
        <v>130978.5</v>
      </c>
      <c r="H542" s="95" t="s">
        <v>167</v>
      </c>
    </row>
    <row r="543" ht="14.25" hidden="1" customHeight="1">
      <c r="B543" s="95">
        <v>44762.0</v>
      </c>
      <c r="C543" s="95">
        <v>2133.0</v>
      </c>
      <c r="D543" s="95" t="s">
        <v>1694</v>
      </c>
      <c r="E543" s="95" t="s">
        <v>1693</v>
      </c>
      <c r="F543" s="95">
        <v>130.0</v>
      </c>
      <c r="G543" s="95">
        <v>130978.5</v>
      </c>
      <c r="H543" s="95" t="s">
        <v>167</v>
      </c>
    </row>
    <row r="544" ht="14.25" hidden="1" customHeight="1">
      <c r="B544" s="95">
        <v>44763.0</v>
      </c>
      <c r="D544" s="95" t="s">
        <v>1695</v>
      </c>
      <c r="E544" s="95" t="s">
        <v>2023</v>
      </c>
      <c r="F544" s="95">
        <v>1.0</v>
      </c>
      <c r="H544" s="95" t="s">
        <v>167</v>
      </c>
    </row>
    <row r="545" ht="14.25" hidden="1" customHeight="1">
      <c r="B545" s="95">
        <v>44763.0</v>
      </c>
      <c r="C545" s="95" t="s">
        <v>1697</v>
      </c>
      <c r="D545" s="95" t="s">
        <v>1569</v>
      </c>
      <c r="E545" s="95" t="s">
        <v>1698</v>
      </c>
      <c r="F545" s="95">
        <v>8.0</v>
      </c>
      <c r="G545" s="95">
        <v>65917.52</v>
      </c>
      <c r="H545" s="95" t="s">
        <v>180</v>
      </c>
      <c r="J545" s="95">
        <v>65917.52</v>
      </c>
      <c r="K545" s="95">
        <v>44834.0</v>
      </c>
      <c r="L545" s="95">
        <v>1946.0</v>
      </c>
      <c r="M545" s="95">
        <v>5.202084099E9</v>
      </c>
      <c r="O545" s="95">
        <v>44880.0</v>
      </c>
    </row>
    <row r="546" ht="14.25" hidden="1" customHeight="1">
      <c r="B546" s="95">
        <v>44763.0</v>
      </c>
      <c r="C546" s="95" t="s">
        <v>1697</v>
      </c>
      <c r="D546" s="95" t="s">
        <v>1569</v>
      </c>
      <c r="E546" s="95" t="s">
        <v>1698</v>
      </c>
      <c r="F546" s="95">
        <v>8.0</v>
      </c>
      <c r="G546" s="95">
        <v>65917.52</v>
      </c>
      <c r="H546" s="95" t="s">
        <v>180</v>
      </c>
      <c r="J546" s="95">
        <v>65917.52</v>
      </c>
      <c r="K546" s="95">
        <v>44858.0</v>
      </c>
      <c r="L546" s="95">
        <v>1965.0</v>
      </c>
      <c r="M546" s="95">
        <v>5.202084099E9</v>
      </c>
      <c r="N546" s="95">
        <v>44823.0</v>
      </c>
      <c r="O546" s="95">
        <v>44904.0</v>
      </c>
    </row>
    <row r="547" ht="14.25" hidden="1" customHeight="1">
      <c r="B547" s="95">
        <v>44763.0</v>
      </c>
      <c r="C547" s="95" t="s">
        <v>1697</v>
      </c>
      <c r="D547" s="95" t="s">
        <v>1569</v>
      </c>
      <c r="E547" s="95" t="s">
        <v>1698</v>
      </c>
      <c r="F547" s="95">
        <v>8.0</v>
      </c>
      <c r="G547" s="95">
        <v>65917.52</v>
      </c>
      <c r="H547" s="95" t="s">
        <v>180</v>
      </c>
      <c r="J547" s="95">
        <v>65917.52</v>
      </c>
      <c r="K547" s="95">
        <v>44937.0</v>
      </c>
      <c r="L547" s="95">
        <v>2038.0</v>
      </c>
      <c r="M547" s="95">
        <v>5.202084099E9</v>
      </c>
      <c r="N547" s="95">
        <v>44823.0</v>
      </c>
      <c r="O547" s="95">
        <v>44984.0</v>
      </c>
    </row>
    <row r="548" ht="14.25" hidden="1" customHeight="1">
      <c r="B548" s="95">
        <v>44763.0</v>
      </c>
      <c r="C548" s="95">
        <v>2137.0</v>
      </c>
      <c r="D548" s="95" t="s">
        <v>46</v>
      </c>
      <c r="E548" s="95" t="s">
        <v>1699</v>
      </c>
      <c r="F548" s="95">
        <v>1.0</v>
      </c>
      <c r="G548" s="95">
        <v>1359.89</v>
      </c>
      <c r="H548" s="95" t="s">
        <v>167</v>
      </c>
    </row>
    <row r="549" ht="14.25" hidden="1" customHeight="1">
      <c r="B549" s="95">
        <v>44763.0</v>
      </c>
      <c r="C549" s="95">
        <v>2137.0</v>
      </c>
      <c r="D549" s="95" t="s">
        <v>46</v>
      </c>
      <c r="E549" s="95" t="s">
        <v>1700</v>
      </c>
      <c r="F549" s="95">
        <v>1.0</v>
      </c>
      <c r="G549" s="95">
        <v>194.52</v>
      </c>
      <c r="H549" s="95" t="s">
        <v>167</v>
      </c>
    </row>
    <row r="550" ht="14.25" hidden="1" customHeight="1">
      <c r="B550" s="95">
        <v>44763.0</v>
      </c>
      <c r="C550" s="95">
        <v>2137.0</v>
      </c>
      <c r="D550" s="95" t="s">
        <v>46</v>
      </c>
      <c r="E550" s="95" t="s">
        <v>1701</v>
      </c>
      <c r="F550" s="95">
        <v>1.0</v>
      </c>
      <c r="G550" s="95">
        <v>1119.15</v>
      </c>
      <c r="H550" s="95" t="s">
        <v>167</v>
      </c>
    </row>
    <row r="551" ht="14.25" hidden="1" customHeight="1">
      <c r="B551" s="95">
        <v>44763.0</v>
      </c>
      <c r="C551" s="95">
        <v>2137.0</v>
      </c>
      <c r="D551" s="95" t="s">
        <v>46</v>
      </c>
      <c r="E551" s="95" t="s">
        <v>1702</v>
      </c>
      <c r="F551" s="95">
        <v>1.0</v>
      </c>
      <c r="G551" s="95">
        <v>9523.34</v>
      </c>
      <c r="H551" s="95" t="s">
        <v>167</v>
      </c>
    </row>
    <row r="552" ht="14.25" hidden="1" customHeight="1">
      <c r="B552" s="95">
        <v>44764.0</v>
      </c>
      <c r="C552" s="95">
        <v>2147.0</v>
      </c>
      <c r="D552" s="95" t="s">
        <v>1703</v>
      </c>
      <c r="E552" s="95" t="s">
        <v>1704</v>
      </c>
      <c r="F552" s="95">
        <v>2.0</v>
      </c>
      <c r="G552" s="95">
        <v>772.7</v>
      </c>
      <c r="H552" s="95" t="s">
        <v>180</v>
      </c>
      <c r="J552" s="95">
        <v>772.7</v>
      </c>
      <c r="K552" s="95">
        <v>44768.0</v>
      </c>
      <c r="L552" s="95">
        <v>1881.0</v>
      </c>
    </row>
    <row r="553" ht="14.25" hidden="1" customHeight="1">
      <c r="B553" s="95">
        <v>44768.0</v>
      </c>
      <c r="C553" s="95">
        <v>2142.0</v>
      </c>
      <c r="D553" s="95" t="s">
        <v>1705</v>
      </c>
      <c r="E553" s="95" t="s">
        <v>1706</v>
      </c>
      <c r="F553" s="95">
        <v>3.0</v>
      </c>
      <c r="G553" s="95">
        <v>860.32</v>
      </c>
      <c r="H553" s="95" t="s">
        <v>180</v>
      </c>
      <c r="J553" s="95">
        <v>860.32</v>
      </c>
      <c r="K553" s="95">
        <v>44771.0</v>
      </c>
      <c r="L553" s="95">
        <v>1882.0</v>
      </c>
      <c r="O553" s="95">
        <v>44802.0</v>
      </c>
    </row>
    <row r="554" ht="14.25" hidden="1" customHeight="1">
      <c r="B554" s="95">
        <v>44768.0</v>
      </c>
      <c r="C554" s="95">
        <v>2143.0</v>
      </c>
      <c r="D554" s="95" t="s">
        <v>44</v>
      </c>
      <c r="E554" s="95" t="s">
        <v>1707</v>
      </c>
      <c r="F554" s="95">
        <v>70.0</v>
      </c>
      <c r="G554" s="95">
        <v>1975.4</v>
      </c>
      <c r="H554" s="95" t="s">
        <v>167</v>
      </c>
    </row>
    <row r="555" ht="14.25" hidden="1" customHeight="1">
      <c r="B555" s="95">
        <v>44768.0</v>
      </c>
      <c r="C555" s="95">
        <v>2143.0</v>
      </c>
      <c r="D555" s="95" t="s">
        <v>44</v>
      </c>
      <c r="E555" s="95" t="s">
        <v>278</v>
      </c>
      <c r="F555" s="95">
        <v>70.0</v>
      </c>
      <c r="G555" s="95">
        <v>920.96</v>
      </c>
      <c r="H555" s="95" t="s">
        <v>167</v>
      </c>
    </row>
    <row r="556" ht="14.25" hidden="1" customHeight="1">
      <c r="B556" s="95">
        <v>44768.0</v>
      </c>
      <c r="C556" s="95">
        <v>2143.0</v>
      </c>
      <c r="D556" s="95" t="s">
        <v>44</v>
      </c>
      <c r="E556" s="95" t="s">
        <v>24</v>
      </c>
      <c r="F556" s="95">
        <v>100.0</v>
      </c>
      <c r="G556" s="95">
        <v>3267.9</v>
      </c>
      <c r="H556" s="95" t="s">
        <v>167</v>
      </c>
    </row>
    <row r="557" ht="14.25" hidden="1" customHeight="1">
      <c r="B557" s="95">
        <v>44768.0</v>
      </c>
      <c r="C557" s="95">
        <v>2144.0</v>
      </c>
      <c r="D557" s="95" t="s">
        <v>44</v>
      </c>
      <c r="E557" s="95" t="s">
        <v>1707</v>
      </c>
      <c r="F557" s="95">
        <v>70.0</v>
      </c>
      <c r="G557" s="95">
        <v>1975.4</v>
      </c>
      <c r="H557" s="95" t="s">
        <v>167</v>
      </c>
    </row>
    <row r="558" ht="14.25" hidden="1" customHeight="1">
      <c r="B558" s="95">
        <v>44768.0</v>
      </c>
      <c r="C558" s="95">
        <v>2144.0</v>
      </c>
      <c r="D558" s="95" t="s">
        <v>44</v>
      </c>
      <c r="E558" s="95" t="s">
        <v>278</v>
      </c>
      <c r="F558" s="95">
        <v>70.0</v>
      </c>
      <c r="G558" s="95">
        <v>920.96</v>
      </c>
      <c r="H558" s="95" t="s">
        <v>167</v>
      </c>
    </row>
    <row r="559" ht="14.25" hidden="1" customHeight="1">
      <c r="B559" s="95">
        <v>44768.0</v>
      </c>
      <c r="C559" s="95">
        <v>2144.0</v>
      </c>
      <c r="D559" s="95" t="s">
        <v>44</v>
      </c>
      <c r="E559" s="95" t="s">
        <v>24</v>
      </c>
      <c r="F559" s="95">
        <v>100.0</v>
      </c>
      <c r="G559" s="95">
        <v>3267.9</v>
      </c>
      <c r="H559" s="95" t="s">
        <v>167</v>
      </c>
    </row>
    <row r="560" ht="14.25" hidden="1" customHeight="1">
      <c r="B560" s="95">
        <v>44768.0</v>
      </c>
      <c r="C560" s="95">
        <v>2145.0</v>
      </c>
      <c r="D560" s="95" t="s">
        <v>44</v>
      </c>
      <c r="E560" s="95" t="s">
        <v>1707</v>
      </c>
      <c r="F560" s="95">
        <v>70.0</v>
      </c>
      <c r="G560" s="95">
        <v>1975.4</v>
      </c>
      <c r="H560" s="95" t="s">
        <v>167</v>
      </c>
    </row>
    <row r="561" ht="14.25" hidden="1" customHeight="1">
      <c r="B561" s="95">
        <v>44768.0</v>
      </c>
      <c r="C561" s="95">
        <v>2145.0</v>
      </c>
      <c r="D561" s="95" t="s">
        <v>44</v>
      </c>
      <c r="E561" s="95" t="s">
        <v>278</v>
      </c>
      <c r="F561" s="95">
        <v>70.0</v>
      </c>
      <c r="G561" s="95">
        <v>920.96</v>
      </c>
      <c r="H561" s="95" t="s">
        <v>167</v>
      </c>
    </row>
    <row r="562" ht="14.25" hidden="1" customHeight="1">
      <c r="B562" s="95">
        <v>44768.0</v>
      </c>
      <c r="C562" s="95">
        <v>2145.0</v>
      </c>
      <c r="D562" s="95" t="s">
        <v>44</v>
      </c>
      <c r="E562" s="95" t="s">
        <v>24</v>
      </c>
      <c r="F562" s="95">
        <v>100.0</v>
      </c>
      <c r="G562" s="95">
        <v>3267.9</v>
      </c>
      <c r="H562" s="95" t="s">
        <v>167</v>
      </c>
    </row>
    <row r="563" ht="14.25" hidden="1" customHeight="1">
      <c r="B563" s="95">
        <v>44768.0</v>
      </c>
      <c r="C563" s="95">
        <v>2146.0</v>
      </c>
      <c r="D563" s="95" t="s">
        <v>44</v>
      </c>
      <c r="E563" s="95" t="s">
        <v>1707</v>
      </c>
      <c r="F563" s="95">
        <v>70.0</v>
      </c>
      <c r="G563" s="95">
        <v>1975.4</v>
      </c>
      <c r="H563" s="95" t="s">
        <v>167</v>
      </c>
    </row>
    <row r="564" ht="14.25" hidden="1" customHeight="1">
      <c r="B564" s="95">
        <v>44768.0</v>
      </c>
      <c r="C564" s="95">
        <v>2146.0</v>
      </c>
      <c r="D564" s="95" t="s">
        <v>44</v>
      </c>
      <c r="E564" s="95" t="s">
        <v>278</v>
      </c>
      <c r="F564" s="95">
        <v>70.0</v>
      </c>
      <c r="G564" s="95">
        <v>920.96</v>
      </c>
      <c r="H564" s="95" t="s">
        <v>167</v>
      </c>
    </row>
    <row r="565" ht="14.25" hidden="1" customHeight="1">
      <c r="B565" s="95">
        <v>44768.0</v>
      </c>
      <c r="C565" s="95">
        <v>2146.0</v>
      </c>
      <c r="D565" s="95" t="s">
        <v>44</v>
      </c>
      <c r="E565" s="95" t="s">
        <v>24</v>
      </c>
      <c r="F565" s="95">
        <v>100.0</v>
      </c>
      <c r="G565" s="95">
        <v>3267.9</v>
      </c>
      <c r="H565" s="95" t="s">
        <v>167</v>
      </c>
    </row>
    <row r="566" ht="14.25" hidden="1" customHeight="1">
      <c r="B566" s="95">
        <v>44769.0</v>
      </c>
      <c r="C566" s="95">
        <v>2149.0</v>
      </c>
      <c r="D566" s="95" t="s">
        <v>1549</v>
      </c>
      <c r="E566" s="95" t="s">
        <v>1708</v>
      </c>
      <c r="F566" s="95">
        <v>1.0</v>
      </c>
      <c r="G566" s="95">
        <v>5804.35</v>
      </c>
      <c r="H566" s="95" t="s">
        <v>167</v>
      </c>
      <c r="I566" s="95" t="s">
        <v>1709</v>
      </c>
    </row>
    <row r="567" ht="14.25" hidden="1" customHeight="1">
      <c r="B567" s="95">
        <v>44769.0</v>
      </c>
      <c r="D567" s="95" t="s">
        <v>46</v>
      </c>
      <c r="E567" s="95" t="s">
        <v>1710</v>
      </c>
      <c r="F567" s="95">
        <v>1.0</v>
      </c>
      <c r="H567" s="95" t="s">
        <v>167</v>
      </c>
    </row>
    <row r="568" ht="14.25" customHeight="1">
      <c r="B568" s="95">
        <v>44769.0</v>
      </c>
      <c r="C568" s="95">
        <v>2152.0</v>
      </c>
      <c r="D568" s="95" t="s">
        <v>1711</v>
      </c>
      <c r="E568" s="95" t="s">
        <v>1712</v>
      </c>
      <c r="F568" s="95">
        <v>1.0</v>
      </c>
      <c r="G568" s="94">
        <v>5090.27</v>
      </c>
      <c r="H568" s="95" t="s">
        <v>1560</v>
      </c>
      <c r="I568" s="95" t="s">
        <v>1713</v>
      </c>
      <c r="M568" s="95">
        <v>9.05238927E8</v>
      </c>
      <c r="N568" s="95">
        <v>44945.0</v>
      </c>
    </row>
    <row r="569" ht="14.25" hidden="1" customHeight="1">
      <c r="B569" s="95">
        <v>44769.0</v>
      </c>
      <c r="C569" s="95">
        <v>2153.0</v>
      </c>
      <c r="D569" s="95" t="s">
        <v>75</v>
      </c>
      <c r="E569" s="95" t="s">
        <v>1714</v>
      </c>
      <c r="F569" s="95">
        <v>1.0</v>
      </c>
      <c r="G569" s="95">
        <v>2792.0</v>
      </c>
      <c r="H569" s="95" t="s">
        <v>167</v>
      </c>
    </row>
    <row r="570" ht="14.25" hidden="1" customHeight="1">
      <c r="B570" s="95">
        <v>44769.0</v>
      </c>
      <c r="C570" s="95">
        <v>2153.0</v>
      </c>
      <c r="D570" s="95" t="s">
        <v>75</v>
      </c>
      <c r="E570" s="95" t="s">
        <v>1715</v>
      </c>
      <c r="F570" s="95">
        <v>3.0</v>
      </c>
      <c r="G570" s="95">
        <v>2769.18</v>
      </c>
      <c r="H570" s="95" t="s">
        <v>167</v>
      </c>
    </row>
    <row r="571" ht="14.25" hidden="1" customHeight="1">
      <c r="B571" s="95">
        <v>44770.0</v>
      </c>
      <c r="C571" s="95" t="s">
        <v>1716</v>
      </c>
      <c r="D571" s="95" t="s">
        <v>1717</v>
      </c>
      <c r="E571" s="95" t="s">
        <v>1718</v>
      </c>
      <c r="F571" s="95">
        <v>100.0</v>
      </c>
      <c r="G571" s="95">
        <v>1218.3</v>
      </c>
      <c r="H571" s="95" t="s">
        <v>180</v>
      </c>
      <c r="J571" s="95">
        <v>1218.3</v>
      </c>
      <c r="K571" s="95">
        <v>44789.0</v>
      </c>
      <c r="L571" s="95">
        <v>1905.0</v>
      </c>
      <c r="M571" s="95" t="s">
        <v>1716</v>
      </c>
      <c r="O571" s="95">
        <v>44820.0</v>
      </c>
    </row>
    <row r="572" ht="14.25" hidden="1" customHeight="1">
      <c r="B572" s="95">
        <v>44770.0</v>
      </c>
      <c r="C572" s="95" t="s">
        <v>1716</v>
      </c>
      <c r="D572" s="95" t="s">
        <v>1717</v>
      </c>
      <c r="E572" s="95" t="s">
        <v>1449</v>
      </c>
      <c r="F572" s="95">
        <v>20.0</v>
      </c>
      <c r="G572" s="95">
        <v>56.28</v>
      </c>
      <c r="H572" s="95" t="s">
        <v>180</v>
      </c>
      <c r="J572" s="95">
        <v>56.28</v>
      </c>
      <c r="K572" s="95">
        <v>44789.0</v>
      </c>
      <c r="L572" s="95">
        <v>1905.0</v>
      </c>
      <c r="M572" s="95" t="s">
        <v>1716</v>
      </c>
      <c r="O572" s="95">
        <v>44820.0</v>
      </c>
    </row>
    <row r="573" ht="14.25" hidden="1" customHeight="1">
      <c r="B573" s="95">
        <v>44770.0</v>
      </c>
      <c r="C573" s="95" t="s">
        <v>1716</v>
      </c>
      <c r="D573" s="95" t="s">
        <v>1717</v>
      </c>
      <c r="E573" s="95" t="s">
        <v>1719</v>
      </c>
      <c r="F573" s="95">
        <v>100.0</v>
      </c>
      <c r="G573" s="95">
        <v>1111.55</v>
      </c>
      <c r="H573" s="95" t="s">
        <v>180</v>
      </c>
      <c r="J573" s="95">
        <v>1111.55</v>
      </c>
      <c r="K573" s="95">
        <v>44789.0</v>
      </c>
      <c r="L573" s="95">
        <v>1905.0</v>
      </c>
      <c r="M573" s="95" t="s">
        <v>1716</v>
      </c>
      <c r="O573" s="95">
        <v>44820.0</v>
      </c>
    </row>
    <row r="574" ht="14.25" hidden="1" customHeight="1">
      <c r="B574" s="95">
        <v>44771.0</v>
      </c>
      <c r="C574" s="95">
        <v>2157.0</v>
      </c>
      <c r="D574" s="95" t="s">
        <v>164</v>
      </c>
      <c r="E574" s="95" t="s">
        <v>1449</v>
      </c>
      <c r="F574" s="95">
        <v>100.0</v>
      </c>
      <c r="G574" s="95">
        <v>351.0</v>
      </c>
      <c r="H574" s="95" t="s">
        <v>167</v>
      </c>
    </row>
    <row r="575" ht="14.25" hidden="1" customHeight="1">
      <c r="B575" s="95">
        <v>44771.0</v>
      </c>
      <c r="C575" s="95">
        <v>2158.0</v>
      </c>
      <c r="D575" s="95" t="s">
        <v>188</v>
      </c>
      <c r="E575" s="95" t="s">
        <v>1504</v>
      </c>
      <c r="F575" s="95">
        <v>5.0</v>
      </c>
      <c r="G575" s="95">
        <v>18700.1</v>
      </c>
      <c r="H575" s="95" t="s">
        <v>180</v>
      </c>
      <c r="I575" s="95" t="s">
        <v>1720</v>
      </c>
      <c r="J575" s="95">
        <v>18700.1</v>
      </c>
      <c r="K575" s="95">
        <v>44963.0</v>
      </c>
      <c r="L575" s="95">
        <v>2052.0</v>
      </c>
      <c r="M575" s="95">
        <v>4.400555687E9</v>
      </c>
    </row>
    <row r="576" ht="14.25" hidden="1" customHeight="1">
      <c r="B576" s="95">
        <v>44771.0</v>
      </c>
      <c r="C576" s="95">
        <v>2160.0</v>
      </c>
      <c r="D576" s="95" t="s">
        <v>44</v>
      </c>
      <c r="E576" s="95" t="s">
        <v>1585</v>
      </c>
      <c r="F576" s="95">
        <v>2.0</v>
      </c>
      <c r="G576" s="95">
        <v>2770.15</v>
      </c>
      <c r="H576" s="95" t="s">
        <v>180</v>
      </c>
      <c r="J576" s="95">
        <v>2770.15</v>
      </c>
      <c r="K576" s="95">
        <v>44791.0</v>
      </c>
      <c r="L576" s="95">
        <v>1912.0</v>
      </c>
      <c r="M576" s="95">
        <v>4.501590334E9</v>
      </c>
      <c r="N576" s="95">
        <v>44803.0</v>
      </c>
      <c r="O576" s="95">
        <v>44824.0</v>
      </c>
    </row>
    <row r="577" ht="14.25" hidden="1" customHeight="1">
      <c r="B577" s="95">
        <v>44771.0</v>
      </c>
      <c r="C577" s="95">
        <v>2161.0</v>
      </c>
      <c r="D577" s="95" t="s">
        <v>164</v>
      </c>
      <c r="E577" s="95" t="s">
        <v>1447</v>
      </c>
      <c r="F577" s="95">
        <v>120.0</v>
      </c>
      <c r="G577" s="95">
        <v>366.0</v>
      </c>
      <c r="H577" s="95" t="s">
        <v>180</v>
      </c>
      <c r="J577" s="95">
        <v>366.0</v>
      </c>
      <c r="K577" s="95">
        <v>44783.0</v>
      </c>
      <c r="L577" s="95">
        <v>1900.0</v>
      </c>
      <c r="M577" s="95">
        <v>4.500404092E9</v>
      </c>
      <c r="O577" s="95">
        <v>44814.0</v>
      </c>
    </row>
    <row r="578" ht="14.25" hidden="1" customHeight="1"/>
    <row r="579" ht="14.25" hidden="1" customHeight="1">
      <c r="B579" s="95">
        <v>44774.0</v>
      </c>
      <c r="D579" s="95" t="s">
        <v>1721</v>
      </c>
      <c r="E579" s="95" t="s">
        <v>1722</v>
      </c>
      <c r="F579" s="95">
        <v>10.0</v>
      </c>
    </row>
    <row r="580" ht="14.25" hidden="1" customHeight="1">
      <c r="B580" s="95">
        <v>44775.0</v>
      </c>
      <c r="C580" s="95">
        <v>2166.0</v>
      </c>
      <c r="D580" s="95" t="s">
        <v>1723</v>
      </c>
      <c r="E580" s="95" t="s">
        <v>1724</v>
      </c>
      <c r="F580" s="95">
        <v>2.0</v>
      </c>
      <c r="G580" s="95">
        <v>527.31</v>
      </c>
      <c r="H580" s="95" t="s">
        <v>167</v>
      </c>
    </row>
    <row r="581" ht="14.25" hidden="1" customHeight="1">
      <c r="B581" s="95">
        <v>44775.0</v>
      </c>
      <c r="C581" s="95">
        <v>2167.0</v>
      </c>
      <c r="D581" s="95" t="s">
        <v>44</v>
      </c>
      <c r="E581" s="95" t="s">
        <v>1725</v>
      </c>
      <c r="F581" s="95">
        <v>8.0</v>
      </c>
      <c r="G581" s="95">
        <v>58875.05</v>
      </c>
      <c r="H581" s="95" t="s">
        <v>167</v>
      </c>
      <c r="I581" s="95" t="s">
        <v>1726</v>
      </c>
    </row>
    <row r="582" ht="14.25" hidden="1" customHeight="1">
      <c r="B582" s="95">
        <v>44776.0</v>
      </c>
      <c r="C582" s="95">
        <v>2172.0</v>
      </c>
      <c r="D582" s="95" t="s">
        <v>1727</v>
      </c>
      <c r="E582" s="95" t="s">
        <v>1728</v>
      </c>
      <c r="F582" s="95">
        <v>1.0</v>
      </c>
      <c r="H582" s="95" t="s">
        <v>167</v>
      </c>
      <c r="I582" s="95" t="s">
        <v>1729</v>
      </c>
    </row>
    <row r="583" ht="14.25" hidden="1" customHeight="1">
      <c r="B583" s="95">
        <v>44777.0</v>
      </c>
      <c r="C583" s="95">
        <v>2171.0</v>
      </c>
      <c r="D583" s="95" t="s">
        <v>1730</v>
      </c>
      <c r="E583" s="95" t="s">
        <v>1731</v>
      </c>
      <c r="F583" s="95">
        <v>1.0</v>
      </c>
      <c r="G583" s="95">
        <v>494.83</v>
      </c>
      <c r="H583" s="95" t="s">
        <v>180</v>
      </c>
      <c r="J583" s="95">
        <v>494.83</v>
      </c>
      <c r="K583" s="95">
        <v>44781.0</v>
      </c>
      <c r="L583" s="95">
        <v>1896.0</v>
      </c>
      <c r="M583" s="95">
        <v>2171.0</v>
      </c>
      <c r="O583" s="95">
        <v>44812.0</v>
      </c>
    </row>
    <row r="584" ht="14.25" hidden="1" customHeight="1">
      <c r="B584" s="95">
        <v>44777.0</v>
      </c>
      <c r="C584" s="95">
        <v>2173.0</v>
      </c>
      <c r="D584" s="95" t="s">
        <v>188</v>
      </c>
      <c r="E584" s="95" t="s">
        <v>1732</v>
      </c>
      <c r="F584" s="95">
        <v>20.0</v>
      </c>
      <c r="G584" s="95">
        <v>390.0</v>
      </c>
      <c r="H584" s="95" t="s">
        <v>180</v>
      </c>
      <c r="J584" s="95">
        <v>390.0</v>
      </c>
      <c r="K584" s="95">
        <v>44827.0</v>
      </c>
      <c r="L584" s="95">
        <v>1936.0</v>
      </c>
      <c r="M584" s="95">
        <v>4.400556116E9</v>
      </c>
      <c r="O584" s="95">
        <v>44857.0</v>
      </c>
    </row>
    <row r="585" ht="14.25" hidden="1" customHeight="1">
      <c r="B585" s="95">
        <v>44777.0</v>
      </c>
      <c r="C585" s="95">
        <v>2173.0</v>
      </c>
      <c r="D585" s="95" t="s">
        <v>188</v>
      </c>
      <c r="E585" s="95" t="s">
        <v>1732</v>
      </c>
      <c r="F585" s="95">
        <v>40.0</v>
      </c>
      <c r="G585" s="95">
        <v>780.0</v>
      </c>
      <c r="H585" s="95" t="s">
        <v>180</v>
      </c>
      <c r="J585" s="95">
        <v>780.0</v>
      </c>
      <c r="K585" s="95">
        <v>44827.0</v>
      </c>
      <c r="L585" s="95">
        <v>1936.0</v>
      </c>
      <c r="M585" s="95">
        <v>4.400556116E9</v>
      </c>
      <c r="O585" s="95">
        <v>44857.0</v>
      </c>
    </row>
    <row r="586" ht="14.25" hidden="1" customHeight="1">
      <c r="B586" s="95">
        <v>44777.0</v>
      </c>
      <c r="D586" s="95" t="s">
        <v>1733</v>
      </c>
      <c r="E586" s="95" t="s">
        <v>1734</v>
      </c>
      <c r="F586" s="95">
        <v>1.0</v>
      </c>
      <c r="I586" s="95" t="s">
        <v>1735</v>
      </c>
    </row>
    <row r="587" ht="14.25" hidden="1" customHeight="1">
      <c r="B587" s="95">
        <v>44777.0</v>
      </c>
      <c r="D587" s="95" t="s">
        <v>1733</v>
      </c>
      <c r="E587" s="95" t="s">
        <v>1736</v>
      </c>
      <c r="F587" s="95">
        <v>1.0</v>
      </c>
    </row>
    <row r="588" ht="14.25" hidden="1" customHeight="1">
      <c r="B588" s="95">
        <v>44778.0</v>
      </c>
      <c r="D588" s="95" t="s">
        <v>188</v>
      </c>
      <c r="E588" s="95" t="s">
        <v>1737</v>
      </c>
      <c r="F588" s="95">
        <v>100.0</v>
      </c>
      <c r="I588" s="95" t="s">
        <v>1738</v>
      </c>
    </row>
    <row r="589" ht="14.25" hidden="1" customHeight="1">
      <c r="B589" s="95">
        <v>44781.0</v>
      </c>
      <c r="C589" s="95">
        <v>2182.0</v>
      </c>
      <c r="D589" s="95" t="s">
        <v>77</v>
      </c>
      <c r="E589" s="95" t="s">
        <v>1739</v>
      </c>
      <c r="F589" s="95">
        <v>1.0</v>
      </c>
      <c r="G589" s="95">
        <v>5049.12</v>
      </c>
      <c r="H589" s="95" t="s">
        <v>167</v>
      </c>
      <c r="I589" s="95" t="s">
        <v>1740</v>
      </c>
    </row>
    <row r="590" ht="14.25" hidden="1" customHeight="1">
      <c r="B590" s="95">
        <v>44781.0</v>
      </c>
      <c r="C590" s="95">
        <v>2178.0</v>
      </c>
      <c r="D590" s="95" t="s">
        <v>1741</v>
      </c>
      <c r="E590" s="95" t="s">
        <v>1742</v>
      </c>
      <c r="F590" s="95">
        <v>1.0</v>
      </c>
      <c r="G590" s="95">
        <v>4269.53</v>
      </c>
      <c r="H590" s="95" t="s">
        <v>167</v>
      </c>
      <c r="I590" s="95" t="s">
        <v>1743</v>
      </c>
    </row>
    <row r="591" ht="14.25" hidden="1" customHeight="1">
      <c r="B591" s="95">
        <v>44781.0</v>
      </c>
      <c r="C591" s="95">
        <v>2178.0</v>
      </c>
      <c r="D591" s="95" t="s">
        <v>1741</v>
      </c>
      <c r="E591" s="95" t="s">
        <v>1744</v>
      </c>
      <c r="F591" s="95">
        <v>1.0</v>
      </c>
      <c r="G591" s="95">
        <v>6215.98</v>
      </c>
      <c r="H591" s="95" t="s">
        <v>167</v>
      </c>
    </row>
    <row r="592" ht="14.25" hidden="1" customHeight="1">
      <c r="B592" s="95">
        <v>44781.0</v>
      </c>
      <c r="C592" s="95">
        <v>2175.0</v>
      </c>
      <c r="D592" s="95" t="s">
        <v>44</v>
      </c>
      <c r="E592" s="95" t="s">
        <v>1429</v>
      </c>
      <c r="F592" s="95">
        <v>1.0</v>
      </c>
      <c r="G592" s="95">
        <v>4550.07</v>
      </c>
      <c r="H592" s="95" t="s">
        <v>180</v>
      </c>
      <c r="J592" s="95">
        <v>4550.07</v>
      </c>
      <c r="K592" s="95">
        <v>44823.0</v>
      </c>
      <c r="L592" s="95">
        <v>1933.0</v>
      </c>
      <c r="M592" s="95">
        <v>4.501588114E9</v>
      </c>
      <c r="N592" s="95">
        <v>44843.0</v>
      </c>
      <c r="O592" s="95">
        <v>44854.0</v>
      </c>
    </row>
    <row r="593" ht="14.25" hidden="1" customHeight="1">
      <c r="B593" s="95">
        <v>44781.0</v>
      </c>
      <c r="C593" s="95">
        <v>2176.0</v>
      </c>
      <c r="D593" s="95" t="s">
        <v>77</v>
      </c>
      <c r="E593" s="95" t="s">
        <v>1429</v>
      </c>
      <c r="F593" s="95">
        <v>2.0</v>
      </c>
      <c r="G593" s="95">
        <v>6889.4</v>
      </c>
      <c r="H593" s="95" t="s">
        <v>167</v>
      </c>
    </row>
    <row r="594" ht="14.25" hidden="1" customHeight="1">
      <c r="B594" s="95">
        <v>44782.0</v>
      </c>
      <c r="C594" s="95">
        <v>2186.0</v>
      </c>
      <c r="D594" s="95" t="s">
        <v>188</v>
      </c>
      <c r="E594" s="95" t="s">
        <v>1745</v>
      </c>
      <c r="F594" s="95">
        <v>30.0</v>
      </c>
      <c r="G594" s="95">
        <v>894.0</v>
      </c>
      <c r="H594" s="95" t="s">
        <v>180</v>
      </c>
      <c r="J594" s="95">
        <v>894.0</v>
      </c>
      <c r="K594" s="95">
        <v>44844.0</v>
      </c>
      <c r="L594" s="95">
        <v>1950.0</v>
      </c>
      <c r="M594" s="95">
        <v>4.400557092E9</v>
      </c>
      <c r="N594" s="95">
        <v>44828.0</v>
      </c>
      <c r="O594" s="95">
        <v>44890.0</v>
      </c>
    </row>
    <row r="595" ht="14.25" hidden="1" customHeight="1">
      <c r="B595" s="95">
        <v>44783.0</v>
      </c>
      <c r="C595" s="95">
        <v>2184.0</v>
      </c>
      <c r="D595" s="95" t="s">
        <v>1222</v>
      </c>
      <c r="E595" s="95" t="s">
        <v>1746</v>
      </c>
      <c r="F595" s="95">
        <v>100.0</v>
      </c>
      <c r="G595" s="95">
        <v>1633.99</v>
      </c>
      <c r="H595" s="95" t="s">
        <v>167</v>
      </c>
      <c r="I595" s="95" t="s">
        <v>1747</v>
      </c>
    </row>
    <row r="596" ht="14.25" hidden="1" customHeight="1">
      <c r="B596" s="95">
        <v>44783.0</v>
      </c>
      <c r="C596" s="95">
        <v>2184.0</v>
      </c>
      <c r="D596" s="95" t="s">
        <v>1222</v>
      </c>
      <c r="E596" s="95" t="s">
        <v>1748</v>
      </c>
      <c r="F596" s="95">
        <v>100.0</v>
      </c>
      <c r="G596" s="95">
        <v>2381.62</v>
      </c>
      <c r="H596" s="95" t="s">
        <v>167</v>
      </c>
    </row>
    <row r="597" ht="14.25" hidden="1" customHeight="1">
      <c r="B597" s="95">
        <v>44783.0</v>
      </c>
      <c r="C597" s="95">
        <v>2187.0</v>
      </c>
      <c r="D597" s="95" t="s">
        <v>188</v>
      </c>
      <c r="E597" s="95" t="s">
        <v>1749</v>
      </c>
      <c r="F597" s="95">
        <v>19.0</v>
      </c>
      <c r="G597" s="95">
        <v>13183.74</v>
      </c>
      <c r="H597" s="95" t="s">
        <v>167</v>
      </c>
    </row>
    <row r="598" ht="14.25" hidden="1" customHeight="1">
      <c r="B598" s="95">
        <v>44815.0</v>
      </c>
      <c r="C598" s="95">
        <v>2189.0</v>
      </c>
      <c r="D598" s="95" t="s">
        <v>44</v>
      </c>
      <c r="E598" s="95" t="s">
        <v>1750</v>
      </c>
      <c r="F598" s="95">
        <v>1.0</v>
      </c>
      <c r="G598" s="95">
        <v>6054.64</v>
      </c>
      <c r="H598" s="95" t="s">
        <v>180</v>
      </c>
      <c r="J598" s="95">
        <v>6054.64</v>
      </c>
      <c r="K598" s="95">
        <v>44881.0</v>
      </c>
      <c r="L598" s="95">
        <v>1991.0</v>
      </c>
      <c r="M598" s="95">
        <v>4.501598129E9</v>
      </c>
      <c r="N598" s="95">
        <v>44957.0</v>
      </c>
      <c r="O598" s="95">
        <v>44915.0</v>
      </c>
    </row>
    <row r="599" ht="14.25" customHeight="1">
      <c r="B599" s="95">
        <v>44784.0</v>
      </c>
      <c r="C599" s="95">
        <v>2096.0</v>
      </c>
      <c r="D599" s="95" t="s">
        <v>188</v>
      </c>
      <c r="E599" s="95" t="s">
        <v>1751</v>
      </c>
      <c r="F599" s="95">
        <v>1.0</v>
      </c>
      <c r="G599" s="94">
        <v>91558.88</v>
      </c>
      <c r="H599" s="95" t="s">
        <v>1560</v>
      </c>
    </row>
    <row r="600" ht="14.25" hidden="1" customHeight="1">
      <c r="B600" s="95">
        <v>44785.0</v>
      </c>
      <c r="C600" s="95">
        <v>2188.0</v>
      </c>
      <c r="D600" s="95" t="s">
        <v>1752</v>
      </c>
      <c r="E600" s="95" t="s">
        <v>1751</v>
      </c>
      <c r="F600" s="95">
        <v>1.0</v>
      </c>
      <c r="G600" s="95">
        <v>99920.42</v>
      </c>
      <c r="H600" s="95" t="s">
        <v>167</v>
      </c>
    </row>
    <row r="601" ht="14.25" hidden="1" customHeight="1">
      <c r="B601" s="95">
        <v>44785.0</v>
      </c>
      <c r="C601" s="95">
        <v>2194.0</v>
      </c>
      <c r="D601" s="95" t="s">
        <v>1471</v>
      </c>
      <c r="E601" s="95" t="s">
        <v>1753</v>
      </c>
      <c r="F601" s="95">
        <v>2.0</v>
      </c>
      <c r="G601" s="95">
        <v>1600.0</v>
      </c>
      <c r="H601" s="95" t="s">
        <v>180</v>
      </c>
      <c r="I601" s="95" t="s">
        <v>1754</v>
      </c>
      <c r="J601" s="95">
        <v>1600.0</v>
      </c>
      <c r="K601" s="95">
        <v>44930.0</v>
      </c>
      <c r="L601" s="95">
        <v>2027.0</v>
      </c>
      <c r="M601" s="95">
        <v>2194.0</v>
      </c>
      <c r="N601" s="95">
        <v>44928.0</v>
      </c>
      <c r="O601" s="95">
        <v>44961.0</v>
      </c>
    </row>
    <row r="602" ht="14.25" hidden="1" customHeight="1">
      <c r="B602" s="95">
        <v>44785.0</v>
      </c>
      <c r="C602" s="95">
        <v>2194.0</v>
      </c>
      <c r="D602" s="95" t="s">
        <v>1471</v>
      </c>
      <c r="E602" s="95" t="s">
        <v>1755</v>
      </c>
      <c r="F602" s="95">
        <v>4.0</v>
      </c>
      <c r="G602" s="95">
        <v>1542.23</v>
      </c>
      <c r="H602" s="95" t="s">
        <v>180</v>
      </c>
      <c r="J602" s="95">
        <v>1542.23</v>
      </c>
      <c r="K602" s="95">
        <v>44930.0</v>
      </c>
      <c r="L602" s="95">
        <v>2027.0</v>
      </c>
      <c r="M602" s="95">
        <v>2194.0</v>
      </c>
      <c r="N602" s="95">
        <v>44902.0</v>
      </c>
      <c r="O602" s="95">
        <v>44961.0</v>
      </c>
    </row>
    <row r="603" ht="14.25" hidden="1" customHeight="1">
      <c r="B603" s="95">
        <v>44788.0</v>
      </c>
      <c r="C603" s="95">
        <v>2191.0</v>
      </c>
      <c r="D603" s="95" t="s">
        <v>170</v>
      </c>
      <c r="E603" s="95" t="s">
        <v>617</v>
      </c>
      <c r="F603" s="95">
        <v>1.0</v>
      </c>
      <c r="G603" s="95">
        <v>607.18</v>
      </c>
      <c r="H603" s="95" t="s">
        <v>167</v>
      </c>
    </row>
    <row r="604" ht="14.25" hidden="1" customHeight="1">
      <c r="B604" s="95">
        <v>44788.0</v>
      </c>
      <c r="C604" s="95">
        <v>2195.0</v>
      </c>
      <c r="D604" s="95" t="s">
        <v>44</v>
      </c>
      <c r="E604" s="95" t="s">
        <v>1111</v>
      </c>
      <c r="F604" s="95">
        <v>3.0</v>
      </c>
      <c r="G604" s="95">
        <v>4291.51</v>
      </c>
      <c r="H604" s="95" t="s">
        <v>167</v>
      </c>
    </row>
    <row r="605" ht="14.25" hidden="1" customHeight="1">
      <c r="B605" s="95">
        <v>44788.0</v>
      </c>
      <c r="C605" s="95">
        <v>2203.0</v>
      </c>
      <c r="D605" s="95" t="s">
        <v>1756</v>
      </c>
      <c r="E605" s="95" t="s">
        <v>1757</v>
      </c>
      <c r="F605" s="95">
        <v>5.0</v>
      </c>
      <c r="G605" s="95">
        <v>1195.57</v>
      </c>
      <c r="H605" s="95" t="s">
        <v>167</v>
      </c>
      <c r="I605" s="95" t="s">
        <v>1758</v>
      </c>
    </row>
    <row r="606" ht="14.25" hidden="1" customHeight="1">
      <c r="B606" s="95">
        <v>44788.0</v>
      </c>
      <c r="C606" s="95">
        <v>2203.0</v>
      </c>
      <c r="D606" s="95" t="s">
        <v>1756</v>
      </c>
      <c r="E606" s="95" t="s">
        <v>1759</v>
      </c>
      <c r="F606" s="95">
        <v>5.0</v>
      </c>
      <c r="G606" s="95">
        <v>1725.14</v>
      </c>
      <c r="H606" s="95" t="s">
        <v>167</v>
      </c>
    </row>
    <row r="607" ht="14.25" hidden="1" customHeight="1">
      <c r="B607" s="95">
        <v>44789.0</v>
      </c>
      <c r="C607" s="95">
        <v>2196.0</v>
      </c>
      <c r="D607" s="95" t="s">
        <v>188</v>
      </c>
      <c r="E607" s="95" t="s">
        <v>1760</v>
      </c>
      <c r="F607" s="95">
        <v>24.0</v>
      </c>
      <c r="G607" s="95">
        <v>468.0</v>
      </c>
      <c r="H607" s="95" t="s">
        <v>167</v>
      </c>
    </row>
    <row r="608" ht="14.25" hidden="1" customHeight="1">
      <c r="B608" s="95">
        <v>44789.0</v>
      </c>
      <c r="C608" s="95">
        <v>2196.0</v>
      </c>
      <c r="D608" s="95" t="s">
        <v>188</v>
      </c>
      <c r="E608" s="95" t="s">
        <v>1760</v>
      </c>
      <c r="F608" s="95">
        <v>24.0</v>
      </c>
      <c r="G608" s="95">
        <v>468.0</v>
      </c>
      <c r="H608" s="95" t="s">
        <v>167</v>
      </c>
    </row>
    <row r="609" ht="14.25" hidden="1" customHeight="1">
      <c r="B609" s="95">
        <v>44789.0</v>
      </c>
      <c r="C609" s="95">
        <v>2196.0</v>
      </c>
      <c r="D609" s="95" t="s">
        <v>188</v>
      </c>
      <c r="E609" s="95" t="s">
        <v>1760</v>
      </c>
      <c r="F609" s="95">
        <v>24.0</v>
      </c>
      <c r="G609" s="95">
        <v>468.0</v>
      </c>
      <c r="H609" s="95" t="s">
        <v>167</v>
      </c>
      <c r="I609" s="95" t="s">
        <v>1262</v>
      </c>
    </row>
    <row r="610" ht="14.25" hidden="1" customHeight="1">
      <c r="B610" s="95">
        <v>44789.0</v>
      </c>
      <c r="C610" s="95">
        <v>2200.0</v>
      </c>
      <c r="D610" s="95" t="s">
        <v>44</v>
      </c>
      <c r="E610" s="95" t="s">
        <v>1761</v>
      </c>
      <c r="F610" s="95">
        <v>4.0</v>
      </c>
      <c r="G610" s="95">
        <v>202616.29</v>
      </c>
      <c r="H610" s="95" t="s">
        <v>167</v>
      </c>
      <c r="I610" s="95" t="s">
        <v>1762</v>
      </c>
    </row>
    <row r="611" ht="14.25" hidden="1" customHeight="1">
      <c r="B611" s="95">
        <v>44790.0</v>
      </c>
      <c r="C611" s="95">
        <v>2202.0</v>
      </c>
      <c r="D611" s="95" t="s">
        <v>1763</v>
      </c>
      <c r="E611" s="95" t="s">
        <v>1764</v>
      </c>
      <c r="F611" s="95">
        <v>4.0</v>
      </c>
      <c r="G611" s="95">
        <v>149661.09</v>
      </c>
      <c r="H611" s="95" t="s">
        <v>167</v>
      </c>
    </row>
    <row r="612" ht="14.25" hidden="1" customHeight="1">
      <c r="B612" s="95">
        <v>44790.0</v>
      </c>
      <c r="C612" s="95">
        <v>2204.0</v>
      </c>
      <c r="D612" s="95" t="s">
        <v>790</v>
      </c>
      <c r="E612" s="95" t="s">
        <v>1765</v>
      </c>
      <c r="F612" s="95">
        <v>1.0</v>
      </c>
      <c r="H612" s="95" t="s">
        <v>167</v>
      </c>
    </row>
    <row r="613" ht="14.25" hidden="1" customHeight="1">
      <c r="B613" s="95">
        <v>44791.0</v>
      </c>
      <c r="C613" s="95">
        <v>2214.0</v>
      </c>
      <c r="D613" s="95" t="s">
        <v>77</v>
      </c>
      <c r="E613" s="95" t="s">
        <v>2024</v>
      </c>
      <c r="F613" s="95">
        <v>4.0</v>
      </c>
      <c r="G613" s="95">
        <v>202616.29</v>
      </c>
      <c r="H613" s="95" t="s">
        <v>167</v>
      </c>
    </row>
    <row r="614" ht="14.25" hidden="1" customHeight="1">
      <c r="B614" s="95">
        <v>44791.0</v>
      </c>
      <c r="C614" s="95">
        <v>2213.0</v>
      </c>
      <c r="D614" s="95" t="s">
        <v>75</v>
      </c>
      <c r="E614" s="95" t="s">
        <v>1767</v>
      </c>
      <c r="F614" s="95">
        <v>9.0</v>
      </c>
      <c r="G614" s="95">
        <v>13641.12</v>
      </c>
      <c r="H614" s="95" t="s">
        <v>167</v>
      </c>
    </row>
    <row r="615" ht="14.25" hidden="1" customHeight="1">
      <c r="B615" s="95">
        <v>44791.0</v>
      </c>
      <c r="C615" s="95">
        <v>2213.0</v>
      </c>
      <c r="D615" s="95" t="s">
        <v>75</v>
      </c>
      <c r="E615" s="95" t="s">
        <v>1768</v>
      </c>
      <c r="F615" s="95">
        <v>9.0</v>
      </c>
      <c r="G615" s="95">
        <v>13659.57</v>
      </c>
      <c r="H615" s="95" t="s">
        <v>167</v>
      </c>
    </row>
    <row r="616" ht="14.25" hidden="1" customHeight="1">
      <c r="B616" s="95">
        <v>44791.0</v>
      </c>
      <c r="C616" s="95">
        <v>2213.0</v>
      </c>
      <c r="D616" s="95" t="s">
        <v>75</v>
      </c>
      <c r="E616" s="95" t="s">
        <v>1769</v>
      </c>
      <c r="F616" s="95">
        <v>19.0</v>
      </c>
      <c r="G616" s="95">
        <v>36921.69</v>
      </c>
      <c r="H616" s="95" t="s">
        <v>167</v>
      </c>
    </row>
    <row r="617" ht="14.25" hidden="1" customHeight="1">
      <c r="B617" s="95">
        <v>44792.0</v>
      </c>
      <c r="C617" s="95" t="s">
        <v>1770</v>
      </c>
      <c r="D617" s="95" t="s">
        <v>188</v>
      </c>
      <c r="E617" s="95" t="s">
        <v>1771</v>
      </c>
      <c r="F617" s="95">
        <v>10.0</v>
      </c>
      <c r="G617" s="95">
        <v>39045.27</v>
      </c>
      <c r="H617" s="95" t="s">
        <v>180</v>
      </c>
      <c r="J617" s="95">
        <v>39045.3</v>
      </c>
      <c r="K617" s="95">
        <v>44963.0</v>
      </c>
      <c r="L617" s="95">
        <v>2053.0</v>
      </c>
      <c r="M617" s="95">
        <v>4.400559131E9</v>
      </c>
      <c r="N617" s="95">
        <v>44919.0</v>
      </c>
    </row>
    <row r="618" ht="14.25" hidden="1" customHeight="1">
      <c r="B618" s="95">
        <v>44795.0</v>
      </c>
      <c r="C618" s="95">
        <v>2220.0</v>
      </c>
      <c r="D618" s="95" t="s">
        <v>164</v>
      </c>
      <c r="E618" s="95" t="s">
        <v>1772</v>
      </c>
      <c r="F618" s="95">
        <v>43.0</v>
      </c>
      <c r="G618" s="95">
        <v>838.5</v>
      </c>
      <c r="H618" s="95" t="s">
        <v>180</v>
      </c>
      <c r="J618" s="95">
        <v>838.5</v>
      </c>
      <c r="K618" s="95">
        <v>44804.0</v>
      </c>
      <c r="L618" s="95">
        <v>1921.0</v>
      </c>
      <c r="M618" s="95">
        <v>4.50040655E9</v>
      </c>
      <c r="O618" s="95">
        <v>44835.0</v>
      </c>
    </row>
    <row r="619" ht="14.25" hidden="1" customHeight="1">
      <c r="B619" s="95">
        <v>44795.0</v>
      </c>
      <c r="C619" s="95">
        <v>2220.0</v>
      </c>
      <c r="D619" s="95" t="s">
        <v>164</v>
      </c>
      <c r="E619" s="95" t="s">
        <v>1772</v>
      </c>
      <c r="F619" s="95">
        <v>2.0</v>
      </c>
      <c r="G619" s="95">
        <v>39.0</v>
      </c>
      <c r="H619" s="95" t="s">
        <v>180</v>
      </c>
      <c r="J619" s="95">
        <v>39.0</v>
      </c>
      <c r="K619" s="95">
        <v>44823.0</v>
      </c>
      <c r="L619" s="95">
        <v>1931.0</v>
      </c>
      <c r="M619" s="95">
        <v>4.50040655E9</v>
      </c>
      <c r="O619" s="95">
        <v>44853.0</v>
      </c>
    </row>
    <row r="620" ht="14.25" hidden="1" customHeight="1">
      <c r="B620" s="95">
        <v>44795.0</v>
      </c>
      <c r="C620" s="95">
        <v>2220.0</v>
      </c>
      <c r="D620" s="95" t="s">
        <v>164</v>
      </c>
      <c r="E620" s="95" t="s">
        <v>1773</v>
      </c>
      <c r="F620" s="95">
        <v>160.0</v>
      </c>
      <c r="G620" s="95">
        <v>1113.6</v>
      </c>
      <c r="H620" s="95" t="s">
        <v>180</v>
      </c>
      <c r="J620" s="95">
        <v>1113.6</v>
      </c>
      <c r="K620" s="95">
        <v>44804.0</v>
      </c>
      <c r="L620" s="95">
        <v>1921.0</v>
      </c>
      <c r="M620" s="95">
        <v>4.50040655E9</v>
      </c>
      <c r="O620" s="95">
        <v>44835.0</v>
      </c>
    </row>
    <row r="621" ht="14.25" hidden="1" customHeight="1">
      <c r="B621" s="95">
        <v>44795.0</v>
      </c>
      <c r="C621" s="95">
        <v>2218.0</v>
      </c>
      <c r="D621" s="95" t="s">
        <v>77</v>
      </c>
      <c r="E621" s="95" t="s">
        <v>1774</v>
      </c>
      <c r="F621" s="95">
        <v>114.0</v>
      </c>
      <c r="G621" s="95">
        <v>4630.68</v>
      </c>
      <c r="H621" s="95" t="s">
        <v>167</v>
      </c>
    </row>
    <row r="622" ht="14.25" hidden="1" customHeight="1">
      <c r="B622" s="95">
        <v>44795.0</v>
      </c>
      <c r="E622" s="95" t="s">
        <v>1775</v>
      </c>
      <c r="F622" s="95">
        <v>22.0</v>
      </c>
      <c r="I622" s="95" t="s">
        <v>1776</v>
      </c>
    </row>
    <row r="623" ht="14.25" hidden="1" customHeight="1">
      <c r="B623" s="95">
        <v>44795.0</v>
      </c>
      <c r="C623" s="95">
        <v>2224.0</v>
      </c>
      <c r="D623" s="95" t="s">
        <v>1777</v>
      </c>
      <c r="E623" s="95" t="s">
        <v>1778</v>
      </c>
      <c r="F623" s="95">
        <v>2.0</v>
      </c>
      <c r="G623" s="95">
        <v>26196.79</v>
      </c>
      <c r="H623" s="95" t="s">
        <v>167</v>
      </c>
      <c r="I623" s="95" t="s">
        <v>1779</v>
      </c>
    </row>
    <row r="624" ht="14.25" hidden="1" customHeight="1">
      <c r="B624" s="95">
        <v>44795.0</v>
      </c>
      <c r="C624" s="95">
        <v>2224.0</v>
      </c>
      <c r="D624" s="95" t="s">
        <v>1777</v>
      </c>
      <c r="E624" s="95" t="s">
        <v>1780</v>
      </c>
      <c r="F624" s="95">
        <v>2.0</v>
      </c>
      <c r="G624" s="95">
        <v>16934.03</v>
      </c>
      <c r="H624" s="95" t="s">
        <v>167</v>
      </c>
    </row>
    <row r="625" ht="14.25" hidden="1" customHeight="1">
      <c r="B625" s="95">
        <v>44795.0</v>
      </c>
      <c r="C625" s="95">
        <v>2224.0</v>
      </c>
      <c r="D625" s="95" t="s">
        <v>1777</v>
      </c>
      <c r="E625" s="95" t="s">
        <v>1781</v>
      </c>
      <c r="F625" s="95">
        <v>1.0</v>
      </c>
      <c r="G625" s="95">
        <v>3383.74</v>
      </c>
      <c r="H625" s="95" t="s">
        <v>167</v>
      </c>
    </row>
    <row r="626" ht="14.25" hidden="1" customHeight="1">
      <c r="B626" s="95">
        <v>44795.0</v>
      </c>
      <c r="C626" s="95">
        <v>2224.0</v>
      </c>
      <c r="D626" s="95" t="s">
        <v>1777</v>
      </c>
      <c r="E626" s="95" t="s">
        <v>1782</v>
      </c>
      <c r="F626" s="95">
        <v>1.0</v>
      </c>
      <c r="G626" s="95">
        <v>9381.24</v>
      </c>
      <c r="H626" s="95" t="s">
        <v>167</v>
      </c>
    </row>
    <row r="627" ht="14.25" hidden="1" customHeight="1">
      <c r="B627" s="95">
        <v>44795.0</v>
      </c>
      <c r="C627" s="95">
        <v>2224.0</v>
      </c>
      <c r="D627" s="95" t="s">
        <v>1777</v>
      </c>
      <c r="E627" s="95" t="s">
        <v>1783</v>
      </c>
      <c r="F627" s="95">
        <v>1.0</v>
      </c>
      <c r="G627" s="95">
        <v>5412.98</v>
      </c>
      <c r="H627" s="95" t="s">
        <v>167</v>
      </c>
    </row>
    <row r="628" ht="14.25" hidden="1" customHeight="1">
      <c r="B628" s="95">
        <v>44796.0</v>
      </c>
      <c r="C628" s="95">
        <v>2225.0</v>
      </c>
      <c r="D628" s="95" t="s">
        <v>44</v>
      </c>
      <c r="E628" s="95" t="s">
        <v>1774</v>
      </c>
      <c r="F628" s="95">
        <v>114.0</v>
      </c>
      <c r="G628" s="95">
        <v>4646.69</v>
      </c>
      <c r="H628" s="95" t="s">
        <v>180</v>
      </c>
      <c r="J628" s="95">
        <v>4646.69</v>
      </c>
      <c r="K628" s="95">
        <v>44907.0</v>
      </c>
      <c r="L628" s="95">
        <v>2011.0</v>
      </c>
      <c r="M628" s="95">
        <v>4.501596209E9</v>
      </c>
      <c r="N628" s="95">
        <v>44813.0</v>
      </c>
      <c r="O628" s="95">
        <v>44946.0</v>
      </c>
    </row>
    <row r="629" ht="14.25" hidden="1" customHeight="1">
      <c r="B629" s="95">
        <v>44796.0</v>
      </c>
      <c r="C629" s="95">
        <v>2226.0</v>
      </c>
      <c r="D629" s="95" t="s">
        <v>44</v>
      </c>
      <c r="E629" s="95" t="s">
        <v>1784</v>
      </c>
      <c r="F629" s="95">
        <v>1.0</v>
      </c>
      <c r="G629" s="95">
        <v>5121.98</v>
      </c>
      <c r="H629" s="95" t="s">
        <v>167</v>
      </c>
    </row>
    <row r="630" ht="14.25" hidden="1" customHeight="1">
      <c r="B630" s="95">
        <v>44796.0</v>
      </c>
      <c r="C630" s="95">
        <v>2226.0</v>
      </c>
      <c r="D630" s="95" t="s">
        <v>44</v>
      </c>
      <c r="E630" s="95" t="s">
        <v>1785</v>
      </c>
      <c r="F630" s="95">
        <v>1.0</v>
      </c>
      <c r="G630" s="95">
        <v>1130.65</v>
      </c>
      <c r="H630" s="95" t="s">
        <v>167</v>
      </c>
    </row>
    <row r="631" ht="14.25" hidden="1" customHeight="1">
      <c r="B631" s="95">
        <v>44797.0</v>
      </c>
      <c r="C631" s="95">
        <v>2231.0</v>
      </c>
      <c r="D631" s="95" t="s">
        <v>1409</v>
      </c>
      <c r="E631" s="95" t="s">
        <v>1786</v>
      </c>
      <c r="F631" s="95">
        <v>2.0</v>
      </c>
      <c r="G631" s="94">
        <v>1376.42</v>
      </c>
      <c r="M631" s="95">
        <v>4.50325818E9</v>
      </c>
      <c r="N631" s="95">
        <v>44885.0</v>
      </c>
    </row>
    <row r="632" ht="14.25" hidden="1" customHeight="1">
      <c r="B632" s="95">
        <v>44798.0</v>
      </c>
      <c r="C632" s="95">
        <v>2233.0</v>
      </c>
      <c r="D632" s="95" t="s">
        <v>77</v>
      </c>
      <c r="E632" s="95" t="s">
        <v>1785</v>
      </c>
      <c r="F632" s="95">
        <v>1.0</v>
      </c>
      <c r="G632" s="95">
        <v>1130.65</v>
      </c>
      <c r="H632" s="95" t="s">
        <v>167</v>
      </c>
    </row>
    <row r="633" ht="14.25" hidden="1" customHeight="1">
      <c r="B633" s="95">
        <v>44798.0</v>
      </c>
      <c r="C633" s="95">
        <v>2236.0</v>
      </c>
      <c r="D633" s="95" t="s">
        <v>1787</v>
      </c>
      <c r="E633" s="95" t="s">
        <v>1788</v>
      </c>
      <c r="F633" s="95">
        <v>1.0</v>
      </c>
      <c r="G633" s="95">
        <v>5868.59</v>
      </c>
      <c r="H633" s="95" t="s">
        <v>167</v>
      </c>
      <c r="I633" s="95" t="s">
        <v>1789</v>
      </c>
    </row>
    <row r="634" ht="14.25" hidden="1" customHeight="1">
      <c r="B634" s="95">
        <v>44799.0</v>
      </c>
      <c r="C634" s="95">
        <v>2240.0</v>
      </c>
      <c r="D634" s="95" t="s">
        <v>1790</v>
      </c>
      <c r="E634" s="95" t="s">
        <v>1791</v>
      </c>
      <c r="F634" s="95">
        <v>1.0</v>
      </c>
      <c r="G634" s="95">
        <v>5771.01</v>
      </c>
      <c r="H634" s="95" t="s">
        <v>167</v>
      </c>
      <c r="I634" s="95" t="s">
        <v>1792</v>
      </c>
    </row>
    <row r="635" ht="14.25" hidden="1" customHeight="1">
      <c r="B635" s="95">
        <v>44799.0</v>
      </c>
      <c r="C635" s="95">
        <v>2235.0</v>
      </c>
      <c r="D635" s="95" t="s">
        <v>44</v>
      </c>
      <c r="E635" s="95" t="s">
        <v>1793</v>
      </c>
      <c r="F635" s="95">
        <v>2.0</v>
      </c>
      <c r="G635" s="95">
        <v>2918.58</v>
      </c>
      <c r="H635" s="95" t="s">
        <v>180</v>
      </c>
      <c r="J635" s="95">
        <v>2918.58</v>
      </c>
      <c r="K635" s="95">
        <v>44799.0</v>
      </c>
      <c r="L635" s="95">
        <v>1918.0</v>
      </c>
      <c r="M635" s="95">
        <v>4.501596514E9</v>
      </c>
      <c r="O635" s="95">
        <v>44834.0</v>
      </c>
    </row>
    <row r="636" ht="14.25" hidden="1" customHeight="1">
      <c r="B636" s="95">
        <v>44799.0</v>
      </c>
      <c r="C636" s="95">
        <v>2235.0</v>
      </c>
      <c r="D636" s="95" t="s">
        <v>44</v>
      </c>
      <c r="E636" s="95" t="s">
        <v>1793</v>
      </c>
      <c r="F636" s="95">
        <v>2.0</v>
      </c>
      <c r="G636" s="95">
        <v>2918.58</v>
      </c>
      <c r="H636" s="95" t="s">
        <v>180</v>
      </c>
      <c r="J636" s="95">
        <v>2918.58</v>
      </c>
      <c r="K636" s="95">
        <v>44931.0</v>
      </c>
      <c r="L636" s="95">
        <v>2029.0</v>
      </c>
      <c r="M636" s="95">
        <v>4.501596514E9</v>
      </c>
      <c r="N636" s="95">
        <v>44844.0</v>
      </c>
      <c r="O636" s="95">
        <v>44967.0</v>
      </c>
    </row>
    <row r="637" ht="14.25" hidden="1" customHeight="1">
      <c r="B637" s="95">
        <v>44802.0</v>
      </c>
      <c r="C637" s="95">
        <v>2238.0</v>
      </c>
      <c r="D637" s="95" t="s">
        <v>44</v>
      </c>
      <c r="E637" s="95" t="s">
        <v>1794</v>
      </c>
      <c r="F637" s="95">
        <v>10.0</v>
      </c>
      <c r="G637" s="95">
        <v>257.3</v>
      </c>
      <c r="H637" s="95" t="s">
        <v>180</v>
      </c>
      <c r="J637" s="95">
        <v>257.3</v>
      </c>
      <c r="K637" s="95">
        <v>44931.0</v>
      </c>
      <c r="L637" s="95">
        <v>2030.0</v>
      </c>
      <c r="M637" s="95">
        <v>4.501607517E9</v>
      </c>
      <c r="O637" s="95">
        <v>44967.0</v>
      </c>
    </row>
    <row r="638" ht="14.25" hidden="1" customHeight="1">
      <c r="B638" s="95">
        <v>44802.0</v>
      </c>
      <c r="C638" s="95">
        <v>2238.0</v>
      </c>
      <c r="D638" s="95" t="s">
        <v>44</v>
      </c>
      <c r="E638" s="95" t="s">
        <v>1794</v>
      </c>
      <c r="F638" s="95">
        <v>118.0</v>
      </c>
      <c r="G638" s="95">
        <v>3036.14</v>
      </c>
      <c r="H638" s="95" t="s">
        <v>180</v>
      </c>
      <c r="J638" s="95">
        <v>3036.14</v>
      </c>
      <c r="K638" s="95">
        <v>44827.0</v>
      </c>
      <c r="L638" s="95">
        <v>1937.0</v>
      </c>
      <c r="M638" s="95">
        <v>4.501607517E9</v>
      </c>
      <c r="N638" s="95">
        <v>44827.0</v>
      </c>
      <c r="O638" s="95">
        <v>44864.0</v>
      </c>
    </row>
    <row r="639" ht="14.25" hidden="1" customHeight="1">
      <c r="B639" s="95">
        <v>44802.0</v>
      </c>
      <c r="C639" s="95">
        <v>2238.0</v>
      </c>
      <c r="D639" s="95" t="s">
        <v>44</v>
      </c>
      <c r="E639" s="95" t="s">
        <v>1774</v>
      </c>
      <c r="F639" s="95">
        <v>71.0</v>
      </c>
      <c r="G639" s="95">
        <v>2893.99</v>
      </c>
      <c r="H639" s="95" t="s">
        <v>180</v>
      </c>
      <c r="J639" s="95">
        <v>2893.99</v>
      </c>
      <c r="K639" s="95">
        <v>44827.0</v>
      </c>
      <c r="L639" s="95">
        <v>1937.0</v>
      </c>
      <c r="M639" s="95">
        <v>4.501607517E9</v>
      </c>
      <c r="N639" s="95">
        <v>44827.0</v>
      </c>
      <c r="O639" s="95">
        <v>44864.0</v>
      </c>
    </row>
    <row r="640" ht="14.25" hidden="1" customHeight="1">
      <c r="B640" s="95">
        <v>44802.0</v>
      </c>
      <c r="C640" s="95">
        <v>2239.0</v>
      </c>
      <c r="D640" s="95" t="s">
        <v>77</v>
      </c>
      <c r="E640" s="95" t="s">
        <v>1794</v>
      </c>
      <c r="F640" s="95">
        <v>128.0</v>
      </c>
      <c r="G640" s="95">
        <v>3293.36</v>
      </c>
      <c r="H640" s="95" t="s">
        <v>167</v>
      </c>
      <c r="I640" s="95" t="s">
        <v>1795</v>
      </c>
    </row>
    <row r="641" ht="14.25" hidden="1" customHeight="1">
      <c r="B641" s="95">
        <v>44802.0</v>
      </c>
      <c r="C641" s="95">
        <v>2239.0</v>
      </c>
      <c r="D641" s="95" t="s">
        <v>77</v>
      </c>
      <c r="E641" s="95" t="s">
        <v>1774</v>
      </c>
      <c r="F641" s="95">
        <v>71.0</v>
      </c>
      <c r="G641" s="95">
        <v>2893.99</v>
      </c>
      <c r="H641" s="95" t="s">
        <v>167</v>
      </c>
    </row>
    <row r="642" ht="14.25" hidden="1" customHeight="1">
      <c r="B642" s="95">
        <v>44802.0</v>
      </c>
      <c r="C642" s="95" t="s">
        <v>1796</v>
      </c>
      <c r="D642" s="95" t="s">
        <v>77</v>
      </c>
      <c r="E642" s="95" t="s">
        <v>1797</v>
      </c>
      <c r="F642" s="95">
        <v>1.0</v>
      </c>
      <c r="G642" s="95">
        <v>6432.75</v>
      </c>
      <c r="H642" s="95" t="s">
        <v>180</v>
      </c>
      <c r="J642" s="95">
        <v>6432.75</v>
      </c>
      <c r="K642" s="95">
        <v>44882.0</v>
      </c>
      <c r="L642" s="95">
        <v>1993.0</v>
      </c>
      <c r="M642" s="95">
        <v>169002.0</v>
      </c>
      <c r="N642" s="95">
        <v>44946.0</v>
      </c>
      <c r="O642" s="95">
        <v>44910.0</v>
      </c>
    </row>
    <row r="643" ht="14.25" hidden="1" customHeight="1">
      <c r="B643" s="95">
        <v>44802.0</v>
      </c>
      <c r="C643" s="95">
        <v>2239.0</v>
      </c>
      <c r="D643" s="95" t="s">
        <v>77</v>
      </c>
      <c r="E643" s="95" t="s">
        <v>1798</v>
      </c>
      <c r="F643" s="95">
        <v>3.0</v>
      </c>
      <c r="H643" s="95" t="s">
        <v>167</v>
      </c>
    </row>
    <row r="644" ht="14.25" hidden="1" customHeight="1">
      <c r="B644" s="95">
        <v>44803.0</v>
      </c>
      <c r="C644" s="95">
        <v>2246.0</v>
      </c>
      <c r="D644" s="95" t="s">
        <v>1799</v>
      </c>
      <c r="E644" s="95" t="s">
        <v>1731</v>
      </c>
      <c r="F644" s="95">
        <v>4.0</v>
      </c>
      <c r="G644" s="95">
        <v>1914.0</v>
      </c>
      <c r="H644" s="95" t="s">
        <v>167</v>
      </c>
    </row>
    <row r="645" ht="14.25" hidden="1" customHeight="1">
      <c r="B645" s="95">
        <v>44804.0</v>
      </c>
      <c r="C645" s="95">
        <v>2248.0</v>
      </c>
      <c r="D645" s="95" t="s">
        <v>77</v>
      </c>
      <c r="E645" s="95" t="s">
        <v>1800</v>
      </c>
      <c r="F645" s="95">
        <v>1.0</v>
      </c>
      <c r="G645" s="95">
        <v>1156.34</v>
      </c>
      <c r="H645" s="95" t="s">
        <v>167</v>
      </c>
      <c r="I645" s="95" t="s">
        <v>1801</v>
      </c>
    </row>
    <row r="646" ht="14.25" hidden="1" customHeight="1">
      <c r="H646" s="95" t="s">
        <v>1262</v>
      </c>
    </row>
    <row r="647" ht="14.25" hidden="1" customHeight="1">
      <c r="B647" s="95">
        <v>44805.0</v>
      </c>
      <c r="C647" s="95">
        <v>2251.0</v>
      </c>
      <c r="D647" s="95" t="s">
        <v>19</v>
      </c>
      <c r="E647" s="95" t="s">
        <v>1802</v>
      </c>
      <c r="F647" s="95">
        <v>100.0</v>
      </c>
      <c r="G647" s="95">
        <v>581.0</v>
      </c>
      <c r="H647" s="95" t="s">
        <v>180</v>
      </c>
      <c r="J647" s="95">
        <v>581.0</v>
      </c>
      <c r="K647" s="95">
        <v>44936.0</v>
      </c>
      <c r="L647" s="95">
        <v>2031.0</v>
      </c>
      <c r="M647" s="95">
        <v>4.500407654E9</v>
      </c>
      <c r="N647" s="95">
        <v>44902.0</v>
      </c>
      <c r="O647" s="95">
        <v>44967.0</v>
      </c>
    </row>
    <row r="648" ht="14.25" hidden="1" customHeight="1">
      <c r="B648" s="95">
        <v>44805.0</v>
      </c>
      <c r="C648" s="95">
        <v>2251.0</v>
      </c>
      <c r="D648" s="95" t="s">
        <v>19</v>
      </c>
      <c r="E648" s="95" t="s">
        <v>1803</v>
      </c>
      <c r="F648" s="95">
        <v>1.0</v>
      </c>
      <c r="G648" s="95">
        <v>3177.6</v>
      </c>
      <c r="H648" s="95" t="s">
        <v>180</v>
      </c>
      <c r="J648" s="95">
        <v>3177.6</v>
      </c>
      <c r="K648" s="95">
        <v>44823.0</v>
      </c>
      <c r="L648" s="95">
        <v>1930.0</v>
      </c>
      <c r="M648" s="95">
        <v>4.500407654E9</v>
      </c>
      <c r="N648" s="95">
        <v>44818.0</v>
      </c>
      <c r="O648" s="95">
        <v>44853.0</v>
      </c>
    </row>
    <row r="649" ht="14.25" hidden="1" customHeight="1">
      <c r="B649" s="95">
        <v>44806.0</v>
      </c>
      <c r="C649" s="95">
        <v>2252.0</v>
      </c>
      <c r="D649" s="95" t="s">
        <v>77</v>
      </c>
      <c r="E649" s="95" t="s">
        <v>1804</v>
      </c>
      <c r="F649" s="95">
        <v>1.0</v>
      </c>
      <c r="G649" s="95">
        <v>5721.14</v>
      </c>
      <c r="H649" s="95" t="s">
        <v>167</v>
      </c>
    </row>
    <row r="650" ht="14.25" hidden="1" customHeight="1">
      <c r="B650" s="95">
        <v>44806.0</v>
      </c>
      <c r="C650" s="95">
        <v>2254.0</v>
      </c>
      <c r="D650" s="95" t="s">
        <v>75</v>
      </c>
      <c r="E650" s="95" t="s">
        <v>1284</v>
      </c>
      <c r="F650" s="95">
        <v>1.0</v>
      </c>
      <c r="G650" s="95">
        <v>2045.24</v>
      </c>
      <c r="H650" s="95" t="s">
        <v>167</v>
      </c>
    </row>
    <row r="651" ht="14.25" hidden="1" customHeight="1">
      <c r="B651" s="95">
        <v>44806.0</v>
      </c>
      <c r="C651" s="95">
        <v>2254.0</v>
      </c>
      <c r="D651" s="95" t="s">
        <v>75</v>
      </c>
      <c r="E651" s="95" t="s">
        <v>1427</v>
      </c>
      <c r="F651" s="95">
        <v>1.0</v>
      </c>
      <c r="G651" s="95">
        <v>1449.35</v>
      </c>
      <c r="H651" s="95" t="s">
        <v>167</v>
      </c>
    </row>
    <row r="652" ht="14.25" hidden="1" customHeight="1">
      <c r="B652" s="95">
        <v>44806.0</v>
      </c>
      <c r="C652" s="95">
        <v>2254.0</v>
      </c>
      <c r="D652" s="95" t="s">
        <v>75</v>
      </c>
      <c r="E652" s="95" t="s">
        <v>1805</v>
      </c>
      <c r="F652" s="95">
        <v>4.0</v>
      </c>
      <c r="G652" s="95">
        <v>4096.84</v>
      </c>
      <c r="H652" s="95" t="s">
        <v>167</v>
      </c>
    </row>
    <row r="653" ht="14.25" hidden="1" customHeight="1">
      <c r="B653" s="95">
        <v>44809.0</v>
      </c>
      <c r="C653" s="95">
        <v>2255.0</v>
      </c>
      <c r="D653" s="95" t="s">
        <v>1614</v>
      </c>
      <c r="E653" s="95" t="s">
        <v>1806</v>
      </c>
      <c r="F653" s="95">
        <v>1.0</v>
      </c>
      <c r="G653" s="94">
        <v>1055.24</v>
      </c>
      <c r="I653" s="95" t="s">
        <v>1807</v>
      </c>
      <c r="M653" s="95">
        <v>2255.0</v>
      </c>
    </row>
    <row r="654" ht="14.25" hidden="1" customHeight="1">
      <c r="B654" s="95">
        <v>44809.0</v>
      </c>
      <c r="C654" s="95">
        <v>2255.0</v>
      </c>
      <c r="D654" s="95" t="s">
        <v>1614</v>
      </c>
      <c r="E654" s="95" t="s">
        <v>1808</v>
      </c>
      <c r="F654" s="95">
        <v>1.0</v>
      </c>
      <c r="G654" s="94">
        <v>1203.48</v>
      </c>
      <c r="M654" s="95">
        <v>2255.0</v>
      </c>
    </row>
    <row r="655" ht="14.25" hidden="1" customHeight="1">
      <c r="B655" s="95">
        <v>44810.0</v>
      </c>
      <c r="C655" s="95">
        <v>2256.0</v>
      </c>
      <c r="D655" s="95" t="s">
        <v>222</v>
      </c>
      <c r="E655" s="95" t="s">
        <v>1809</v>
      </c>
      <c r="F655" s="95">
        <v>2.0</v>
      </c>
      <c r="G655" s="95">
        <v>570.5</v>
      </c>
      <c r="H655" s="95" t="s">
        <v>180</v>
      </c>
      <c r="J655" s="95">
        <v>570.5</v>
      </c>
      <c r="K655" s="95">
        <v>44823.0</v>
      </c>
      <c r="L655" s="95">
        <v>1928.0</v>
      </c>
      <c r="M655" s="95">
        <v>4.503115069E9</v>
      </c>
      <c r="O655" s="95">
        <v>44853.0</v>
      </c>
    </row>
    <row r="656" ht="14.25" hidden="1" customHeight="1">
      <c r="B656" s="95">
        <v>44812.0</v>
      </c>
      <c r="C656" s="95">
        <v>2258.0</v>
      </c>
      <c r="D656" s="95" t="s">
        <v>77</v>
      </c>
      <c r="E656" s="95" t="s">
        <v>1810</v>
      </c>
      <c r="F656" s="95">
        <v>6.0</v>
      </c>
      <c r="G656" s="95">
        <v>972.72</v>
      </c>
      <c r="H656" s="95" t="s">
        <v>180</v>
      </c>
      <c r="J656" s="95">
        <v>972.72</v>
      </c>
      <c r="K656" s="95">
        <v>44853.0</v>
      </c>
      <c r="L656" s="95">
        <v>1963.0</v>
      </c>
      <c r="M656" s="95">
        <v>169288.0</v>
      </c>
      <c r="O656" s="95">
        <v>44884.0</v>
      </c>
    </row>
    <row r="657" ht="14.25" hidden="1" customHeight="1">
      <c r="B657" s="95">
        <v>44813.0</v>
      </c>
      <c r="C657" s="95">
        <v>2261.0</v>
      </c>
      <c r="D657" s="95" t="s">
        <v>44</v>
      </c>
      <c r="E657" s="95" t="s">
        <v>615</v>
      </c>
      <c r="F657" s="95">
        <v>1.0</v>
      </c>
      <c r="G657" s="95">
        <v>1620.67</v>
      </c>
      <c r="H657" s="95" t="s">
        <v>167</v>
      </c>
    </row>
    <row r="658" ht="14.25" hidden="1" customHeight="1">
      <c r="B658" s="95">
        <v>44813.0</v>
      </c>
      <c r="C658" s="95">
        <v>2265.0</v>
      </c>
      <c r="D658" s="95" t="s">
        <v>1811</v>
      </c>
      <c r="E658" s="95" t="s">
        <v>1812</v>
      </c>
      <c r="F658" s="95">
        <v>2.0</v>
      </c>
      <c r="G658" s="95">
        <v>12158.1</v>
      </c>
      <c r="H658" s="95" t="s">
        <v>167</v>
      </c>
      <c r="I658" s="95" t="s">
        <v>1813</v>
      </c>
    </row>
    <row r="659" ht="14.25" hidden="1" customHeight="1">
      <c r="B659" s="95">
        <v>44816.0</v>
      </c>
      <c r="C659" s="95">
        <v>2264.0</v>
      </c>
      <c r="D659" s="95" t="s">
        <v>19</v>
      </c>
      <c r="E659" s="95" t="s">
        <v>1565</v>
      </c>
      <c r="F659" s="95">
        <v>48.0</v>
      </c>
      <c r="G659" s="95">
        <v>936.0</v>
      </c>
      <c r="H659" s="95" t="s">
        <v>180</v>
      </c>
      <c r="J659" s="95">
        <v>936.0</v>
      </c>
      <c r="K659" s="95">
        <v>44823.0</v>
      </c>
      <c r="L659" s="95">
        <v>1932.0</v>
      </c>
      <c r="M659" s="95">
        <v>4.500407977E9</v>
      </c>
      <c r="O659" s="95">
        <v>44853.0</v>
      </c>
    </row>
    <row r="660" ht="14.25" hidden="1" customHeight="1">
      <c r="B660" s="95">
        <v>44816.0</v>
      </c>
      <c r="C660" s="95">
        <v>2264.0</v>
      </c>
      <c r="D660" s="95" t="s">
        <v>19</v>
      </c>
      <c r="E660" s="95" t="s">
        <v>1565</v>
      </c>
      <c r="F660" s="95">
        <v>22.0</v>
      </c>
      <c r="G660" s="95">
        <v>429.0</v>
      </c>
      <c r="H660" s="95" t="s">
        <v>180</v>
      </c>
      <c r="J660" s="95">
        <v>429.0</v>
      </c>
      <c r="K660" s="95">
        <v>44844.0</v>
      </c>
      <c r="L660" s="95">
        <v>1952.0</v>
      </c>
      <c r="M660" s="95">
        <v>4.500407977E9</v>
      </c>
      <c r="N660" s="95">
        <v>44837.0</v>
      </c>
      <c r="O660" s="95">
        <v>44875.0</v>
      </c>
    </row>
    <row r="661" ht="14.25" hidden="1" customHeight="1">
      <c r="B661" s="95">
        <v>44816.0</v>
      </c>
      <c r="C661" s="95">
        <v>2267.0</v>
      </c>
      <c r="D661" s="95" t="s">
        <v>1814</v>
      </c>
      <c r="E661" s="95" t="s">
        <v>1815</v>
      </c>
      <c r="F661" s="95">
        <v>1.0</v>
      </c>
      <c r="G661" s="95">
        <v>5962.72</v>
      </c>
      <c r="H661" s="95" t="s">
        <v>167</v>
      </c>
    </row>
    <row r="662" ht="14.25" customHeight="1">
      <c r="B662" s="95">
        <v>44816.0</v>
      </c>
      <c r="C662" s="95">
        <v>2268.0</v>
      </c>
      <c r="D662" s="95" t="s">
        <v>44</v>
      </c>
      <c r="E662" s="95" t="s">
        <v>1816</v>
      </c>
      <c r="F662" s="95">
        <v>1.0</v>
      </c>
      <c r="G662" s="94">
        <v>3428.82</v>
      </c>
      <c r="H662" s="95" t="s">
        <v>1560</v>
      </c>
      <c r="M662" s="95">
        <v>4.501623299E9</v>
      </c>
      <c r="N662" s="95">
        <v>44938.0</v>
      </c>
    </row>
    <row r="663" ht="14.25" hidden="1" customHeight="1">
      <c r="B663" s="95">
        <v>44816.0</v>
      </c>
      <c r="C663" s="95">
        <v>2268.0</v>
      </c>
      <c r="D663" s="95" t="s">
        <v>44</v>
      </c>
      <c r="E663" s="95" t="s">
        <v>1817</v>
      </c>
      <c r="F663" s="95">
        <v>1.0</v>
      </c>
      <c r="G663" s="95">
        <v>1499.68</v>
      </c>
      <c r="H663" s="95" t="s">
        <v>180</v>
      </c>
      <c r="J663" s="95">
        <v>1499.68</v>
      </c>
      <c r="K663" s="95">
        <v>44861.0</v>
      </c>
      <c r="L663" s="95">
        <v>1975.0</v>
      </c>
      <c r="M663" s="95">
        <v>4.501623299E9</v>
      </c>
      <c r="N663" s="95">
        <v>44871.0</v>
      </c>
      <c r="O663" s="95">
        <v>44892.0</v>
      </c>
    </row>
    <row r="664" ht="14.25" customHeight="1">
      <c r="B664" s="95">
        <v>44816.0</v>
      </c>
      <c r="C664" s="95">
        <v>2268.0</v>
      </c>
      <c r="D664" s="95" t="s">
        <v>44</v>
      </c>
      <c r="E664" s="95" t="s">
        <v>1818</v>
      </c>
      <c r="F664" s="95">
        <v>1.0</v>
      </c>
      <c r="G664" s="94">
        <v>2457.88</v>
      </c>
      <c r="H664" s="95" t="s">
        <v>1560</v>
      </c>
      <c r="M664" s="95">
        <v>4.501623299E9</v>
      </c>
      <c r="N664" s="95">
        <v>44938.0</v>
      </c>
    </row>
    <row r="665" ht="14.25" hidden="1" customHeight="1">
      <c r="B665" s="95">
        <v>44816.0</v>
      </c>
      <c r="C665" s="95">
        <v>2269.0</v>
      </c>
      <c r="D665" s="95" t="s">
        <v>44</v>
      </c>
      <c r="E665" s="95" t="s">
        <v>759</v>
      </c>
      <c r="F665" s="95">
        <v>1.0</v>
      </c>
      <c r="G665" s="95">
        <v>5855.56</v>
      </c>
      <c r="H665" s="95" t="s">
        <v>180</v>
      </c>
      <c r="J665" s="95">
        <v>5855.56</v>
      </c>
      <c r="K665" s="95">
        <v>44861.0</v>
      </c>
      <c r="L665" s="95">
        <v>1973.0</v>
      </c>
      <c r="M665" s="95">
        <v>4.501623937E9</v>
      </c>
      <c r="N665" s="95">
        <v>44948.0</v>
      </c>
      <c r="O665" s="95">
        <v>44892.0</v>
      </c>
    </row>
    <row r="666" ht="14.25" hidden="1" customHeight="1">
      <c r="B666" s="95">
        <v>44816.0</v>
      </c>
      <c r="C666" s="95">
        <v>2270.0</v>
      </c>
      <c r="D666" s="95" t="s">
        <v>44</v>
      </c>
      <c r="E666" s="95" t="s">
        <v>1819</v>
      </c>
      <c r="F666" s="95">
        <v>2.0</v>
      </c>
      <c r="G666" s="95">
        <v>3594.83</v>
      </c>
      <c r="H666" s="95" t="s">
        <v>180</v>
      </c>
      <c r="J666" s="95">
        <v>3594.83</v>
      </c>
      <c r="K666" s="95">
        <v>44866.0</v>
      </c>
      <c r="L666" s="95">
        <v>1980.0</v>
      </c>
      <c r="M666" s="95">
        <v>4.50161407E9</v>
      </c>
      <c r="N666" s="95">
        <v>44998.0</v>
      </c>
      <c r="O666" s="95">
        <v>44896.0</v>
      </c>
    </row>
    <row r="667" ht="14.25" hidden="1" customHeight="1">
      <c r="B667" s="95">
        <v>44818.0</v>
      </c>
      <c r="D667" s="95" t="s">
        <v>1820</v>
      </c>
      <c r="E667" s="95" t="s">
        <v>1821</v>
      </c>
      <c r="F667" s="95">
        <v>1.0</v>
      </c>
      <c r="H667" s="95" t="s">
        <v>241</v>
      </c>
      <c r="I667" s="95" t="s">
        <v>1822</v>
      </c>
    </row>
    <row r="668" ht="14.25" hidden="1" customHeight="1">
      <c r="B668" s="95">
        <v>44818.0</v>
      </c>
      <c r="C668" s="95">
        <v>2273.0</v>
      </c>
      <c r="D668" s="95" t="s">
        <v>19</v>
      </c>
      <c r="E668" s="95" t="s">
        <v>1823</v>
      </c>
      <c r="F668" s="95">
        <v>40.0</v>
      </c>
      <c r="G668" s="95">
        <v>1400.0</v>
      </c>
      <c r="H668" s="95" t="s">
        <v>180</v>
      </c>
      <c r="J668" s="95">
        <v>1400.0</v>
      </c>
      <c r="K668" s="95">
        <v>44852.0</v>
      </c>
      <c r="L668" s="95">
        <v>1961.0</v>
      </c>
      <c r="M668" s="95">
        <v>4.500409162E9</v>
      </c>
      <c r="O668" s="95">
        <v>44883.0</v>
      </c>
    </row>
    <row r="669" ht="14.25" hidden="1" customHeight="1">
      <c r="B669" s="95">
        <v>44818.0</v>
      </c>
      <c r="C669" s="95">
        <v>2273.0</v>
      </c>
      <c r="D669" s="95" t="s">
        <v>19</v>
      </c>
      <c r="E669" s="95" t="s">
        <v>1823</v>
      </c>
      <c r="F669" s="95">
        <v>90.0</v>
      </c>
      <c r="G669" s="94">
        <v>3150.0</v>
      </c>
      <c r="M669" s="95">
        <v>4.500409162E9</v>
      </c>
      <c r="N669" s="95">
        <v>44834.0</v>
      </c>
    </row>
    <row r="670" ht="14.25" hidden="1" customHeight="1">
      <c r="B670" s="95">
        <v>44820.0</v>
      </c>
      <c r="C670" s="95">
        <v>2282.0</v>
      </c>
      <c r="D670" s="95" t="s">
        <v>77</v>
      </c>
      <c r="E670" s="95" t="s">
        <v>1824</v>
      </c>
      <c r="F670" s="95">
        <v>1.0</v>
      </c>
      <c r="G670" s="95">
        <v>27675.59</v>
      </c>
      <c r="H670" s="95" t="s">
        <v>1262</v>
      </c>
      <c r="I670" s="95" t="s">
        <v>1825</v>
      </c>
    </row>
    <row r="671" ht="14.25" hidden="1" customHeight="1">
      <c r="B671" s="95">
        <v>44823.0</v>
      </c>
      <c r="C671" s="95">
        <v>2275.0</v>
      </c>
      <c r="D671" s="95" t="s">
        <v>188</v>
      </c>
      <c r="E671" s="95" t="s">
        <v>1826</v>
      </c>
      <c r="F671" s="95">
        <v>20.0</v>
      </c>
      <c r="G671" s="95">
        <v>596.0</v>
      </c>
      <c r="H671" s="95" t="s">
        <v>180</v>
      </c>
      <c r="J671" s="95">
        <v>596.0</v>
      </c>
      <c r="K671" s="95">
        <v>44844.0</v>
      </c>
      <c r="L671" s="95">
        <v>1951.0</v>
      </c>
      <c r="M671" s="95">
        <v>5.202113187E9</v>
      </c>
      <c r="N671" s="95">
        <v>44866.0</v>
      </c>
      <c r="O671" s="95">
        <v>44890.0</v>
      </c>
    </row>
    <row r="672" ht="14.25" hidden="1" customHeight="1">
      <c r="B672" s="95">
        <v>44823.0</v>
      </c>
      <c r="C672" s="95">
        <v>2276.0</v>
      </c>
      <c r="D672" s="95" t="s">
        <v>44</v>
      </c>
      <c r="E672" s="95" t="s">
        <v>1827</v>
      </c>
      <c r="F672" s="95">
        <v>1.0</v>
      </c>
      <c r="G672" s="95">
        <v>45977.01</v>
      </c>
      <c r="H672" s="95" t="s">
        <v>180</v>
      </c>
      <c r="J672" s="95">
        <v>45977.01</v>
      </c>
      <c r="K672" s="95">
        <v>44883.0</v>
      </c>
      <c r="L672" s="95">
        <v>1995.0</v>
      </c>
      <c r="M672" s="95">
        <v>4.501615573E9</v>
      </c>
      <c r="N672" s="95">
        <v>44844.0</v>
      </c>
      <c r="O672" s="95">
        <v>44915.0</v>
      </c>
    </row>
    <row r="673" ht="14.25" hidden="1" customHeight="1">
      <c r="B673" s="95">
        <v>44823.0</v>
      </c>
      <c r="C673" s="95">
        <v>2277.0</v>
      </c>
      <c r="D673" s="95" t="s">
        <v>44</v>
      </c>
      <c r="E673" s="95" t="s">
        <v>825</v>
      </c>
      <c r="F673" s="95">
        <v>1.0</v>
      </c>
      <c r="G673" s="95">
        <v>1430.5</v>
      </c>
      <c r="H673" s="95" t="s">
        <v>180</v>
      </c>
      <c r="J673" s="95">
        <v>1430.5</v>
      </c>
      <c r="K673" s="95">
        <v>44844.0</v>
      </c>
      <c r="L673" s="95">
        <v>1953.0</v>
      </c>
      <c r="M673" s="95">
        <v>4.501615124E9</v>
      </c>
      <c r="N673" s="95">
        <v>44844.0</v>
      </c>
      <c r="O673" s="95">
        <v>44875.0</v>
      </c>
    </row>
    <row r="674" ht="14.25" hidden="1" customHeight="1">
      <c r="B674" s="95">
        <v>44824.0</v>
      </c>
      <c r="C674" s="95">
        <v>2281.0</v>
      </c>
      <c r="D674" s="95" t="s">
        <v>44</v>
      </c>
      <c r="E674" s="95" t="s">
        <v>1828</v>
      </c>
      <c r="F674" s="95">
        <v>1.0</v>
      </c>
      <c r="G674" s="95">
        <v>12016.37</v>
      </c>
      <c r="H674" s="95" t="s">
        <v>1262</v>
      </c>
      <c r="I674" s="95" t="s">
        <v>1829</v>
      </c>
    </row>
    <row r="675" ht="14.25" hidden="1" customHeight="1">
      <c r="B675" s="95">
        <v>44824.0</v>
      </c>
      <c r="C675" s="95">
        <v>2281.0</v>
      </c>
      <c r="D675" s="95" t="s">
        <v>44</v>
      </c>
      <c r="E675" s="95" t="s">
        <v>1830</v>
      </c>
      <c r="F675" s="95">
        <v>1.0</v>
      </c>
      <c r="G675" s="95">
        <v>4188.48</v>
      </c>
      <c r="H675" s="95" t="s">
        <v>1262</v>
      </c>
    </row>
    <row r="676" ht="14.25" hidden="1" customHeight="1">
      <c r="B676" s="95">
        <v>44824.0</v>
      </c>
      <c r="C676" s="95">
        <v>2283.0</v>
      </c>
      <c r="D676" s="95" t="s">
        <v>1831</v>
      </c>
      <c r="E676" s="95" t="s">
        <v>1832</v>
      </c>
      <c r="F676" s="95">
        <v>3.0</v>
      </c>
      <c r="G676" s="95">
        <v>26447.4</v>
      </c>
      <c r="H676" s="95" t="s">
        <v>1262</v>
      </c>
      <c r="I676" s="95" t="s">
        <v>1833</v>
      </c>
    </row>
    <row r="677" ht="14.25" hidden="1" customHeight="1">
      <c r="B677" s="95">
        <v>44826.0</v>
      </c>
      <c r="C677" s="95">
        <v>2284.0</v>
      </c>
      <c r="D677" s="95" t="s">
        <v>1756</v>
      </c>
      <c r="E677" s="95" t="s">
        <v>1834</v>
      </c>
      <c r="F677" s="95">
        <v>5.0</v>
      </c>
      <c r="G677" s="95">
        <v>1680.25</v>
      </c>
      <c r="H677" s="95" t="s">
        <v>1262</v>
      </c>
    </row>
    <row r="678" ht="14.25" hidden="1" customHeight="1">
      <c r="B678" s="95">
        <v>44826.0</v>
      </c>
      <c r="C678" s="95">
        <v>2284.0</v>
      </c>
      <c r="D678" s="95" t="s">
        <v>1756</v>
      </c>
      <c r="E678" s="95" t="s">
        <v>1835</v>
      </c>
      <c r="F678" s="95">
        <v>5.0</v>
      </c>
      <c r="G678" s="95">
        <v>2261.35</v>
      </c>
      <c r="H678" s="95" t="s">
        <v>1262</v>
      </c>
    </row>
    <row r="679" ht="14.25" hidden="1" customHeight="1">
      <c r="B679" s="95">
        <v>44827.0</v>
      </c>
      <c r="C679" s="95">
        <v>2286.0</v>
      </c>
      <c r="D679" s="95" t="s">
        <v>44</v>
      </c>
      <c r="E679" s="95" t="s">
        <v>1836</v>
      </c>
      <c r="F679" s="95">
        <v>1.0</v>
      </c>
      <c r="G679" s="95">
        <v>5056.27</v>
      </c>
      <c r="H679" s="95" t="s">
        <v>1262</v>
      </c>
    </row>
    <row r="680" ht="14.25" hidden="1" customHeight="1">
      <c r="B680" s="95">
        <v>44827.0</v>
      </c>
      <c r="C680" s="95">
        <v>2285.0</v>
      </c>
      <c r="D680" s="95" t="s">
        <v>44</v>
      </c>
      <c r="E680" s="95" t="s">
        <v>1837</v>
      </c>
      <c r="F680" s="95">
        <v>1.0</v>
      </c>
      <c r="G680" s="95">
        <v>703.08</v>
      </c>
      <c r="H680" s="95" t="s">
        <v>180</v>
      </c>
      <c r="J680" s="95">
        <v>703.08</v>
      </c>
      <c r="K680" s="95">
        <v>44883.0</v>
      </c>
      <c r="L680" s="95">
        <v>1996.0</v>
      </c>
      <c r="M680" s="95">
        <v>4.501614639E9</v>
      </c>
      <c r="N680" s="95">
        <v>44882.0</v>
      </c>
      <c r="O680" s="95">
        <v>44915.0</v>
      </c>
    </row>
    <row r="681" ht="14.25" hidden="1" customHeight="1">
      <c r="B681" s="95">
        <v>44830.0</v>
      </c>
      <c r="C681" s="95">
        <v>2287.0</v>
      </c>
      <c r="D681" s="95" t="s">
        <v>1756</v>
      </c>
      <c r="E681" s="95" t="s">
        <v>1838</v>
      </c>
      <c r="F681" s="95">
        <v>5.0</v>
      </c>
      <c r="G681" s="95">
        <v>3164.92</v>
      </c>
      <c r="H681" s="95" t="s">
        <v>1262</v>
      </c>
      <c r="I681" s="95" t="s">
        <v>1839</v>
      </c>
    </row>
    <row r="682" ht="14.25" hidden="1" customHeight="1">
      <c r="B682" s="95">
        <v>44832.0</v>
      </c>
      <c r="C682" s="95">
        <v>2289.0</v>
      </c>
      <c r="D682" s="95" t="s">
        <v>1840</v>
      </c>
      <c r="E682" s="95" t="s">
        <v>1731</v>
      </c>
      <c r="F682" s="95">
        <v>2.0</v>
      </c>
      <c r="G682" s="95">
        <v>539.47</v>
      </c>
      <c r="H682" s="95" t="s">
        <v>1262</v>
      </c>
    </row>
    <row r="683" ht="14.25" hidden="1" customHeight="1">
      <c r="B683" s="95">
        <v>44833.0</v>
      </c>
      <c r="C683" s="95">
        <v>2290.0</v>
      </c>
      <c r="D683" s="95" t="s">
        <v>1841</v>
      </c>
      <c r="E683" s="95" t="s">
        <v>1842</v>
      </c>
      <c r="F683" s="95">
        <v>2.0</v>
      </c>
      <c r="G683" s="95">
        <v>2150.6</v>
      </c>
      <c r="H683" s="95" t="s">
        <v>180</v>
      </c>
      <c r="J683" s="95">
        <v>2150.6</v>
      </c>
      <c r="K683" s="95">
        <v>44869.0</v>
      </c>
      <c r="L683" s="95">
        <v>1982.0</v>
      </c>
      <c r="M683" s="95">
        <v>4.50020618E9</v>
      </c>
      <c r="O683" s="95">
        <v>44899.0</v>
      </c>
    </row>
    <row r="684" ht="14.25" hidden="1" customHeight="1">
      <c r="B684" s="95">
        <v>44833.0</v>
      </c>
      <c r="C684" s="95">
        <v>2290.0</v>
      </c>
      <c r="D684" s="95" t="s">
        <v>1841</v>
      </c>
      <c r="E684" s="95" t="s">
        <v>1842</v>
      </c>
      <c r="F684" s="95">
        <v>1.0</v>
      </c>
      <c r="G684" s="95">
        <v>1075.3</v>
      </c>
      <c r="H684" s="95" t="s">
        <v>180</v>
      </c>
      <c r="J684" s="95">
        <v>1075.3</v>
      </c>
      <c r="K684" s="95">
        <v>44939.0</v>
      </c>
      <c r="L684" s="95">
        <v>2040.0</v>
      </c>
      <c r="M684" s="95">
        <v>4.50020618E9</v>
      </c>
      <c r="N684" s="95">
        <v>44981.0</v>
      </c>
      <c r="O684" s="95">
        <v>44970.0</v>
      </c>
    </row>
    <row r="685" ht="14.25" hidden="1" customHeight="1">
      <c r="B685" s="95">
        <v>44833.0</v>
      </c>
      <c r="C685" s="95">
        <v>2290.0</v>
      </c>
      <c r="D685" s="95" t="s">
        <v>1841</v>
      </c>
      <c r="E685" s="95" t="s">
        <v>1843</v>
      </c>
      <c r="F685" s="95">
        <v>1.0</v>
      </c>
      <c r="G685" s="95">
        <v>7826.28</v>
      </c>
      <c r="H685" s="95" t="s">
        <v>180</v>
      </c>
      <c r="J685" s="95">
        <v>7826.28</v>
      </c>
      <c r="K685" s="95">
        <v>44869.0</v>
      </c>
      <c r="L685" s="95">
        <v>1982.0</v>
      </c>
      <c r="M685" s="95">
        <v>4.50020618E9</v>
      </c>
      <c r="N685" s="95">
        <v>44881.0</v>
      </c>
      <c r="O685" s="95">
        <v>44899.0</v>
      </c>
    </row>
    <row r="686" ht="14.25" hidden="1" customHeight="1">
      <c r="B686" s="95">
        <v>44834.0</v>
      </c>
      <c r="C686" s="95">
        <v>2292.0</v>
      </c>
      <c r="D686" s="95" t="s">
        <v>188</v>
      </c>
      <c r="E686" s="95" t="s">
        <v>1844</v>
      </c>
      <c r="F686" s="95">
        <v>5.0</v>
      </c>
      <c r="G686" s="95">
        <v>97.5</v>
      </c>
      <c r="H686" s="95" t="s">
        <v>180</v>
      </c>
      <c r="J686" s="95">
        <v>97.5</v>
      </c>
      <c r="K686" s="95">
        <v>44838.0</v>
      </c>
      <c r="L686" s="95">
        <v>1948.0</v>
      </c>
      <c r="M686" s="95">
        <v>5.202118283E9</v>
      </c>
      <c r="O686" s="95">
        <v>44884.0</v>
      </c>
    </row>
    <row r="687" ht="14.25" hidden="1" customHeight="1">
      <c r="H687" s="95" t="s">
        <v>1262</v>
      </c>
    </row>
    <row r="688" ht="14.25" hidden="1" customHeight="1">
      <c r="B688" s="95">
        <v>44837.0</v>
      </c>
      <c r="C688" s="95">
        <v>2296.0</v>
      </c>
      <c r="D688" s="95" t="s">
        <v>790</v>
      </c>
      <c r="E688" s="95" t="s">
        <v>617</v>
      </c>
      <c r="F688" s="95">
        <v>6.0</v>
      </c>
      <c r="G688" s="95">
        <v>3309.08</v>
      </c>
      <c r="H688" s="95" t="s">
        <v>1262</v>
      </c>
      <c r="I688" s="95" t="s">
        <v>1845</v>
      </c>
    </row>
    <row r="689" ht="14.25" hidden="1" customHeight="1">
      <c r="B689" s="95">
        <v>44837.0</v>
      </c>
      <c r="C689" s="95">
        <v>2296.0</v>
      </c>
      <c r="D689" s="95" t="s">
        <v>790</v>
      </c>
      <c r="E689" s="95" t="s">
        <v>1846</v>
      </c>
      <c r="F689" s="95">
        <v>2.0</v>
      </c>
      <c r="G689" s="95">
        <v>2123.99</v>
      </c>
      <c r="H689" s="95" t="s">
        <v>1262</v>
      </c>
    </row>
    <row r="690" ht="14.25" hidden="1" customHeight="1">
      <c r="B690" s="95">
        <v>44837.0</v>
      </c>
      <c r="C690" s="95">
        <v>2296.0</v>
      </c>
      <c r="D690" s="95" t="s">
        <v>790</v>
      </c>
      <c r="E690" s="95" t="s">
        <v>1847</v>
      </c>
      <c r="F690" s="95">
        <v>2.0</v>
      </c>
      <c r="G690" s="95">
        <v>2042.39</v>
      </c>
      <c r="H690" s="95" t="s">
        <v>1262</v>
      </c>
    </row>
    <row r="691" ht="14.25" hidden="1" customHeight="1">
      <c r="B691" s="95">
        <v>44837.0</v>
      </c>
      <c r="C691" s="95">
        <v>2296.0</v>
      </c>
      <c r="D691" s="95" t="s">
        <v>790</v>
      </c>
      <c r="E691" s="95" t="s">
        <v>1848</v>
      </c>
      <c r="F691" s="95">
        <v>2.0</v>
      </c>
      <c r="G691" s="95">
        <v>2123.99</v>
      </c>
      <c r="H691" s="95" t="s">
        <v>1262</v>
      </c>
    </row>
    <row r="692" ht="14.25" hidden="1" customHeight="1">
      <c r="B692" s="95">
        <v>44838.0</v>
      </c>
      <c r="C692" s="95">
        <v>2297.0</v>
      </c>
      <c r="D692" s="95" t="s">
        <v>1442</v>
      </c>
      <c r="E692" s="95" t="s">
        <v>1849</v>
      </c>
      <c r="F692" s="95">
        <v>6.0</v>
      </c>
      <c r="G692" s="95">
        <v>997.86</v>
      </c>
      <c r="H692" s="95" t="s">
        <v>180</v>
      </c>
      <c r="J692" s="95">
        <v>997.86</v>
      </c>
      <c r="K692" s="95">
        <v>44848.0</v>
      </c>
      <c r="L692" s="95">
        <v>1956.0</v>
      </c>
      <c r="M692" s="95">
        <v>62666.0</v>
      </c>
      <c r="N692" s="95">
        <v>44839.0</v>
      </c>
      <c r="O692" s="95">
        <v>44879.0</v>
      </c>
    </row>
    <row r="693" ht="14.25" hidden="1" customHeight="1">
      <c r="B693" s="95">
        <v>44838.0</v>
      </c>
      <c r="C693" s="95">
        <v>2298.0</v>
      </c>
      <c r="D693" s="95" t="s">
        <v>1850</v>
      </c>
      <c r="E693" s="95" t="s">
        <v>1851</v>
      </c>
      <c r="F693" s="95">
        <v>10.0</v>
      </c>
      <c r="G693" s="94">
        <v>13756.73</v>
      </c>
      <c r="M693" s="95">
        <v>1.5719397E7</v>
      </c>
      <c r="N693" s="95">
        <v>44990.0</v>
      </c>
    </row>
    <row r="694" ht="14.25" hidden="1" customHeight="1">
      <c r="B694" s="95">
        <v>44838.0</v>
      </c>
      <c r="C694" s="95">
        <v>2298.0</v>
      </c>
      <c r="D694" s="95" t="s">
        <v>1850</v>
      </c>
      <c r="E694" s="95" t="s">
        <v>1852</v>
      </c>
      <c r="F694" s="95">
        <v>10.0</v>
      </c>
      <c r="G694" s="94">
        <v>6049.72</v>
      </c>
      <c r="M694" s="95">
        <v>1.5719397E7</v>
      </c>
      <c r="N694" s="95">
        <v>44990.0</v>
      </c>
    </row>
    <row r="695" ht="14.25" hidden="1" customHeight="1">
      <c r="B695" s="95">
        <v>44838.0</v>
      </c>
      <c r="C695" s="95">
        <v>2298.0</v>
      </c>
      <c r="D695" s="95" t="s">
        <v>1850</v>
      </c>
      <c r="E695" s="95" t="s">
        <v>1853</v>
      </c>
      <c r="F695" s="95">
        <v>5.0</v>
      </c>
      <c r="G695" s="94">
        <v>9018.73</v>
      </c>
      <c r="M695" s="95">
        <v>1.5719397E7</v>
      </c>
      <c r="N695" s="95">
        <v>44990.0</v>
      </c>
    </row>
    <row r="696" ht="14.25" hidden="1" customHeight="1">
      <c r="B696" s="95">
        <v>44838.0</v>
      </c>
      <c r="C696" s="95">
        <v>2298.0</v>
      </c>
      <c r="D696" s="95" t="s">
        <v>1850</v>
      </c>
      <c r="E696" s="95" t="s">
        <v>1854</v>
      </c>
      <c r="F696" s="95">
        <v>1.0</v>
      </c>
      <c r="G696" s="94">
        <v>1525.26</v>
      </c>
      <c r="M696" s="95">
        <v>1.5719397E7</v>
      </c>
      <c r="N696" s="95">
        <v>44990.0</v>
      </c>
    </row>
    <row r="697" ht="14.25" hidden="1" customHeight="1">
      <c r="B697" s="95">
        <v>44838.0</v>
      </c>
      <c r="C697" s="95">
        <v>2298.0</v>
      </c>
      <c r="D697" s="95" t="s">
        <v>1850</v>
      </c>
      <c r="E697" s="95" t="s">
        <v>1855</v>
      </c>
      <c r="F697" s="95">
        <v>1.0</v>
      </c>
      <c r="G697" s="94">
        <v>1619.98</v>
      </c>
      <c r="M697" s="95">
        <v>1.5719397E7</v>
      </c>
      <c r="N697" s="95">
        <v>44990.0</v>
      </c>
    </row>
    <row r="698" ht="14.25" hidden="1" customHeight="1">
      <c r="B698" s="95">
        <v>44838.0</v>
      </c>
      <c r="C698" s="95">
        <v>2298.0</v>
      </c>
      <c r="D698" s="95" t="s">
        <v>1850</v>
      </c>
      <c r="E698" s="95" t="s">
        <v>1856</v>
      </c>
      <c r="F698" s="95">
        <v>3.0</v>
      </c>
      <c r="G698" s="94">
        <v>3484.48</v>
      </c>
      <c r="M698" s="95">
        <v>1.5719397E7</v>
      </c>
      <c r="N698" s="95">
        <v>44990.0</v>
      </c>
    </row>
    <row r="699" ht="14.25" hidden="1" customHeight="1">
      <c r="B699" s="95">
        <v>44838.0</v>
      </c>
      <c r="C699" s="95">
        <v>2298.0</v>
      </c>
      <c r="D699" s="95" t="s">
        <v>1850</v>
      </c>
      <c r="E699" s="95" t="s">
        <v>1857</v>
      </c>
      <c r="F699" s="95">
        <v>1.0</v>
      </c>
      <c r="G699" s="94">
        <v>1398.96</v>
      </c>
      <c r="M699" s="95">
        <v>1.5719397E7</v>
      </c>
      <c r="N699" s="95">
        <v>44990.0</v>
      </c>
    </row>
    <row r="700" ht="14.25" hidden="1" customHeight="1">
      <c r="B700" s="95">
        <v>44838.0</v>
      </c>
      <c r="C700" s="95">
        <v>2298.0</v>
      </c>
      <c r="D700" s="95" t="s">
        <v>1850</v>
      </c>
      <c r="E700" s="95" t="s">
        <v>1858</v>
      </c>
      <c r="F700" s="95">
        <v>3.0</v>
      </c>
      <c r="G700" s="94">
        <v>13625.48</v>
      </c>
      <c r="M700" s="95">
        <v>1.5719397E7</v>
      </c>
      <c r="N700" s="95">
        <v>44990.0</v>
      </c>
    </row>
    <row r="701" ht="14.25" hidden="1" customHeight="1">
      <c r="B701" s="95">
        <v>44840.0</v>
      </c>
      <c r="C701" s="95">
        <v>2299.0</v>
      </c>
      <c r="D701" s="95" t="s">
        <v>19</v>
      </c>
      <c r="E701" s="95" t="s">
        <v>1859</v>
      </c>
      <c r="F701" s="95">
        <v>90.0</v>
      </c>
      <c r="G701" s="95">
        <v>1368.0</v>
      </c>
      <c r="H701" s="95" t="s">
        <v>180</v>
      </c>
      <c r="J701" s="95">
        <v>1368.0</v>
      </c>
      <c r="K701" s="95">
        <v>44860.0</v>
      </c>
      <c r="L701" s="95">
        <v>1968.0</v>
      </c>
      <c r="M701" s="95">
        <v>4.500411574E9</v>
      </c>
      <c r="N701" s="95">
        <v>44883.0</v>
      </c>
      <c r="O701" s="95">
        <v>44891.0</v>
      </c>
    </row>
    <row r="702" ht="14.25" hidden="1" customHeight="1">
      <c r="B702" s="95">
        <v>44840.0</v>
      </c>
      <c r="C702" s="95">
        <v>2299.0</v>
      </c>
      <c r="D702" s="95" t="s">
        <v>19</v>
      </c>
      <c r="E702" s="95" t="s">
        <v>1859</v>
      </c>
      <c r="F702" s="95">
        <v>60.0</v>
      </c>
      <c r="G702" s="95">
        <v>912.0</v>
      </c>
      <c r="H702" s="95" t="s">
        <v>180</v>
      </c>
      <c r="J702" s="95">
        <v>912.0</v>
      </c>
      <c r="K702" s="95">
        <v>44936.0</v>
      </c>
      <c r="L702" s="95">
        <v>2035.0</v>
      </c>
      <c r="M702" s="95">
        <v>4.500411574E9</v>
      </c>
      <c r="N702" s="95">
        <v>45006.0</v>
      </c>
      <c r="O702" s="95">
        <v>44967.0</v>
      </c>
    </row>
    <row r="703" ht="14.25" hidden="1" customHeight="1">
      <c r="B703" s="95">
        <v>44840.0</v>
      </c>
      <c r="C703" s="95">
        <v>2299.0</v>
      </c>
      <c r="D703" s="95" t="s">
        <v>19</v>
      </c>
      <c r="E703" s="95" t="s">
        <v>1794</v>
      </c>
      <c r="F703" s="95">
        <v>17.0</v>
      </c>
      <c r="G703" s="95">
        <v>457.3</v>
      </c>
      <c r="H703" s="95" t="s">
        <v>180</v>
      </c>
      <c r="J703" s="95">
        <v>457.3</v>
      </c>
      <c r="K703" s="95">
        <v>44936.0</v>
      </c>
      <c r="L703" s="95">
        <v>2035.0</v>
      </c>
      <c r="M703" s="95">
        <v>4.500411574E9</v>
      </c>
      <c r="N703" s="95">
        <v>45006.0</v>
      </c>
      <c r="O703" s="95">
        <v>44967.0</v>
      </c>
    </row>
    <row r="704" ht="14.25" hidden="1" customHeight="1">
      <c r="B704" s="95">
        <v>44840.0</v>
      </c>
      <c r="C704" s="95">
        <v>2300.0</v>
      </c>
      <c r="D704" s="95" t="s">
        <v>1860</v>
      </c>
      <c r="E704" s="95" t="s">
        <v>1861</v>
      </c>
      <c r="F704" s="95">
        <v>15.0</v>
      </c>
      <c r="G704" s="95">
        <v>5243.85</v>
      </c>
      <c r="H704" s="95" t="s">
        <v>1262</v>
      </c>
    </row>
    <row r="705" ht="14.25" hidden="1" customHeight="1">
      <c r="B705" s="95">
        <v>44841.0</v>
      </c>
      <c r="C705" s="95">
        <v>2303.0</v>
      </c>
      <c r="D705" s="95" t="s">
        <v>188</v>
      </c>
      <c r="E705" s="95" t="s">
        <v>1771</v>
      </c>
      <c r="F705" s="95">
        <v>1.0</v>
      </c>
      <c r="G705" s="95">
        <v>3904.53</v>
      </c>
      <c r="H705" s="95" t="s">
        <v>180</v>
      </c>
      <c r="J705" s="95">
        <v>3904.53</v>
      </c>
      <c r="K705" s="95">
        <v>44944.0</v>
      </c>
      <c r="L705" s="95">
        <v>2043.0</v>
      </c>
      <c r="M705" s="95">
        <v>5.202121094E9</v>
      </c>
      <c r="O705" s="95">
        <v>44991.0</v>
      </c>
    </row>
    <row r="706" ht="14.25" hidden="1" customHeight="1">
      <c r="B706" s="95">
        <v>44844.0</v>
      </c>
      <c r="C706" s="95">
        <v>2304.0</v>
      </c>
      <c r="D706" s="95" t="s">
        <v>1862</v>
      </c>
      <c r="E706" s="95" t="s">
        <v>1861</v>
      </c>
      <c r="F706" s="95">
        <v>13.0</v>
      </c>
      <c r="G706" s="95">
        <v>4544.67</v>
      </c>
      <c r="H706" s="95" t="s">
        <v>1262</v>
      </c>
    </row>
    <row r="707" ht="14.25" hidden="1" customHeight="1">
      <c r="B707" s="95">
        <v>44845.0</v>
      </c>
      <c r="C707" s="95">
        <v>2308.0</v>
      </c>
      <c r="D707" s="95" t="s">
        <v>1640</v>
      </c>
      <c r="E707" s="95" t="s">
        <v>1863</v>
      </c>
      <c r="F707" s="95">
        <v>1.0</v>
      </c>
      <c r="G707" s="95">
        <v>69400.0</v>
      </c>
      <c r="H707" s="95" t="s">
        <v>1262</v>
      </c>
    </row>
    <row r="708" ht="14.25" hidden="1" customHeight="1">
      <c r="B708" s="95">
        <v>44845.0</v>
      </c>
      <c r="C708" s="95">
        <v>2309.0</v>
      </c>
      <c r="D708" s="95" t="s">
        <v>1640</v>
      </c>
      <c r="E708" s="95" t="s">
        <v>1864</v>
      </c>
      <c r="F708" s="95">
        <v>1.0</v>
      </c>
      <c r="G708" s="95">
        <v>4763.47</v>
      </c>
      <c r="H708" s="95" t="s">
        <v>180</v>
      </c>
      <c r="J708" s="95">
        <v>4763.47</v>
      </c>
      <c r="K708" s="95">
        <v>44875.0</v>
      </c>
      <c r="L708" s="95">
        <v>1989.0</v>
      </c>
      <c r="M708" s="95">
        <v>4.502548213E9</v>
      </c>
    </row>
    <row r="709" ht="14.25" hidden="1" customHeight="1">
      <c r="B709" s="95">
        <v>44845.0</v>
      </c>
      <c r="C709" s="95">
        <v>2310.0</v>
      </c>
      <c r="D709" s="95" t="s">
        <v>19</v>
      </c>
      <c r="E709" s="95" t="s">
        <v>1865</v>
      </c>
      <c r="F709" s="95">
        <v>3.0</v>
      </c>
      <c r="G709" s="95">
        <v>3873.42</v>
      </c>
      <c r="H709" s="95" t="s">
        <v>180</v>
      </c>
      <c r="J709" s="95">
        <v>3873.42</v>
      </c>
      <c r="K709" s="95">
        <v>44860.0</v>
      </c>
      <c r="L709" s="95">
        <v>1967.0</v>
      </c>
      <c r="M709" s="95">
        <v>4.500411484E9</v>
      </c>
      <c r="N709" s="95">
        <v>44859.0</v>
      </c>
      <c r="O709" s="95">
        <v>44860.0</v>
      </c>
    </row>
    <row r="710" ht="14.25" hidden="1" customHeight="1">
      <c r="B710" s="95">
        <v>44845.0</v>
      </c>
      <c r="D710" s="95" t="s">
        <v>1866</v>
      </c>
      <c r="E710" s="95" t="s">
        <v>1867</v>
      </c>
      <c r="F710" s="95">
        <v>1.0</v>
      </c>
      <c r="H710" s="95" t="s">
        <v>241</v>
      </c>
    </row>
    <row r="711" ht="14.25" hidden="1" customHeight="1">
      <c r="B711" s="95">
        <v>44845.0</v>
      </c>
      <c r="C711" s="95">
        <v>2319.0</v>
      </c>
      <c r="D711" s="95" t="s">
        <v>1866</v>
      </c>
      <c r="E711" s="95" t="s">
        <v>1868</v>
      </c>
      <c r="F711" s="95">
        <v>10.0</v>
      </c>
      <c r="G711" s="95">
        <v>4172.17</v>
      </c>
      <c r="H711" s="95" t="s">
        <v>1262</v>
      </c>
      <c r="I711" s="95" t="s">
        <v>1869</v>
      </c>
    </row>
    <row r="712" ht="14.25" hidden="1" customHeight="1">
      <c r="B712" s="95">
        <v>44845.0</v>
      </c>
      <c r="C712" s="95">
        <v>2319.0</v>
      </c>
      <c r="D712" s="95" t="s">
        <v>1866</v>
      </c>
      <c r="E712" s="95" t="s">
        <v>1870</v>
      </c>
      <c r="F712" s="95">
        <v>10.0</v>
      </c>
      <c r="G712" s="95">
        <v>469.88</v>
      </c>
      <c r="H712" s="95" t="s">
        <v>1262</v>
      </c>
    </row>
    <row r="713" ht="14.25" hidden="1" customHeight="1">
      <c r="B713" s="95">
        <v>44845.0</v>
      </c>
      <c r="C713" s="95">
        <v>2319.0</v>
      </c>
      <c r="D713" s="95" t="s">
        <v>1866</v>
      </c>
      <c r="E713" s="95" t="s">
        <v>1871</v>
      </c>
      <c r="F713" s="95">
        <v>10.0</v>
      </c>
      <c r="G713" s="95">
        <v>253.69</v>
      </c>
      <c r="H713" s="95" t="s">
        <v>1262</v>
      </c>
    </row>
    <row r="714" ht="14.25" hidden="1" customHeight="1">
      <c r="B714" s="95">
        <v>44845.0</v>
      </c>
      <c r="C714" s="95">
        <v>2319.0</v>
      </c>
      <c r="D714" s="95" t="s">
        <v>1866</v>
      </c>
      <c r="E714" s="95" t="s">
        <v>1872</v>
      </c>
      <c r="F714" s="95">
        <v>10.0</v>
      </c>
      <c r="G714" s="95">
        <v>155.14</v>
      </c>
      <c r="H714" s="95" t="s">
        <v>1262</v>
      </c>
    </row>
    <row r="715" ht="14.25" customHeight="1">
      <c r="B715" s="95">
        <v>44847.0</v>
      </c>
      <c r="C715" s="95">
        <v>2312.0</v>
      </c>
      <c r="D715" s="95" t="s">
        <v>1756</v>
      </c>
      <c r="E715" s="95" t="s">
        <v>1834</v>
      </c>
      <c r="F715" s="95">
        <v>5.0</v>
      </c>
      <c r="G715" s="94">
        <v>1492.4</v>
      </c>
      <c r="H715" s="95" t="s">
        <v>1560</v>
      </c>
      <c r="M715" s="95" t="s">
        <v>1873</v>
      </c>
      <c r="N715" s="95">
        <v>45108.0</v>
      </c>
    </row>
    <row r="716" ht="14.25" customHeight="1">
      <c r="B716" s="95">
        <v>44847.0</v>
      </c>
      <c r="C716" s="95">
        <v>2312.0</v>
      </c>
      <c r="D716" s="95" t="s">
        <v>1756</v>
      </c>
      <c r="E716" s="95" t="s">
        <v>1835</v>
      </c>
      <c r="F716" s="95">
        <v>5.0</v>
      </c>
      <c r="G716" s="94">
        <v>1999.15</v>
      </c>
      <c r="H716" s="95" t="s">
        <v>1560</v>
      </c>
      <c r="M716" s="95" t="s">
        <v>1873</v>
      </c>
      <c r="N716" s="95">
        <v>45108.0</v>
      </c>
    </row>
    <row r="717" ht="14.25" customHeight="1">
      <c r="B717" s="95">
        <v>44847.0</v>
      </c>
      <c r="C717" s="95">
        <v>2312.0</v>
      </c>
      <c r="D717" s="95" t="s">
        <v>1756</v>
      </c>
      <c r="E717" s="95" t="s">
        <v>1838</v>
      </c>
      <c r="F717" s="95">
        <v>5.0</v>
      </c>
      <c r="G717" s="94">
        <v>3164.92</v>
      </c>
      <c r="H717" s="95" t="s">
        <v>1560</v>
      </c>
      <c r="M717" s="95" t="s">
        <v>1873</v>
      </c>
      <c r="N717" s="95">
        <v>45108.0</v>
      </c>
    </row>
    <row r="718" ht="14.25" hidden="1" customHeight="1">
      <c r="B718" s="95">
        <v>44847.0</v>
      </c>
      <c r="C718" s="95">
        <v>2291.0</v>
      </c>
      <c r="D718" s="95" t="s">
        <v>44</v>
      </c>
      <c r="E718" s="95" t="s">
        <v>278</v>
      </c>
      <c r="F718" s="95">
        <v>200.0</v>
      </c>
      <c r="G718" s="95">
        <v>5359.04</v>
      </c>
      <c r="H718" s="95" t="s">
        <v>180</v>
      </c>
      <c r="J718" s="95">
        <v>5359.04</v>
      </c>
      <c r="K718" s="95">
        <v>44858.0</v>
      </c>
      <c r="L718" s="95">
        <v>1966.0</v>
      </c>
      <c r="M718" s="95">
        <v>4.501622124E9</v>
      </c>
      <c r="N718" s="95">
        <v>44858.0</v>
      </c>
    </row>
    <row r="719" ht="14.25" hidden="1" customHeight="1">
      <c r="B719" s="95">
        <v>44847.0</v>
      </c>
      <c r="C719" s="95">
        <v>2313.0</v>
      </c>
      <c r="D719" s="95" t="s">
        <v>188</v>
      </c>
      <c r="E719" s="95" t="s">
        <v>1874</v>
      </c>
      <c r="F719" s="95">
        <v>5.0</v>
      </c>
      <c r="G719" s="95">
        <v>490.36</v>
      </c>
      <c r="H719" s="95" t="s">
        <v>1262</v>
      </c>
    </row>
    <row r="720" ht="14.25" hidden="1" customHeight="1">
      <c r="B720" s="95">
        <v>44847.0</v>
      </c>
      <c r="C720" s="95">
        <v>2314.0</v>
      </c>
      <c r="D720" s="95" t="s">
        <v>77</v>
      </c>
      <c r="E720" s="95" t="s">
        <v>1875</v>
      </c>
      <c r="F720" s="95">
        <v>1.0</v>
      </c>
      <c r="G720" s="95">
        <v>9416.4</v>
      </c>
      <c r="H720" s="95" t="s">
        <v>1262</v>
      </c>
    </row>
    <row r="721" ht="14.25" hidden="1" customHeight="1">
      <c r="B721" s="95">
        <v>44851.0</v>
      </c>
      <c r="C721" s="95">
        <v>2320.0</v>
      </c>
      <c r="D721" s="95" t="s">
        <v>1442</v>
      </c>
      <c r="E721" s="95" t="s">
        <v>1444</v>
      </c>
      <c r="F721" s="95">
        <v>5.0</v>
      </c>
      <c r="G721" s="95">
        <v>1903.25</v>
      </c>
      <c r="H721" s="95" t="s">
        <v>180</v>
      </c>
      <c r="J721" s="95">
        <v>1903.25</v>
      </c>
      <c r="K721" s="95">
        <v>44852.0</v>
      </c>
      <c r="L721" s="95">
        <v>1962.0</v>
      </c>
      <c r="M721" s="95">
        <v>62767.0</v>
      </c>
      <c r="N721" s="95">
        <v>44853.0</v>
      </c>
      <c r="O721" s="95">
        <v>44883.0</v>
      </c>
    </row>
    <row r="722" ht="14.25" hidden="1" customHeight="1">
      <c r="B722" s="95">
        <v>44852.0</v>
      </c>
      <c r="C722" s="95">
        <v>2321.0</v>
      </c>
      <c r="D722" s="95" t="s">
        <v>1876</v>
      </c>
      <c r="E722" s="95" t="s">
        <v>1877</v>
      </c>
      <c r="F722" s="95">
        <v>20.0</v>
      </c>
      <c r="G722" s="95">
        <v>24190.23</v>
      </c>
      <c r="H722" s="95" t="s">
        <v>1262</v>
      </c>
    </row>
    <row r="723" ht="14.25" hidden="1" customHeight="1">
      <c r="B723" s="95">
        <v>44852.0</v>
      </c>
      <c r="C723" s="95">
        <v>2322.0</v>
      </c>
      <c r="D723" s="95" t="s">
        <v>77</v>
      </c>
      <c r="E723" s="95" t="s">
        <v>1878</v>
      </c>
      <c r="F723" s="95">
        <v>1.0</v>
      </c>
      <c r="G723" s="95">
        <v>13167.99</v>
      </c>
      <c r="H723" s="95" t="s">
        <v>1262</v>
      </c>
    </row>
    <row r="724" ht="14.25" hidden="1" customHeight="1">
      <c r="B724" s="95">
        <v>44852.0</v>
      </c>
      <c r="C724" s="95">
        <v>2323.0</v>
      </c>
      <c r="D724" s="95" t="s">
        <v>188</v>
      </c>
      <c r="E724" s="95" t="s">
        <v>1879</v>
      </c>
      <c r="F724" s="95">
        <v>2.0</v>
      </c>
      <c r="G724" s="95">
        <v>27466.68</v>
      </c>
      <c r="H724" s="95" t="s">
        <v>180</v>
      </c>
      <c r="J724" s="95">
        <v>27466.68</v>
      </c>
      <c r="K724" s="95">
        <v>44881.0</v>
      </c>
      <c r="L724" s="95">
        <v>1990.0</v>
      </c>
      <c r="M724" s="95">
        <v>4.400567883E9</v>
      </c>
      <c r="N724" s="95">
        <v>44930.0</v>
      </c>
      <c r="O724" s="95">
        <v>44925.0</v>
      </c>
    </row>
    <row r="725" ht="14.25" hidden="1" customHeight="1">
      <c r="B725" s="95">
        <v>44852.0</v>
      </c>
      <c r="C725" s="95">
        <v>2324.0</v>
      </c>
      <c r="D725" s="95" t="s">
        <v>44</v>
      </c>
      <c r="E725" s="95" t="s">
        <v>1880</v>
      </c>
      <c r="F725" s="95">
        <v>1.0</v>
      </c>
      <c r="G725" s="95">
        <v>703.08</v>
      </c>
      <c r="H725" s="95" t="s">
        <v>180</v>
      </c>
      <c r="J725" s="95">
        <v>703.08</v>
      </c>
      <c r="K725" s="95">
        <v>44883.0</v>
      </c>
      <c r="L725" s="95">
        <v>1997.0</v>
      </c>
      <c r="M725" s="95">
        <v>4.501621319E9</v>
      </c>
      <c r="O725" s="95">
        <v>44915.0</v>
      </c>
    </row>
    <row r="726" ht="14.25" hidden="1" customHeight="1">
      <c r="B726" s="95">
        <v>44852.0</v>
      </c>
      <c r="C726" s="95">
        <v>2326.0</v>
      </c>
      <c r="D726" s="95" t="s">
        <v>1881</v>
      </c>
      <c r="E726" s="95" t="s">
        <v>1882</v>
      </c>
      <c r="F726" s="95">
        <v>1.0</v>
      </c>
      <c r="G726" s="95">
        <v>21.3</v>
      </c>
      <c r="H726" s="95" t="s">
        <v>1262</v>
      </c>
    </row>
    <row r="727" ht="14.25" hidden="1" customHeight="1">
      <c r="B727" s="95">
        <v>44852.0</v>
      </c>
      <c r="C727" s="95">
        <v>2327.0</v>
      </c>
      <c r="D727" s="95" t="s">
        <v>1883</v>
      </c>
      <c r="E727" s="95" t="s">
        <v>1884</v>
      </c>
      <c r="F727" s="95">
        <v>200.0</v>
      </c>
      <c r="G727" s="95">
        <v>4768.0</v>
      </c>
      <c r="H727" s="95" t="s">
        <v>1262</v>
      </c>
    </row>
    <row r="728" ht="14.25" hidden="1" customHeight="1">
      <c r="B728" s="95">
        <v>44853.0</v>
      </c>
      <c r="D728" s="95" t="s">
        <v>1885</v>
      </c>
      <c r="E728" s="95" t="s">
        <v>1886</v>
      </c>
      <c r="F728" s="95">
        <v>1.0</v>
      </c>
      <c r="H728" s="95" t="s">
        <v>241</v>
      </c>
      <c r="I728" s="95" t="s">
        <v>1887</v>
      </c>
    </row>
    <row r="729" ht="14.25" hidden="1" customHeight="1">
      <c r="B729" s="95">
        <v>44853.0</v>
      </c>
      <c r="D729" s="95" t="s">
        <v>1885</v>
      </c>
      <c r="E729" s="95" t="s">
        <v>1888</v>
      </c>
      <c r="F729" s="95">
        <v>2.0</v>
      </c>
      <c r="H729" s="95" t="s">
        <v>241</v>
      </c>
    </row>
    <row r="730" ht="14.25" hidden="1" customHeight="1">
      <c r="B730" s="95">
        <v>44853.0</v>
      </c>
      <c r="C730" s="95">
        <v>2330.0</v>
      </c>
      <c r="D730" s="95" t="s">
        <v>44</v>
      </c>
      <c r="E730" s="95" t="s">
        <v>1889</v>
      </c>
      <c r="F730" s="95">
        <v>30.0</v>
      </c>
      <c r="H730" s="95" t="s">
        <v>241</v>
      </c>
    </row>
    <row r="731" ht="14.25" hidden="1" customHeight="1">
      <c r="B731" s="95">
        <v>44853.0</v>
      </c>
      <c r="C731" s="95">
        <v>2330.0</v>
      </c>
      <c r="D731" s="95" t="s">
        <v>44</v>
      </c>
      <c r="E731" s="95" t="s">
        <v>1890</v>
      </c>
      <c r="F731" s="95">
        <v>30.0</v>
      </c>
      <c r="H731" s="95" t="s">
        <v>241</v>
      </c>
    </row>
    <row r="732" ht="14.25" hidden="1" customHeight="1">
      <c r="B732" s="95">
        <v>44854.0</v>
      </c>
      <c r="C732" s="95">
        <v>2331.0</v>
      </c>
      <c r="D732" s="95" t="s">
        <v>77</v>
      </c>
      <c r="E732" s="95" t="s">
        <v>1891</v>
      </c>
      <c r="F732" s="95">
        <v>1.0</v>
      </c>
      <c r="G732" s="95">
        <v>21614.45</v>
      </c>
      <c r="H732" s="95" t="s">
        <v>1262</v>
      </c>
      <c r="I732" s="95" t="s">
        <v>1892</v>
      </c>
    </row>
    <row r="733" ht="14.25" hidden="1" customHeight="1">
      <c r="B733" s="95">
        <v>44858.0</v>
      </c>
      <c r="C733" s="95">
        <v>2332.0</v>
      </c>
      <c r="D733" s="95" t="s">
        <v>44</v>
      </c>
      <c r="E733" s="95" t="s">
        <v>1893</v>
      </c>
      <c r="F733" s="95">
        <v>1.0</v>
      </c>
      <c r="G733" s="95">
        <v>17700.0</v>
      </c>
      <c r="H733" s="95" t="s">
        <v>180</v>
      </c>
      <c r="J733" s="95">
        <v>17700.0</v>
      </c>
      <c r="K733" s="95">
        <v>44861.0</v>
      </c>
      <c r="L733" s="95">
        <v>1974.0</v>
      </c>
      <c r="M733" s="95">
        <v>4.501623815E9</v>
      </c>
      <c r="O733" s="95">
        <v>44882.0</v>
      </c>
    </row>
    <row r="734" ht="14.25" hidden="1" customHeight="1">
      <c r="B734" s="95">
        <v>44858.0</v>
      </c>
      <c r="C734" s="95">
        <v>2335.0</v>
      </c>
      <c r="D734" s="95" t="s">
        <v>77</v>
      </c>
      <c r="E734" s="95" t="s">
        <v>1889</v>
      </c>
      <c r="F734" s="95">
        <v>30.0</v>
      </c>
      <c r="G734" s="95">
        <v>2406.96</v>
      </c>
      <c r="H734" s="95" t="s">
        <v>1262</v>
      </c>
    </row>
    <row r="735" ht="14.25" hidden="1" customHeight="1">
      <c r="B735" s="95">
        <v>44858.0</v>
      </c>
      <c r="C735" s="95">
        <v>2335.0</v>
      </c>
      <c r="D735" s="95" t="s">
        <v>77</v>
      </c>
      <c r="E735" s="95" t="s">
        <v>1890</v>
      </c>
      <c r="F735" s="95">
        <v>30.0</v>
      </c>
      <c r="G735" s="95">
        <v>2113.62</v>
      </c>
      <c r="H735" s="95" t="s">
        <v>1262</v>
      </c>
    </row>
    <row r="736" ht="14.25" hidden="1" customHeight="1">
      <c r="B736" s="95">
        <v>44858.0</v>
      </c>
      <c r="C736" s="95">
        <v>2336.0</v>
      </c>
      <c r="D736" s="95" t="s">
        <v>188</v>
      </c>
      <c r="E736" s="95" t="s">
        <v>1894</v>
      </c>
      <c r="F736" s="95">
        <v>10.0</v>
      </c>
      <c r="G736" s="95">
        <v>169.0</v>
      </c>
      <c r="H736" s="95" t="s">
        <v>1262</v>
      </c>
    </row>
    <row r="737" ht="14.25" hidden="1" customHeight="1">
      <c r="B737" s="95">
        <v>44858.0</v>
      </c>
      <c r="C737" s="95">
        <v>2341.0</v>
      </c>
      <c r="D737" s="95" t="s">
        <v>44</v>
      </c>
      <c r="E737" s="95" t="s">
        <v>64</v>
      </c>
      <c r="F737" s="95">
        <v>1.0</v>
      </c>
      <c r="G737" s="95">
        <v>44051.02</v>
      </c>
      <c r="H737" s="95" t="s">
        <v>180</v>
      </c>
      <c r="J737" s="95">
        <v>44051.02</v>
      </c>
      <c r="K737" s="95">
        <v>44868.0</v>
      </c>
      <c r="L737" s="95">
        <v>1981.0</v>
      </c>
      <c r="M737" s="95">
        <v>4.501628018E9</v>
      </c>
      <c r="N737" s="95">
        <v>44868.0</v>
      </c>
      <c r="O737" s="95">
        <v>44905.0</v>
      </c>
    </row>
    <row r="738" ht="14.25" hidden="1" customHeight="1">
      <c r="B738" s="95">
        <v>44859.0</v>
      </c>
      <c r="C738" s="95">
        <v>2342.0</v>
      </c>
      <c r="D738" s="95" t="s">
        <v>77</v>
      </c>
      <c r="E738" s="95" t="s">
        <v>1895</v>
      </c>
      <c r="F738" s="95">
        <v>150.0</v>
      </c>
      <c r="G738" s="95">
        <v>3028.5</v>
      </c>
      <c r="H738" s="95" t="s">
        <v>1262</v>
      </c>
    </row>
    <row r="739" ht="14.25" hidden="1" customHeight="1">
      <c r="B739" s="95">
        <v>44859.0</v>
      </c>
      <c r="C739" s="95">
        <v>2342.0</v>
      </c>
      <c r="D739" s="95" t="s">
        <v>77</v>
      </c>
      <c r="E739" s="95" t="s">
        <v>1896</v>
      </c>
      <c r="F739" s="95">
        <v>100.0</v>
      </c>
      <c r="G739" s="95">
        <v>1781.0</v>
      </c>
      <c r="H739" s="95" t="s">
        <v>1262</v>
      </c>
    </row>
    <row r="740" ht="14.25" hidden="1" customHeight="1">
      <c r="B740" s="95">
        <v>44859.0</v>
      </c>
      <c r="C740" s="95">
        <v>2342.0</v>
      </c>
      <c r="D740" s="95" t="s">
        <v>77</v>
      </c>
      <c r="E740" s="95" t="s">
        <v>1719</v>
      </c>
      <c r="F740" s="95">
        <v>100.0</v>
      </c>
      <c r="G740" s="95">
        <v>1193.63</v>
      </c>
      <c r="H740" s="95" t="s">
        <v>1262</v>
      </c>
    </row>
    <row r="741" ht="14.25" hidden="1" customHeight="1">
      <c r="B741" s="95">
        <v>44859.0</v>
      </c>
      <c r="C741" s="95">
        <v>2342.0</v>
      </c>
      <c r="D741" s="95" t="s">
        <v>77</v>
      </c>
      <c r="E741" s="95" t="s">
        <v>1897</v>
      </c>
      <c r="F741" s="95">
        <v>100.0</v>
      </c>
      <c r="G741" s="95">
        <v>2430.52</v>
      </c>
      <c r="H741" s="95" t="s">
        <v>1262</v>
      </c>
    </row>
    <row r="742" ht="14.25" hidden="1" customHeight="1">
      <c r="B742" s="95">
        <v>44859.0</v>
      </c>
      <c r="C742" s="95">
        <v>2342.0</v>
      </c>
      <c r="D742" s="95" t="s">
        <v>77</v>
      </c>
      <c r="E742" s="95" t="s">
        <v>1898</v>
      </c>
      <c r="F742" s="95">
        <v>100.0</v>
      </c>
      <c r="G742" s="95">
        <v>1314.0</v>
      </c>
      <c r="H742" s="95" t="s">
        <v>1262</v>
      </c>
    </row>
    <row r="743" ht="14.25" hidden="1" customHeight="1">
      <c r="B743" s="95">
        <v>44859.0</v>
      </c>
      <c r="C743" s="95">
        <v>2342.0</v>
      </c>
      <c r="D743" s="95" t="s">
        <v>77</v>
      </c>
      <c r="E743" s="95" t="s">
        <v>1899</v>
      </c>
      <c r="F743" s="95">
        <v>1.0</v>
      </c>
      <c r="G743" s="95">
        <v>1972.71</v>
      </c>
      <c r="H743" s="95" t="s">
        <v>1262</v>
      </c>
      <c r="I743" s="95" t="s">
        <v>1900</v>
      </c>
    </row>
    <row r="744" ht="14.25" hidden="1" customHeight="1">
      <c r="B744" s="95">
        <v>44859.0</v>
      </c>
      <c r="C744" s="95">
        <v>2343.0</v>
      </c>
      <c r="D744" s="95" t="s">
        <v>25</v>
      </c>
      <c r="E744" s="95" t="s">
        <v>1479</v>
      </c>
      <c r="F744" s="95">
        <v>1.0</v>
      </c>
      <c r="G744" s="95">
        <v>1100.54</v>
      </c>
      <c r="H744" s="95" t="s">
        <v>180</v>
      </c>
      <c r="J744" s="95">
        <v>1100.54</v>
      </c>
      <c r="K744" s="95">
        <v>44869.0</v>
      </c>
      <c r="L744" s="95">
        <v>1983.0</v>
      </c>
      <c r="M744" s="95">
        <v>4.512161472E9</v>
      </c>
      <c r="O744" s="95">
        <v>44899.0</v>
      </c>
    </row>
    <row r="745" ht="14.25" hidden="1" customHeight="1">
      <c r="B745" s="95">
        <v>44859.0</v>
      </c>
      <c r="C745" s="95">
        <v>2313.0</v>
      </c>
      <c r="D745" s="95" t="s">
        <v>188</v>
      </c>
      <c r="E745" s="95" t="s">
        <v>1874</v>
      </c>
      <c r="F745" s="95">
        <v>5.0</v>
      </c>
      <c r="G745" s="95">
        <v>490.36</v>
      </c>
      <c r="H745" s="95" t="s">
        <v>1262</v>
      </c>
    </row>
    <row r="746" ht="14.25" hidden="1" customHeight="1">
      <c r="B746" s="95">
        <v>44860.0</v>
      </c>
      <c r="C746" s="95">
        <v>2346.0</v>
      </c>
      <c r="D746" s="95" t="s">
        <v>1901</v>
      </c>
      <c r="E746" s="95" t="s">
        <v>1902</v>
      </c>
      <c r="F746" s="95">
        <v>1.0</v>
      </c>
      <c r="G746" s="95">
        <v>82029.82</v>
      </c>
      <c r="H746" s="95" t="s">
        <v>1262</v>
      </c>
    </row>
    <row r="747" ht="14.25" hidden="1" customHeight="1">
      <c r="B747" s="95">
        <v>44860.0</v>
      </c>
      <c r="D747" s="95" t="s">
        <v>1903</v>
      </c>
      <c r="E747" s="95" t="s">
        <v>1904</v>
      </c>
      <c r="F747" s="95">
        <v>1.0</v>
      </c>
      <c r="H747" s="95" t="s">
        <v>1262</v>
      </c>
    </row>
    <row r="748" ht="14.25" hidden="1" customHeight="1">
      <c r="B748" s="95">
        <v>44862.0</v>
      </c>
      <c r="C748" s="95">
        <v>2348.0</v>
      </c>
      <c r="D748" s="95" t="s">
        <v>77</v>
      </c>
      <c r="E748" s="95" t="s">
        <v>1905</v>
      </c>
      <c r="F748" s="95">
        <v>1.0</v>
      </c>
      <c r="G748" s="95">
        <v>3070.1</v>
      </c>
      <c r="H748" s="95" t="s">
        <v>1262</v>
      </c>
    </row>
    <row r="749" ht="14.25" hidden="1" customHeight="1">
      <c r="B749" s="95">
        <v>44862.0</v>
      </c>
      <c r="C749" s="95">
        <v>2348.0</v>
      </c>
      <c r="D749" s="95" t="s">
        <v>77</v>
      </c>
      <c r="E749" s="95" t="s">
        <v>1906</v>
      </c>
      <c r="F749" s="95">
        <v>1.0</v>
      </c>
      <c r="G749" s="95">
        <v>3259.95</v>
      </c>
      <c r="H749" s="95" t="s">
        <v>1262</v>
      </c>
    </row>
    <row r="750" ht="14.25" hidden="1" customHeight="1">
      <c r="B750" s="95">
        <v>44862.0</v>
      </c>
      <c r="C750" s="95" t="s">
        <v>1907</v>
      </c>
      <c r="D750" s="95" t="s">
        <v>725</v>
      </c>
      <c r="E750" s="95" t="s">
        <v>1908</v>
      </c>
      <c r="F750" s="95">
        <v>1.0</v>
      </c>
      <c r="G750" s="95">
        <v>6925.98</v>
      </c>
      <c r="H750" s="95" t="s">
        <v>180</v>
      </c>
      <c r="J750" s="95">
        <v>6925.98</v>
      </c>
      <c r="K750" s="95">
        <v>44902.0</v>
      </c>
      <c r="L750" s="95">
        <v>2009.0</v>
      </c>
      <c r="M750" s="95">
        <v>2750302.0</v>
      </c>
      <c r="O750" s="95">
        <v>44937.0</v>
      </c>
    </row>
    <row r="751" ht="14.25" hidden="1" customHeight="1">
      <c r="B751" s="95">
        <v>44862.0</v>
      </c>
      <c r="C751" s="95" t="s">
        <v>1907</v>
      </c>
      <c r="D751" s="95" t="s">
        <v>725</v>
      </c>
      <c r="E751" s="95" t="s">
        <v>1909</v>
      </c>
      <c r="F751" s="95">
        <v>1.0</v>
      </c>
      <c r="G751" s="95">
        <v>426.89</v>
      </c>
      <c r="H751" s="95" t="s">
        <v>180</v>
      </c>
      <c r="J751" s="95">
        <v>426.89</v>
      </c>
      <c r="K751" s="95">
        <v>44902.0</v>
      </c>
      <c r="L751" s="95">
        <v>2009.0</v>
      </c>
      <c r="M751" s="95">
        <v>2750302.0</v>
      </c>
      <c r="O751" s="95">
        <v>44937.0</v>
      </c>
    </row>
    <row r="752" ht="14.25" hidden="1" customHeight="1">
      <c r="B752" s="95">
        <v>44862.0</v>
      </c>
      <c r="C752" s="95" t="s">
        <v>1907</v>
      </c>
      <c r="D752" s="95" t="s">
        <v>725</v>
      </c>
      <c r="E752" s="95" t="s">
        <v>1910</v>
      </c>
      <c r="F752" s="95">
        <v>1.0</v>
      </c>
      <c r="G752" s="95">
        <v>1167.22</v>
      </c>
      <c r="H752" s="95" t="s">
        <v>180</v>
      </c>
      <c r="J752" s="95">
        <v>1167.22</v>
      </c>
      <c r="K752" s="95">
        <v>44902.0</v>
      </c>
      <c r="L752" s="95">
        <v>2009.0</v>
      </c>
      <c r="M752" s="95">
        <v>2750302.0</v>
      </c>
      <c r="O752" s="95">
        <v>44937.0</v>
      </c>
    </row>
    <row r="753" ht="14.25" hidden="1" customHeight="1">
      <c r="B753" s="95">
        <v>44862.0</v>
      </c>
      <c r="C753" s="95" t="s">
        <v>1907</v>
      </c>
      <c r="D753" s="95" t="s">
        <v>725</v>
      </c>
      <c r="E753" s="95" t="s">
        <v>1911</v>
      </c>
      <c r="F753" s="95">
        <v>10.0</v>
      </c>
      <c r="G753" s="95">
        <v>202.86</v>
      </c>
      <c r="H753" s="95" t="s">
        <v>180</v>
      </c>
      <c r="J753" s="95">
        <v>202.86</v>
      </c>
      <c r="K753" s="95">
        <v>44902.0</v>
      </c>
      <c r="L753" s="95">
        <v>2009.0</v>
      </c>
      <c r="M753" s="95">
        <v>2750302.0</v>
      </c>
      <c r="O753" s="95">
        <v>44937.0</v>
      </c>
    </row>
    <row r="754" ht="14.25" hidden="1" customHeight="1">
      <c r="B754" s="95">
        <v>44862.0</v>
      </c>
      <c r="C754" s="95" t="s">
        <v>1907</v>
      </c>
      <c r="D754" s="95" t="s">
        <v>725</v>
      </c>
      <c r="E754" s="95" t="s">
        <v>1912</v>
      </c>
      <c r="F754" s="95">
        <v>20.0</v>
      </c>
      <c r="G754" s="95">
        <v>378.75</v>
      </c>
      <c r="H754" s="95" t="s">
        <v>180</v>
      </c>
      <c r="J754" s="95">
        <v>378.75</v>
      </c>
      <c r="K754" s="95">
        <v>44902.0</v>
      </c>
      <c r="L754" s="95">
        <v>2009.0</v>
      </c>
      <c r="M754" s="95">
        <v>2750302.0</v>
      </c>
      <c r="O754" s="95">
        <v>44937.0</v>
      </c>
    </row>
    <row r="755" ht="14.25" hidden="1" customHeight="1">
      <c r="B755" s="95">
        <v>44862.0</v>
      </c>
      <c r="C755" s="95" t="s">
        <v>1907</v>
      </c>
      <c r="D755" s="95" t="s">
        <v>725</v>
      </c>
      <c r="E755" s="95" t="s">
        <v>1719</v>
      </c>
      <c r="F755" s="95">
        <v>24.0</v>
      </c>
      <c r="G755" s="95">
        <v>326.34</v>
      </c>
      <c r="H755" s="95" t="s">
        <v>180</v>
      </c>
      <c r="J755" s="95">
        <v>326.34</v>
      </c>
      <c r="K755" s="95">
        <v>44902.0</v>
      </c>
      <c r="L755" s="95">
        <v>2009.0</v>
      </c>
      <c r="M755" s="95">
        <v>2750302.0</v>
      </c>
      <c r="O755" s="95">
        <v>44937.0</v>
      </c>
    </row>
    <row r="756" ht="14.25" hidden="1" customHeight="1">
      <c r="B756" s="95">
        <v>44862.0</v>
      </c>
      <c r="C756" s="95" t="s">
        <v>1907</v>
      </c>
      <c r="D756" s="95" t="s">
        <v>725</v>
      </c>
      <c r="E756" s="95" t="s">
        <v>1718</v>
      </c>
      <c r="F756" s="95">
        <v>24.0</v>
      </c>
      <c r="G756" s="95">
        <v>359.22</v>
      </c>
      <c r="H756" s="95" t="s">
        <v>180</v>
      </c>
      <c r="J756" s="95">
        <v>359.22</v>
      </c>
      <c r="K756" s="95">
        <v>44902.0</v>
      </c>
      <c r="L756" s="95">
        <v>2009.0</v>
      </c>
      <c r="M756" s="95">
        <v>2750302.0</v>
      </c>
      <c r="O756" s="95">
        <v>44937.0</v>
      </c>
    </row>
    <row r="757" ht="14.25" hidden="1" customHeight="1">
      <c r="B757" s="95">
        <v>44862.0</v>
      </c>
      <c r="C757" s="95" t="s">
        <v>1907</v>
      </c>
      <c r="D757" s="95" t="s">
        <v>725</v>
      </c>
      <c r="E757" s="95" t="s">
        <v>1913</v>
      </c>
      <c r="F757" s="95">
        <v>2.0</v>
      </c>
      <c r="G757" s="95">
        <v>6.63</v>
      </c>
      <c r="H757" s="95" t="s">
        <v>180</v>
      </c>
      <c r="J757" s="95">
        <v>6.63</v>
      </c>
      <c r="K757" s="95">
        <v>44902.0</v>
      </c>
      <c r="L757" s="95">
        <v>2009.0</v>
      </c>
      <c r="M757" s="95">
        <v>2750302.0</v>
      </c>
      <c r="O757" s="95">
        <v>44937.0</v>
      </c>
    </row>
    <row r="758" ht="14.25" hidden="1" customHeight="1">
      <c r="B758" s="95">
        <v>44862.0</v>
      </c>
      <c r="C758" s="95" t="s">
        <v>1907</v>
      </c>
      <c r="D758" s="95" t="s">
        <v>725</v>
      </c>
      <c r="E758" s="95" t="s">
        <v>1914</v>
      </c>
      <c r="F758" s="95">
        <v>10.0</v>
      </c>
      <c r="G758" s="95">
        <v>444.59</v>
      </c>
      <c r="H758" s="95" t="s">
        <v>180</v>
      </c>
      <c r="J758" s="95">
        <v>444.59</v>
      </c>
      <c r="K758" s="95">
        <v>44902.0</v>
      </c>
      <c r="L758" s="95">
        <v>2009.0</v>
      </c>
      <c r="M758" s="95">
        <v>2750302.0</v>
      </c>
      <c r="O758" s="95">
        <v>44937.0</v>
      </c>
    </row>
    <row r="759" ht="14.25" hidden="1" customHeight="1">
      <c r="B759" s="95">
        <v>44862.0</v>
      </c>
      <c r="C759" s="95" t="s">
        <v>1907</v>
      </c>
      <c r="D759" s="95" t="s">
        <v>725</v>
      </c>
      <c r="E759" s="95" t="s">
        <v>1915</v>
      </c>
      <c r="F759" s="95">
        <v>1.0</v>
      </c>
      <c r="G759" s="95">
        <v>26.67</v>
      </c>
      <c r="H759" s="95" t="s">
        <v>180</v>
      </c>
      <c r="J759" s="95">
        <v>26.67</v>
      </c>
      <c r="K759" s="95">
        <v>44902.0</v>
      </c>
      <c r="L759" s="95">
        <v>2009.0</v>
      </c>
      <c r="M759" s="95">
        <v>2750302.0</v>
      </c>
      <c r="O759" s="95">
        <v>44937.0</v>
      </c>
    </row>
    <row r="760" ht="14.25" hidden="1" customHeight="1">
      <c r="B760" s="95">
        <v>44865.0</v>
      </c>
      <c r="C760" s="95">
        <v>2347.0</v>
      </c>
      <c r="D760" s="95" t="s">
        <v>1916</v>
      </c>
      <c r="E760" s="95" t="s">
        <v>1479</v>
      </c>
      <c r="F760" s="95">
        <v>2.0</v>
      </c>
      <c r="G760" s="95">
        <v>765.25</v>
      </c>
      <c r="H760" s="95" t="s">
        <v>180</v>
      </c>
      <c r="J760" s="95">
        <v>765.25</v>
      </c>
      <c r="K760" s="95">
        <v>44888.0</v>
      </c>
      <c r="L760" s="95">
        <v>1999.0</v>
      </c>
      <c r="M760" s="95" t="s">
        <v>1917</v>
      </c>
      <c r="O760" s="95">
        <v>44888.0</v>
      </c>
    </row>
    <row r="761" ht="14.25" hidden="1" customHeight="1">
      <c r="B761" s="95">
        <v>44865.0</v>
      </c>
      <c r="C761" s="95">
        <v>2309.0</v>
      </c>
      <c r="D761" s="95" t="s">
        <v>1918</v>
      </c>
      <c r="E761" s="95" t="s">
        <v>1919</v>
      </c>
      <c r="F761" s="95">
        <v>1.0</v>
      </c>
      <c r="G761" s="94">
        <v>4763.47</v>
      </c>
      <c r="M761" s="95">
        <v>4.502548213E9</v>
      </c>
      <c r="N761" s="95">
        <v>45003.0</v>
      </c>
    </row>
    <row r="762" ht="14.25" hidden="1" customHeight="1"/>
    <row r="763" ht="14.25" hidden="1" customHeight="1">
      <c r="B763" s="95">
        <v>44866.0</v>
      </c>
      <c r="C763" s="95">
        <v>2352.0</v>
      </c>
      <c r="D763" s="95" t="s">
        <v>188</v>
      </c>
      <c r="E763" s="95" t="s">
        <v>1920</v>
      </c>
      <c r="F763" s="95">
        <v>29.0</v>
      </c>
      <c r="G763" s="95">
        <v>48475.82</v>
      </c>
      <c r="H763" s="95" t="s">
        <v>1262</v>
      </c>
    </row>
    <row r="764" ht="14.25" hidden="1" customHeight="1">
      <c r="B764" s="95">
        <v>44866.0</v>
      </c>
      <c r="C764" s="95">
        <v>2352.0</v>
      </c>
      <c r="D764" s="95" t="s">
        <v>188</v>
      </c>
      <c r="E764" s="95" t="s">
        <v>1921</v>
      </c>
      <c r="F764" s="95">
        <v>25.0</v>
      </c>
      <c r="G764" s="95">
        <v>27653.75</v>
      </c>
      <c r="H764" s="95" t="s">
        <v>1262</v>
      </c>
    </row>
    <row r="765" ht="14.25" hidden="1" customHeight="1">
      <c r="B765" s="95">
        <v>44866.0</v>
      </c>
      <c r="C765" s="95">
        <v>2354.0</v>
      </c>
      <c r="D765" s="95" t="s">
        <v>53</v>
      </c>
      <c r="E765" s="95" t="s">
        <v>1922</v>
      </c>
      <c r="H765" s="95" t="s">
        <v>1262</v>
      </c>
    </row>
    <row r="766" ht="14.25" hidden="1" customHeight="1">
      <c r="B766" s="95">
        <v>44866.0</v>
      </c>
      <c r="C766" s="95">
        <v>2353.0</v>
      </c>
      <c r="D766" s="95" t="s">
        <v>44</v>
      </c>
      <c r="E766" s="95" t="s">
        <v>1923</v>
      </c>
      <c r="F766" s="95">
        <v>4.0</v>
      </c>
      <c r="G766" s="95">
        <v>13593.64</v>
      </c>
      <c r="H766" s="95" t="s">
        <v>1262</v>
      </c>
    </row>
    <row r="767" ht="14.25" hidden="1" customHeight="1">
      <c r="B767" s="95">
        <v>44866.0</v>
      </c>
      <c r="C767" s="95" t="s">
        <v>1924</v>
      </c>
      <c r="D767" s="95" t="s">
        <v>1087</v>
      </c>
      <c r="E767" s="95" t="s">
        <v>1925</v>
      </c>
      <c r="F767" s="95">
        <v>1.0</v>
      </c>
      <c r="G767" s="95">
        <v>650.0</v>
      </c>
      <c r="H767" s="95" t="s">
        <v>1262</v>
      </c>
    </row>
    <row r="768" ht="14.25" hidden="1" customHeight="1">
      <c r="B768" s="95">
        <v>44868.0</v>
      </c>
      <c r="C768" s="95">
        <v>2356.0</v>
      </c>
      <c r="D768" s="95" t="s">
        <v>690</v>
      </c>
      <c r="E768" s="95" t="s">
        <v>1926</v>
      </c>
      <c r="F768" s="95">
        <v>2.0</v>
      </c>
      <c r="G768" s="95">
        <v>50643.2</v>
      </c>
      <c r="H768" s="95" t="s">
        <v>167</v>
      </c>
      <c r="M768" s="95">
        <v>4.501399181E9</v>
      </c>
      <c r="N768" s="95">
        <v>45192.0</v>
      </c>
    </row>
    <row r="769" ht="14.25" hidden="1" customHeight="1">
      <c r="B769" s="95">
        <v>44873.0</v>
      </c>
      <c r="C769" s="95">
        <v>2359.0</v>
      </c>
      <c r="D769" s="95" t="s">
        <v>75</v>
      </c>
      <c r="E769" s="95" t="s">
        <v>1794</v>
      </c>
      <c r="F769" s="95">
        <v>5.0</v>
      </c>
      <c r="G769" s="95">
        <v>128.65</v>
      </c>
      <c r="H769" s="95" t="s">
        <v>1262</v>
      </c>
    </row>
    <row r="770" ht="14.25" hidden="1" customHeight="1">
      <c r="B770" s="95">
        <v>44873.0</v>
      </c>
      <c r="C770" s="95">
        <v>2359.0</v>
      </c>
      <c r="D770" s="95" t="s">
        <v>75</v>
      </c>
      <c r="E770" s="95" t="s">
        <v>1927</v>
      </c>
      <c r="F770" s="95">
        <v>20.0</v>
      </c>
      <c r="G770" s="95">
        <v>1289.48</v>
      </c>
      <c r="H770" s="95" t="s">
        <v>1262</v>
      </c>
    </row>
    <row r="771" ht="14.25" hidden="1" customHeight="1">
      <c r="B771" s="95">
        <v>44873.0</v>
      </c>
      <c r="C771" s="95">
        <v>2359.0</v>
      </c>
      <c r="D771" s="95" t="s">
        <v>75</v>
      </c>
      <c r="E771" s="95" t="s">
        <v>1928</v>
      </c>
      <c r="F771" s="95">
        <v>100.0</v>
      </c>
      <c r="G771" s="95">
        <v>2926.61</v>
      </c>
      <c r="H771" s="95" t="s">
        <v>1262</v>
      </c>
    </row>
    <row r="772" ht="14.25" hidden="1" customHeight="1">
      <c r="B772" s="95">
        <v>44873.0</v>
      </c>
      <c r="C772" s="95">
        <v>2359.0</v>
      </c>
      <c r="D772" s="95" t="s">
        <v>75</v>
      </c>
      <c r="E772" s="95" t="s">
        <v>1929</v>
      </c>
      <c r="F772" s="95">
        <v>1.0</v>
      </c>
      <c r="G772" s="95">
        <v>951.81</v>
      </c>
      <c r="H772" s="95" t="s">
        <v>1262</v>
      </c>
    </row>
    <row r="773" ht="14.25" hidden="1" customHeight="1">
      <c r="B773" s="95">
        <v>44887.0</v>
      </c>
      <c r="C773" s="95">
        <v>2359.0</v>
      </c>
      <c r="D773" s="95" t="s">
        <v>75</v>
      </c>
      <c r="E773" s="95" t="s">
        <v>1930</v>
      </c>
      <c r="F773" s="95">
        <v>100.0</v>
      </c>
      <c r="G773" s="95">
        <v>76.99</v>
      </c>
      <c r="H773" s="95" t="s">
        <v>1262</v>
      </c>
    </row>
    <row r="774" ht="14.25" hidden="1" customHeight="1">
      <c r="B774" s="95">
        <v>44887.0</v>
      </c>
      <c r="C774" s="95">
        <v>2359.0</v>
      </c>
      <c r="D774" s="95" t="s">
        <v>75</v>
      </c>
      <c r="E774" s="95" t="s">
        <v>1927</v>
      </c>
      <c r="F774" s="95">
        <v>100.0</v>
      </c>
      <c r="G774" s="95">
        <v>5870.91</v>
      </c>
      <c r="H774" s="95" t="s">
        <v>1262</v>
      </c>
    </row>
    <row r="775" ht="14.25" hidden="1" customHeight="1">
      <c r="B775" s="95">
        <v>44887.0</v>
      </c>
      <c r="C775" s="95">
        <v>2359.0</v>
      </c>
      <c r="D775" s="95" t="s">
        <v>75</v>
      </c>
      <c r="E775" s="95" t="s">
        <v>1584</v>
      </c>
      <c r="F775" s="95">
        <v>1.0</v>
      </c>
      <c r="G775" s="95">
        <v>796.63</v>
      </c>
      <c r="H775" s="95" t="s">
        <v>1262</v>
      </c>
    </row>
    <row r="776" ht="14.25" hidden="1" customHeight="1">
      <c r="B776" s="95">
        <v>44887.0</v>
      </c>
      <c r="C776" s="95">
        <v>2359.0</v>
      </c>
      <c r="D776" s="95" t="s">
        <v>75</v>
      </c>
      <c r="E776" s="95" t="s">
        <v>1931</v>
      </c>
      <c r="F776" s="95">
        <v>1.0</v>
      </c>
      <c r="G776" s="95">
        <v>2469.48</v>
      </c>
      <c r="H776" s="95" t="s">
        <v>1262</v>
      </c>
    </row>
    <row r="777" ht="14.25" hidden="1" customHeight="1">
      <c r="B777" s="95">
        <v>44887.0</v>
      </c>
      <c r="C777" s="95">
        <v>2359.0</v>
      </c>
      <c r="D777" s="95" t="s">
        <v>75</v>
      </c>
      <c r="E777" s="95" t="s">
        <v>1932</v>
      </c>
      <c r="F777" s="95">
        <v>150.0</v>
      </c>
      <c r="G777" s="95">
        <v>870.0</v>
      </c>
      <c r="H777" s="95" t="s">
        <v>1262</v>
      </c>
    </row>
    <row r="778" ht="14.25" hidden="1" customHeight="1">
      <c r="B778" s="95">
        <v>44873.0</v>
      </c>
      <c r="C778" s="95">
        <v>2360.0</v>
      </c>
      <c r="D778" s="95" t="s">
        <v>222</v>
      </c>
      <c r="E778" s="95" t="s">
        <v>1809</v>
      </c>
      <c r="F778" s="95">
        <v>1.0</v>
      </c>
      <c r="G778" s="95">
        <v>285.25</v>
      </c>
      <c r="H778" s="95" t="s">
        <v>180</v>
      </c>
      <c r="J778" s="95">
        <v>285.25</v>
      </c>
      <c r="K778" s="95">
        <v>44882.0</v>
      </c>
      <c r="L778" s="95">
        <v>1994.0</v>
      </c>
      <c r="M778" s="95">
        <v>4.503545038E9</v>
      </c>
      <c r="N778" s="95">
        <v>44879.0</v>
      </c>
      <c r="O778" s="95">
        <v>44912.0</v>
      </c>
    </row>
    <row r="779" ht="14.25" customHeight="1">
      <c r="B779" s="95">
        <v>44875.0</v>
      </c>
      <c r="C779" s="95">
        <v>2362.0</v>
      </c>
      <c r="D779" s="95" t="s">
        <v>188</v>
      </c>
      <c r="E779" s="95" t="s">
        <v>1933</v>
      </c>
      <c r="F779" s="95">
        <v>5.0</v>
      </c>
      <c r="G779" s="94">
        <v>12399.54</v>
      </c>
      <c r="H779" s="95" t="s">
        <v>1560</v>
      </c>
      <c r="I779" s="95" t="s">
        <v>1934</v>
      </c>
      <c r="M779" s="95">
        <v>4.400571959E9</v>
      </c>
      <c r="N779" s="95">
        <v>45101.0</v>
      </c>
    </row>
    <row r="780" ht="14.25" hidden="1" customHeight="1">
      <c r="B780" s="95">
        <v>44875.0</v>
      </c>
      <c r="C780" s="95">
        <v>2363.0</v>
      </c>
      <c r="D780" s="95" t="s">
        <v>44</v>
      </c>
      <c r="E780" s="95" t="s">
        <v>1935</v>
      </c>
      <c r="F780" s="95">
        <v>1.0</v>
      </c>
      <c r="G780" s="95">
        <v>4164.52</v>
      </c>
      <c r="H780" s="95" t="s">
        <v>1262</v>
      </c>
    </row>
    <row r="781" ht="14.25" hidden="1" customHeight="1">
      <c r="B781" s="95">
        <v>44875.0</v>
      </c>
      <c r="C781" s="95">
        <v>2364.0</v>
      </c>
      <c r="D781" s="95" t="s">
        <v>44</v>
      </c>
      <c r="E781" s="95" t="s">
        <v>1915</v>
      </c>
      <c r="F781" s="95">
        <v>54.0</v>
      </c>
      <c r="G781" s="95">
        <v>952.04</v>
      </c>
      <c r="H781" s="95" t="s">
        <v>180</v>
      </c>
      <c r="J781" s="95">
        <v>952.04</v>
      </c>
      <c r="K781" s="95">
        <v>44896.0</v>
      </c>
      <c r="L781" s="95">
        <v>2004.0</v>
      </c>
      <c r="M781" s="95">
        <v>4.501635503E9</v>
      </c>
      <c r="N781" s="95">
        <v>44896.0</v>
      </c>
      <c r="O781" s="95">
        <v>44927.0</v>
      </c>
    </row>
    <row r="782" ht="14.25" hidden="1" customHeight="1">
      <c r="B782" s="95">
        <v>44875.0</v>
      </c>
      <c r="C782" s="95">
        <v>2365.0</v>
      </c>
      <c r="D782" s="95" t="s">
        <v>44</v>
      </c>
      <c r="E782" s="95" t="s">
        <v>1936</v>
      </c>
      <c r="F782" s="95">
        <v>104.0</v>
      </c>
      <c r="G782" s="95">
        <v>2982.99</v>
      </c>
      <c r="H782" s="95" t="s">
        <v>180</v>
      </c>
      <c r="J782" s="95">
        <v>2982.99</v>
      </c>
      <c r="K782" s="95">
        <v>44907.0</v>
      </c>
      <c r="L782" s="95">
        <v>2012.0</v>
      </c>
      <c r="M782" s="95">
        <v>4.50163462E9</v>
      </c>
      <c r="N782" s="95">
        <v>44895.0</v>
      </c>
      <c r="O782" s="95">
        <v>44946.0</v>
      </c>
    </row>
    <row r="783" ht="14.25" hidden="1" customHeight="1">
      <c r="B783" s="95">
        <v>44875.0</v>
      </c>
      <c r="C783" s="95">
        <v>2365.0</v>
      </c>
      <c r="D783" s="95" t="s">
        <v>44</v>
      </c>
      <c r="E783" s="95" t="s">
        <v>1937</v>
      </c>
      <c r="F783" s="95">
        <v>33.0</v>
      </c>
      <c r="G783" s="95">
        <v>433.58</v>
      </c>
      <c r="H783" s="95" t="s">
        <v>180</v>
      </c>
      <c r="J783" s="95">
        <v>433.58</v>
      </c>
      <c r="K783" s="95">
        <v>44931.0</v>
      </c>
      <c r="L783" s="95">
        <v>2028.0</v>
      </c>
      <c r="M783" s="95">
        <v>4.50163462E9</v>
      </c>
      <c r="N783" s="95">
        <v>44925.0</v>
      </c>
      <c r="O783" s="95">
        <v>44967.0</v>
      </c>
    </row>
    <row r="784" ht="14.25" hidden="1" customHeight="1">
      <c r="B784" s="95">
        <v>44875.0</v>
      </c>
      <c r="C784" s="95">
        <v>2365.0</v>
      </c>
      <c r="D784" s="95" t="s">
        <v>44</v>
      </c>
      <c r="E784" s="95" t="s">
        <v>1884</v>
      </c>
      <c r="F784" s="95">
        <v>100.0</v>
      </c>
      <c r="G784" s="95">
        <v>1338.64</v>
      </c>
      <c r="H784" s="95" t="s">
        <v>180</v>
      </c>
      <c r="J784" s="95">
        <v>1338.64</v>
      </c>
      <c r="K784" s="95">
        <v>44907.0</v>
      </c>
      <c r="L784" s="95">
        <v>2012.0</v>
      </c>
      <c r="M784" s="95">
        <v>4.50163462E9</v>
      </c>
      <c r="N784" s="95">
        <v>44895.0</v>
      </c>
      <c r="O784" s="95">
        <v>44946.0</v>
      </c>
    </row>
    <row r="785" ht="14.25" hidden="1" customHeight="1">
      <c r="B785" s="95">
        <v>44875.0</v>
      </c>
      <c r="C785" s="95">
        <v>2366.0</v>
      </c>
      <c r="D785" s="95" t="s">
        <v>44</v>
      </c>
      <c r="E785" s="95" t="s">
        <v>1715</v>
      </c>
      <c r="F785" s="95">
        <v>11.0</v>
      </c>
      <c r="G785" s="95">
        <v>9457.25</v>
      </c>
      <c r="H785" s="95" t="s">
        <v>180</v>
      </c>
      <c r="J785" s="95">
        <v>9457.25</v>
      </c>
      <c r="K785" s="95">
        <v>44896.0</v>
      </c>
      <c r="L785" s="95">
        <v>2006.0</v>
      </c>
      <c r="M785" s="95">
        <v>4.501638866E9</v>
      </c>
      <c r="N785" s="95">
        <v>44903.0</v>
      </c>
      <c r="O785" s="95">
        <v>44927.0</v>
      </c>
    </row>
    <row r="786" ht="14.25" hidden="1" customHeight="1">
      <c r="B786" s="95">
        <v>44875.0</v>
      </c>
      <c r="C786" s="95">
        <v>2366.0</v>
      </c>
      <c r="D786" s="95" t="s">
        <v>44</v>
      </c>
      <c r="E786" s="95" t="s">
        <v>1767</v>
      </c>
      <c r="F786" s="95">
        <v>5.0</v>
      </c>
      <c r="G786" s="95">
        <v>7069.74</v>
      </c>
      <c r="H786" s="95" t="s">
        <v>180</v>
      </c>
      <c r="J786" s="95">
        <v>7069.74</v>
      </c>
      <c r="K786" s="95">
        <v>44896.0</v>
      </c>
      <c r="L786" s="95">
        <v>2006.0</v>
      </c>
      <c r="M786" s="95">
        <v>4.501638866E9</v>
      </c>
      <c r="N786" s="95">
        <v>44903.0</v>
      </c>
      <c r="O786" s="95">
        <v>44927.0</v>
      </c>
    </row>
    <row r="787" ht="14.25" hidden="1" customHeight="1">
      <c r="B787" s="95">
        <v>44875.0</v>
      </c>
      <c r="C787" s="95">
        <v>2366.0</v>
      </c>
      <c r="D787" s="95" t="s">
        <v>44</v>
      </c>
      <c r="E787" s="95" t="s">
        <v>1768</v>
      </c>
      <c r="F787" s="95">
        <v>5.0</v>
      </c>
      <c r="G787" s="95">
        <v>7079.32</v>
      </c>
      <c r="H787" s="95" t="s">
        <v>180</v>
      </c>
      <c r="J787" s="95">
        <v>7079.32</v>
      </c>
      <c r="K787" s="95">
        <v>44896.0</v>
      </c>
      <c r="L787" s="95">
        <v>2006.0</v>
      </c>
      <c r="M787" s="95">
        <v>4.501638866E9</v>
      </c>
      <c r="N787" s="95">
        <v>44903.0</v>
      </c>
      <c r="O787" s="95">
        <v>44927.0</v>
      </c>
    </row>
    <row r="788" ht="14.25" hidden="1" customHeight="1">
      <c r="B788" s="95">
        <v>44875.0</v>
      </c>
      <c r="C788" s="95">
        <v>2366.0</v>
      </c>
      <c r="D788" s="95" t="s">
        <v>44</v>
      </c>
      <c r="E788" s="95" t="s">
        <v>1938</v>
      </c>
      <c r="F788" s="95">
        <v>5.0</v>
      </c>
      <c r="G788" s="95">
        <v>7356.98</v>
      </c>
      <c r="H788" s="95" t="s">
        <v>180</v>
      </c>
      <c r="J788" s="95">
        <v>7356.98</v>
      </c>
      <c r="K788" s="95">
        <v>44896.0</v>
      </c>
      <c r="L788" s="95">
        <v>2006.0</v>
      </c>
      <c r="M788" s="95">
        <v>4.501638866E9</v>
      </c>
      <c r="N788" s="95">
        <v>44903.0</v>
      </c>
      <c r="O788" s="95">
        <v>44927.0</v>
      </c>
    </row>
    <row r="789" ht="14.25" hidden="1" customHeight="1">
      <c r="B789" s="95">
        <v>44875.0</v>
      </c>
      <c r="C789" s="95">
        <v>2366.0</v>
      </c>
      <c r="D789" s="95" t="s">
        <v>44</v>
      </c>
      <c r="E789" s="95" t="s">
        <v>1939</v>
      </c>
      <c r="F789" s="95">
        <v>10.0</v>
      </c>
      <c r="G789" s="95">
        <v>13722.71</v>
      </c>
      <c r="H789" s="95" t="s">
        <v>180</v>
      </c>
      <c r="J789" s="95">
        <v>13722.71</v>
      </c>
      <c r="K789" s="95">
        <v>44896.0</v>
      </c>
      <c r="L789" s="95">
        <v>2006.0</v>
      </c>
      <c r="M789" s="95">
        <v>4.501638866E9</v>
      </c>
      <c r="N789" s="95">
        <v>44903.0</v>
      </c>
      <c r="O789" s="95">
        <v>44927.0</v>
      </c>
    </row>
    <row r="790" ht="14.25" hidden="1" customHeight="1">
      <c r="B790" s="95">
        <v>44875.0</v>
      </c>
      <c r="C790" s="95">
        <v>2366.0</v>
      </c>
      <c r="D790" s="95" t="s">
        <v>44</v>
      </c>
      <c r="E790" s="95" t="s">
        <v>1940</v>
      </c>
      <c r="F790" s="95">
        <v>1.0</v>
      </c>
      <c r="G790" s="95">
        <v>17700.0</v>
      </c>
      <c r="H790" s="95" t="s">
        <v>180</v>
      </c>
      <c r="J790" s="95">
        <v>17700.0</v>
      </c>
      <c r="K790" s="95">
        <v>44896.0</v>
      </c>
      <c r="L790" s="95">
        <v>2006.0</v>
      </c>
      <c r="M790" s="95">
        <v>4.501638866E9</v>
      </c>
      <c r="N790" s="95">
        <v>44903.0</v>
      </c>
      <c r="O790" s="95">
        <v>44927.0</v>
      </c>
    </row>
    <row r="791" ht="14.25" hidden="1" customHeight="1">
      <c r="B791" s="95">
        <v>44875.0</v>
      </c>
      <c r="C791" s="95">
        <v>2366.0</v>
      </c>
      <c r="D791" s="95" t="s">
        <v>44</v>
      </c>
      <c r="E791" s="95" t="s">
        <v>1897</v>
      </c>
      <c r="F791" s="95">
        <v>180.0</v>
      </c>
      <c r="G791" s="95">
        <v>4378.13</v>
      </c>
      <c r="H791" s="95" t="s">
        <v>180</v>
      </c>
      <c r="J791" s="95">
        <v>4378.13</v>
      </c>
      <c r="K791" s="95">
        <v>44896.0</v>
      </c>
      <c r="L791" s="95">
        <v>2006.0</v>
      </c>
      <c r="M791" s="95">
        <v>4.501638866E9</v>
      </c>
      <c r="N791" s="95">
        <v>44903.0</v>
      </c>
      <c r="O791" s="95">
        <v>44927.0</v>
      </c>
    </row>
    <row r="792" ht="14.25" hidden="1" customHeight="1">
      <c r="B792" s="95">
        <v>44875.0</v>
      </c>
      <c r="C792" s="95">
        <v>2366.0</v>
      </c>
      <c r="D792" s="95" t="s">
        <v>44</v>
      </c>
      <c r="E792" s="95" t="s">
        <v>1941</v>
      </c>
      <c r="F792" s="95">
        <v>114.0</v>
      </c>
      <c r="G792" s="95">
        <v>1284.88</v>
      </c>
      <c r="H792" s="95" t="s">
        <v>180</v>
      </c>
      <c r="J792" s="95">
        <v>1284.88</v>
      </c>
      <c r="K792" s="95">
        <v>44896.0</v>
      </c>
      <c r="L792" s="95">
        <v>2006.0</v>
      </c>
      <c r="M792" s="95">
        <v>4.501638866E9</v>
      </c>
      <c r="N792" s="95">
        <v>44903.0</v>
      </c>
      <c r="O792" s="95">
        <v>44927.0</v>
      </c>
    </row>
    <row r="793" ht="14.25" hidden="1" customHeight="1">
      <c r="B793" s="95">
        <v>44875.0</v>
      </c>
      <c r="C793" s="95">
        <v>2402.0</v>
      </c>
      <c r="D793" s="95" t="s">
        <v>44</v>
      </c>
      <c r="E793" s="95" t="s">
        <v>1942</v>
      </c>
      <c r="F793" s="95">
        <v>150.0</v>
      </c>
      <c r="G793" s="94">
        <v>19426.94</v>
      </c>
      <c r="M793" s="95">
        <v>4.501638866E9</v>
      </c>
      <c r="N793" s="95">
        <v>44918.0</v>
      </c>
    </row>
    <row r="794" ht="14.25" hidden="1" customHeight="1">
      <c r="B794" s="95">
        <v>44876.0</v>
      </c>
      <c r="C794" s="95">
        <v>2367.0</v>
      </c>
      <c r="D794" s="95" t="s">
        <v>19</v>
      </c>
      <c r="E794" s="95" t="s">
        <v>1943</v>
      </c>
      <c r="F794" s="95">
        <v>1.0</v>
      </c>
      <c r="G794" s="95">
        <v>8194.58</v>
      </c>
      <c r="H794" s="95" t="s">
        <v>180</v>
      </c>
      <c r="I794" s="95" t="s">
        <v>1944</v>
      </c>
      <c r="J794" s="95">
        <v>8194.58</v>
      </c>
      <c r="K794" s="95">
        <v>44888.0</v>
      </c>
      <c r="L794" s="95">
        <v>1998.0</v>
      </c>
      <c r="M794" s="95">
        <v>4.50041432E9</v>
      </c>
      <c r="O794" s="95">
        <v>44918.0</v>
      </c>
    </row>
    <row r="795" ht="14.25" customHeight="1">
      <c r="B795" s="95">
        <v>44876.0</v>
      </c>
      <c r="C795" s="95">
        <v>2367.0</v>
      </c>
      <c r="D795" s="95" t="s">
        <v>19</v>
      </c>
      <c r="E795" s="95" t="s">
        <v>1943</v>
      </c>
      <c r="F795" s="95">
        <v>1.0</v>
      </c>
      <c r="G795" s="94">
        <v>8194.58</v>
      </c>
      <c r="H795" s="95" t="s">
        <v>1560</v>
      </c>
      <c r="M795" s="95">
        <v>4.50041432E9</v>
      </c>
      <c r="N795" s="95">
        <v>45002.0</v>
      </c>
    </row>
    <row r="796" ht="14.25" hidden="1" customHeight="1">
      <c r="B796" s="95">
        <v>44876.0</v>
      </c>
      <c r="C796" s="95">
        <v>2368.0</v>
      </c>
      <c r="D796" s="95" t="s">
        <v>77</v>
      </c>
      <c r="E796" s="95" t="s">
        <v>1715</v>
      </c>
      <c r="F796" s="95">
        <v>11.0</v>
      </c>
      <c r="G796" s="95">
        <v>9457.24</v>
      </c>
      <c r="H796" s="95" t="s">
        <v>1262</v>
      </c>
    </row>
    <row r="797" ht="14.25" hidden="1" customHeight="1">
      <c r="B797" s="95">
        <v>44876.0</v>
      </c>
      <c r="C797" s="95">
        <v>2368.0</v>
      </c>
      <c r="D797" s="95" t="s">
        <v>77</v>
      </c>
      <c r="E797" s="95" t="s">
        <v>1767</v>
      </c>
      <c r="F797" s="95">
        <v>5.0</v>
      </c>
      <c r="G797" s="95">
        <v>7069.73</v>
      </c>
      <c r="H797" s="95" t="s">
        <v>1262</v>
      </c>
    </row>
    <row r="798" ht="14.25" hidden="1" customHeight="1">
      <c r="B798" s="95">
        <v>44876.0</v>
      </c>
      <c r="C798" s="95">
        <v>2368.0</v>
      </c>
      <c r="D798" s="95" t="s">
        <v>77</v>
      </c>
      <c r="E798" s="95" t="s">
        <v>1768</v>
      </c>
      <c r="F798" s="95">
        <v>5.0</v>
      </c>
      <c r="G798" s="95">
        <v>7079.29</v>
      </c>
      <c r="H798" s="95" t="s">
        <v>1262</v>
      </c>
    </row>
    <row r="799" ht="14.25" hidden="1" customHeight="1">
      <c r="B799" s="95">
        <v>44876.0</v>
      </c>
      <c r="C799" s="95">
        <v>2368.0</v>
      </c>
      <c r="D799" s="95" t="s">
        <v>77</v>
      </c>
      <c r="E799" s="95" t="s">
        <v>1938</v>
      </c>
      <c r="F799" s="95">
        <v>5.0</v>
      </c>
      <c r="G799" s="95">
        <v>7357.02</v>
      </c>
      <c r="H799" s="95" t="s">
        <v>1262</v>
      </c>
    </row>
    <row r="800" ht="14.25" hidden="1" customHeight="1">
      <c r="B800" s="95">
        <v>44876.0</v>
      </c>
      <c r="C800" s="95">
        <v>2368.0</v>
      </c>
      <c r="D800" s="95" t="s">
        <v>77</v>
      </c>
      <c r="E800" s="95" t="s">
        <v>1939</v>
      </c>
      <c r="F800" s="95">
        <v>5.0</v>
      </c>
      <c r="G800" s="95">
        <v>13722.67</v>
      </c>
      <c r="H800" s="95" t="s">
        <v>1262</v>
      </c>
    </row>
    <row r="801" ht="14.25" hidden="1" customHeight="1">
      <c r="B801" s="95">
        <v>44876.0</v>
      </c>
      <c r="C801" s="95">
        <v>2368.0</v>
      </c>
      <c r="D801" s="95" t="s">
        <v>77</v>
      </c>
      <c r="E801" s="95" t="s">
        <v>1940</v>
      </c>
      <c r="F801" s="95">
        <v>1.0</v>
      </c>
      <c r="G801" s="95">
        <v>17700.0</v>
      </c>
      <c r="H801" s="95" t="s">
        <v>1262</v>
      </c>
    </row>
    <row r="802" ht="14.25" hidden="1" customHeight="1">
      <c r="B802" s="95">
        <v>44876.0</v>
      </c>
      <c r="C802" s="95">
        <v>2368.0</v>
      </c>
      <c r="D802" s="95" t="s">
        <v>77</v>
      </c>
      <c r="E802" s="95" t="s">
        <v>1897</v>
      </c>
      <c r="F802" s="95">
        <v>180.0</v>
      </c>
      <c r="G802" s="95">
        <v>4376.66</v>
      </c>
      <c r="H802" s="95" t="s">
        <v>1262</v>
      </c>
    </row>
    <row r="803" ht="14.25" hidden="1" customHeight="1">
      <c r="B803" s="95">
        <v>44876.0</v>
      </c>
      <c r="C803" s="95">
        <v>2368.0</v>
      </c>
      <c r="D803" s="95" t="s">
        <v>77</v>
      </c>
      <c r="E803" s="95" t="s">
        <v>1941</v>
      </c>
      <c r="F803" s="95">
        <v>114.0</v>
      </c>
      <c r="G803" s="95">
        <v>1284.14</v>
      </c>
      <c r="H803" s="95" t="s">
        <v>1262</v>
      </c>
    </row>
    <row r="804" ht="14.25" hidden="1" customHeight="1">
      <c r="B804" s="95">
        <v>44876.0</v>
      </c>
      <c r="C804" s="95">
        <v>2368.0</v>
      </c>
      <c r="D804" s="95" t="s">
        <v>77</v>
      </c>
      <c r="E804" s="95" t="s">
        <v>1942</v>
      </c>
      <c r="F804" s="95">
        <v>150.0</v>
      </c>
      <c r="G804" s="95">
        <v>19426.94</v>
      </c>
      <c r="H804" s="95" t="s">
        <v>1262</v>
      </c>
    </row>
    <row r="805" ht="14.25" hidden="1" customHeight="1">
      <c r="B805" s="95">
        <v>44876.0</v>
      </c>
      <c r="C805" s="95">
        <v>2369.0</v>
      </c>
      <c r="D805" s="95" t="s">
        <v>44</v>
      </c>
      <c r="E805" s="95" t="s">
        <v>1945</v>
      </c>
      <c r="F805" s="95">
        <v>1.0</v>
      </c>
      <c r="G805" s="95">
        <v>1832.2</v>
      </c>
      <c r="H805" s="95" t="s">
        <v>180</v>
      </c>
      <c r="J805" s="95">
        <v>1832.2</v>
      </c>
      <c r="K805" s="95">
        <v>44896.0</v>
      </c>
      <c r="L805" s="95">
        <v>2005.0</v>
      </c>
      <c r="M805" s="95">
        <v>4.501638416E9</v>
      </c>
      <c r="N805" s="95">
        <v>44902.0</v>
      </c>
      <c r="O805" s="95">
        <v>44927.0</v>
      </c>
    </row>
    <row r="806" ht="14.25" hidden="1" customHeight="1">
      <c r="B806" s="95">
        <v>44876.0</v>
      </c>
      <c r="C806" s="95">
        <v>2369.0</v>
      </c>
      <c r="D806" s="95" t="s">
        <v>44</v>
      </c>
      <c r="E806" s="95" t="s">
        <v>837</v>
      </c>
      <c r="F806" s="95">
        <v>2.0</v>
      </c>
      <c r="G806" s="95">
        <v>2542.06</v>
      </c>
      <c r="H806" s="95" t="s">
        <v>180</v>
      </c>
      <c r="J806" s="95">
        <v>2542.06</v>
      </c>
      <c r="K806" s="95">
        <v>44896.0</v>
      </c>
      <c r="L806" s="95">
        <v>2005.0</v>
      </c>
      <c r="M806" s="95">
        <v>4.501638416E9</v>
      </c>
      <c r="O806" s="95">
        <v>44927.0</v>
      </c>
    </row>
    <row r="807" ht="14.25" customHeight="1">
      <c r="B807" s="95">
        <v>44876.0</v>
      </c>
      <c r="C807" s="95">
        <v>2369.0</v>
      </c>
      <c r="D807" s="95" t="s">
        <v>44</v>
      </c>
      <c r="E807" s="95" t="s">
        <v>837</v>
      </c>
      <c r="F807" s="95">
        <v>5.0</v>
      </c>
      <c r="G807" s="94">
        <v>6355.13</v>
      </c>
      <c r="H807" s="95" t="s">
        <v>1560</v>
      </c>
      <c r="M807" s="95">
        <v>4.501638416E9</v>
      </c>
      <c r="N807" s="95">
        <v>44977.0</v>
      </c>
    </row>
    <row r="808" ht="14.25" hidden="1" customHeight="1">
      <c r="B808" s="95">
        <v>44879.0</v>
      </c>
      <c r="C808" s="95">
        <v>2371.0</v>
      </c>
      <c r="D808" s="95" t="s">
        <v>1946</v>
      </c>
      <c r="E808" s="95" t="s">
        <v>1947</v>
      </c>
      <c r="F808" s="95">
        <v>1.0</v>
      </c>
      <c r="G808" s="95">
        <v>2451.67</v>
      </c>
      <c r="H808" s="95" t="s">
        <v>1262</v>
      </c>
      <c r="I808" s="95" t="s">
        <v>1948</v>
      </c>
    </row>
    <row r="809" ht="14.25" hidden="1" customHeight="1">
      <c r="B809" s="95">
        <v>44881.0</v>
      </c>
      <c r="C809" s="95">
        <v>2372.0</v>
      </c>
      <c r="D809" s="95" t="s">
        <v>19</v>
      </c>
      <c r="E809" s="95" t="s">
        <v>221</v>
      </c>
      <c r="F809" s="95">
        <v>7.0</v>
      </c>
      <c r="G809" s="95">
        <v>6499.66</v>
      </c>
      <c r="H809" s="95" t="s">
        <v>1262</v>
      </c>
      <c r="I809" s="95" t="s">
        <v>1949</v>
      </c>
    </row>
    <row r="810" ht="14.25" hidden="1" customHeight="1">
      <c r="B810" s="95">
        <v>44881.0</v>
      </c>
      <c r="C810" s="95">
        <v>2372.0</v>
      </c>
      <c r="D810" s="95" t="s">
        <v>19</v>
      </c>
      <c r="E810" s="95" t="s">
        <v>168</v>
      </c>
      <c r="F810" s="95">
        <v>9.0</v>
      </c>
      <c r="G810" s="95">
        <v>8722.92</v>
      </c>
      <c r="H810" s="95" t="s">
        <v>1262</v>
      </c>
    </row>
    <row r="811" ht="14.25" hidden="1" customHeight="1">
      <c r="B811" s="95">
        <v>44882.0</v>
      </c>
      <c r="C811" s="95">
        <v>2376.0</v>
      </c>
      <c r="D811" s="95" t="s">
        <v>44</v>
      </c>
      <c r="E811" s="95" t="s">
        <v>1950</v>
      </c>
      <c r="F811" s="95">
        <v>1.0</v>
      </c>
      <c r="G811" s="95">
        <v>6744.25</v>
      </c>
      <c r="H811" s="95" t="s">
        <v>1262</v>
      </c>
      <c r="I811" s="95" t="s">
        <v>1951</v>
      </c>
    </row>
    <row r="812" ht="14.25" hidden="1" customHeight="1">
      <c r="B812" s="95">
        <v>44883.0</v>
      </c>
      <c r="C812" s="95">
        <v>2377.0</v>
      </c>
      <c r="D812" s="95" t="s">
        <v>19</v>
      </c>
      <c r="E812" s="95" t="s">
        <v>825</v>
      </c>
      <c r="F812" s="95">
        <v>2.0</v>
      </c>
      <c r="G812" s="95">
        <v>3000.28</v>
      </c>
      <c r="H812" s="95" t="s">
        <v>180</v>
      </c>
      <c r="J812" s="95">
        <v>3000.28</v>
      </c>
      <c r="K812" s="95">
        <v>44895.0</v>
      </c>
      <c r="L812" s="95">
        <v>2003.0</v>
      </c>
      <c r="M812" s="95">
        <v>4.500415715E9</v>
      </c>
      <c r="N812" s="95">
        <v>44897.0</v>
      </c>
      <c r="O812" s="95">
        <v>44927.0</v>
      </c>
    </row>
    <row r="813" ht="14.25" hidden="1" customHeight="1">
      <c r="B813" s="95">
        <v>44886.0</v>
      </c>
      <c r="C813" s="95">
        <v>2379.0</v>
      </c>
      <c r="D813" s="95" t="s">
        <v>44</v>
      </c>
      <c r="E813" s="95" t="s">
        <v>1952</v>
      </c>
      <c r="F813" s="95">
        <v>4.0</v>
      </c>
      <c r="G813" s="95">
        <v>159600.0</v>
      </c>
      <c r="H813" s="95" t="s">
        <v>1262</v>
      </c>
      <c r="I813" s="95" t="s">
        <v>1953</v>
      </c>
    </row>
    <row r="814" ht="14.25" hidden="1" customHeight="1">
      <c r="B814" s="95">
        <v>44886.0</v>
      </c>
      <c r="C814" s="95">
        <v>2381.0</v>
      </c>
      <c r="D814" s="95" t="s">
        <v>77</v>
      </c>
      <c r="E814" s="95" t="s">
        <v>1427</v>
      </c>
      <c r="F814" s="95">
        <v>2.0</v>
      </c>
      <c r="G814" s="95">
        <v>3000.28</v>
      </c>
      <c r="H814" s="95" t="s">
        <v>1262</v>
      </c>
    </row>
    <row r="815" ht="14.25" hidden="1" customHeight="1">
      <c r="B815" s="95">
        <v>44886.0</v>
      </c>
      <c r="C815" s="95">
        <v>2380.0</v>
      </c>
      <c r="D815" s="95" t="s">
        <v>1954</v>
      </c>
      <c r="E815" s="95" t="s">
        <v>1955</v>
      </c>
      <c r="F815" s="95">
        <v>1.0</v>
      </c>
      <c r="G815" s="95">
        <v>22687.75</v>
      </c>
      <c r="H815" s="95" t="s">
        <v>1262</v>
      </c>
    </row>
    <row r="816" ht="14.25" hidden="1" customHeight="1">
      <c r="B816" s="95">
        <v>44886.0</v>
      </c>
      <c r="C816" s="95">
        <v>2382.0</v>
      </c>
      <c r="D816" s="95" t="s">
        <v>44</v>
      </c>
      <c r="E816" s="95" t="s">
        <v>1956</v>
      </c>
      <c r="F816" s="95">
        <v>1.0</v>
      </c>
      <c r="G816" s="95">
        <v>973.74</v>
      </c>
      <c r="H816" s="95" t="s">
        <v>1262</v>
      </c>
    </row>
    <row r="817" ht="14.25" hidden="1" customHeight="1">
      <c r="B817" s="95">
        <v>44886.0</v>
      </c>
      <c r="C817" s="95">
        <v>2382.0</v>
      </c>
      <c r="D817" s="95" t="s">
        <v>44</v>
      </c>
      <c r="E817" s="95" t="s">
        <v>1957</v>
      </c>
      <c r="F817" s="95">
        <v>1.0</v>
      </c>
      <c r="G817" s="95">
        <v>6022.44</v>
      </c>
      <c r="H817" s="95" t="s">
        <v>1262</v>
      </c>
    </row>
    <row r="818" ht="14.25" hidden="1" customHeight="1">
      <c r="B818" s="95">
        <v>44886.0</v>
      </c>
      <c r="C818" s="95">
        <v>2382.0</v>
      </c>
      <c r="D818" s="95" t="s">
        <v>44</v>
      </c>
      <c r="E818" s="95" t="s">
        <v>1429</v>
      </c>
      <c r="F818" s="95">
        <v>2.0</v>
      </c>
      <c r="G818" s="95">
        <v>7474.15</v>
      </c>
      <c r="H818" s="95" t="s">
        <v>1262</v>
      </c>
    </row>
    <row r="819" ht="14.25" hidden="1" customHeight="1">
      <c r="B819" s="95">
        <v>44886.0</v>
      </c>
      <c r="C819" s="95">
        <v>2384.0</v>
      </c>
      <c r="D819" s="95" t="s">
        <v>44</v>
      </c>
      <c r="E819" s="95" t="s">
        <v>1956</v>
      </c>
      <c r="F819" s="95">
        <v>2.0</v>
      </c>
      <c r="G819" s="95">
        <v>1947.48</v>
      </c>
      <c r="H819" s="95" t="s">
        <v>1262</v>
      </c>
    </row>
    <row r="820" ht="14.25" hidden="1" customHeight="1">
      <c r="B820" s="95">
        <v>44886.0</v>
      </c>
      <c r="C820" s="95">
        <v>2384.0</v>
      </c>
      <c r="D820" s="95" t="s">
        <v>44</v>
      </c>
      <c r="E820" s="95" t="s">
        <v>1956</v>
      </c>
      <c r="F820" s="95">
        <v>4.0</v>
      </c>
      <c r="G820" s="95">
        <v>3894.96</v>
      </c>
      <c r="H820" s="95" t="s">
        <v>1262</v>
      </c>
    </row>
    <row r="821" ht="14.25" hidden="1" customHeight="1">
      <c r="B821" s="95">
        <v>44887.0</v>
      </c>
      <c r="C821" s="95">
        <v>2387.0</v>
      </c>
      <c r="D821" s="95" t="s">
        <v>77</v>
      </c>
      <c r="E821" s="95" t="s">
        <v>1956</v>
      </c>
      <c r="F821" s="95">
        <v>1.0</v>
      </c>
      <c r="G821" s="95">
        <v>973.74</v>
      </c>
      <c r="H821" s="95" t="s">
        <v>1262</v>
      </c>
    </row>
    <row r="822" ht="14.25" hidden="1" customHeight="1">
      <c r="B822" s="95">
        <v>44887.0</v>
      </c>
      <c r="C822" s="95">
        <v>2387.0</v>
      </c>
      <c r="D822" s="95" t="s">
        <v>77</v>
      </c>
      <c r="E822" s="95" t="s">
        <v>1957</v>
      </c>
      <c r="F822" s="95">
        <v>1.0</v>
      </c>
      <c r="G822" s="95">
        <v>6022.44</v>
      </c>
      <c r="H822" s="95" t="s">
        <v>1262</v>
      </c>
    </row>
    <row r="823" ht="14.25" hidden="1" customHeight="1">
      <c r="B823" s="95">
        <v>44887.0</v>
      </c>
      <c r="C823" s="95">
        <v>2387.0</v>
      </c>
      <c r="D823" s="95" t="s">
        <v>77</v>
      </c>
      <c r="E823" s="95" t="s">
        <v>1429</v>
      </c>
      <c r="F823" s="95">
        <v>2.0</v>
      </c>
      <c r="G823" s="95">
        <v>7474.15</v>
      </c>
      <c r="H823" s="95" t="s">
        <v>1262</v>
      </c>
    </row>
    <row r="824" ht="14.25" hidden="1" customHeight="1">
      <c r="B824" s="95">
        <v>44888.0</v>
      </c>
      <c r="C824" s="95">
        <v>2393.0</v>
      </c>
      <c r="D824" s="95" t="s">
        <v>1958</v>
      </c>
      <c r="E824" s="95" t="s">
        <v>1959</v>
      </c>
      <c r="F824" s="95">
        <v>3.0</v>
      </c>
      <c r="G824" s="95">
        <v>553.17</v>
      </c>
      <c r="H824" s="95" t="s">
        <v>1262</v>
      </c>
      <c r="I824" s="95" t="s">
        <v>1960</v>
      </c>
    </row>
    <row r="825" ht="14.25" hidden="1" customHeight="1">
      <c r="B825" s="95">
        <v>44888.0</v>
      </c>
      <c r="C825" s="95">
        <v>2393.0</v>
      </c>
      <c r="D825" s="95" t="s">
        <v>1958</v>
      </c>
      <c r="E825" s="95" t="s">
        <v>1961</v>
      </c>
      <c r="F825" s="95">
        <v>5.0</v>
      </c>
      <c r="G825" s="95">
        <v>4302.56</v>
      </c>
      <c r="H825" s="95" t="s">
        <v>1262</v>
      </c>
      <c r="I825" s="95" t="s">
        <v>1962</v>
      </c>
    </row>
    <row r="826" ht="14.25" hidden="1" customHeight="1">
      <c r="B826" s="95">
        <v>44888.0</v>
      </c>
      <c r="C826" s="95">
        <v>2393.0</v>
      </c>
      <c r="D826" s="95" t="s">
        <v>1958</v>
      </c>
      <c r="E826" s="95" t="s">
        <v>1963</v>
      </c>
      <c r="F826" s="95">
        <v>5.0</v>
      </c>
      <c r="G826" s="95">
        <v>2930.15</v>
      </c>
      <c r="H826" s="95" t="s">
        <v>1262</v>
      </c>
    </row>
    <row r="827" ht="14.25" hidden="1" customHeight="1">
      <c r="B827" s="95">
        <v>44888.0</v>
      </c>
      <c r="C827" s="95">
        <v>2393.0</v>
      </c>
      <c r="D827" s="95" t="s">
        <v>1958</v>
      </c>
      <c r="E827" s="95" t="s">
        <v>1964</v>
      </c>
      <c r="F827" s="95">
        <v>1.0</v>
      </c>
      <c r="G827" s="95">
        <v>219.12</v>
      </c>
      <c r="H827" s="95" t="s">
        <v>1262</v>
      </c>
    </row>
    <row r="828" ht="14.25" hidden="1" customHeight="1">
      <c r="B828" s="95">
        <v>44888.0</v>
      </c>
      <c r="C828" s="95">
        <v>2393.0</v>
      </c>
      <c r="D828" s="95" t="s">
        <v>1958</v>
      </c>
      <c r="E828" s="95" t="s">
        <v>1965</v>
      </c>
      <c r="F828" s="95">
        <v>5.0</v>
      </c>
      <c r="G828" s="95">
        <v>921.93</v>
      </c>
      <c r="H828" s="95" t="s">
        <v>1262</v>
      </c>
    </row>
    <row r="829" ht="14.25" hidden="1" customHeight="1">
      <c r="B829" s="95">
        <v>44888.0</v>
      </c>
      <c r="C829" s="95">
        <v>2393.0</v>
      </c>
      <c r="D829" s="95" t="s">
        <v>1958</v>
      </c>
      <c r="E829" s="95" t="s">
        <v>1966</v>
      </c>
      <c r="F829" s="95">
        <v>5.0</v>
      </c>
      <c r="G829" s="95">
        <v>1685.85</v>
      </c>
      <c r="H829" s="95" t="s">
        <v>1262</v>
      </c>
    </row>
    <row r="830" ht="14.25" hidden="1" customHeight="1">
      <c r="B830" s="95">
        <v>44888.0</v>
      </c>
      <c r="C830" s="95">
        <v>2391.0</v>
      </c>
      <c r="D830" s="95" t="s">
        <v>1442</v>
      </c>
      <c r="E830" s="95" t="s">
        <v>1967</v>
      </c>
      <c r="F830" s="95">
        <v>4.0</v>
      </c>
      <c r="G830" s="95">
        <v>1522.6</v>
      </c>
      <c r="H830" s="95" t="s">
        <v>180</v>
      </c>
      <c r="J830" s="95">
        <v>1522.6</v>
      </c>
      <c r="K830" s="95">
        <v>44922.0</v>
      </c>
      <c r="L830" s="95">
        <v>2025.0</v>
      </c>
      <c r="M830" s="95">
        <v>62984.0</v>
      </c>
      <c r="N830" s="95">
        <v>44903.0</v>
      </c>
      <c r="O830" s="95">
        <v>44922.0</v>
      </c>
    </row>
    <row r="831" ht="14.25" customHeight="1">
      <c r="B831" s="95">
        <v>44888.0</v>
      </c>
      <c r="C831" s="95">
        <v>2391.0</v>
      </c>
      <c r="D831" s="96" t="s">
        <v>1442</v>
      </c>
      <c r="E831" s="95" t="s">
        <v>1967</v>
      </c>
      <c r="F831" s="95">
        <v>1.0</v>
      </c>
      <c r="G831" s="94">
        <v>380.65</v>
      </c>
      <c r="H831" s="95" t="s">
        <v>1560</v>
      </c>
      <c r="M831" s="95">
        <v>62984.0</v>
      </c>
    </row>
    <row r="832" ht="14.25" hidden="1" customHeight="1">
      <c r="B832" s="95">
        <v>44888.0</v>
      </c>
      <c r="C832" s="95">
        <v>2391.0</v>
      </c>
      <c r="D832" s="95" t="s">
        <v>1442</v>
      </c>
      <c r="E832" s="95" t="s">
        <v>1577</v>
      </c>
      <c r="F832" s="95">
        <v>4.0</v>
      </c>
      <c r="G832" s="95">
        <v>665.24</v>
      </c>
      <c r="H832" s="95" t="s">
        <v>180</v>
      </c>
      <c r="J832" s="95">
        <v>665.24</v>
      </c>
      <c r="K832" s="95">
        <v>44922.0</v>
      </c>
      <c r="L832" s="95">
        <v>2025.0</v>
      </c>
      <c r="M832" s="95">
        <v>62984.0</v>
      </c>
      <c r="N832" s="95">
        <v>44903.0</v>
      </c>
      <c r="O832" s="95">
        <v>44922.0</v>
      </c>
    </row>
    <row r="833" ht="14.25" hidden="1" customHeight="1">
      <c r="B833" s="95">
        <v>44893.0</v>
      </c>
      <c r="C833" s="95">
        <v>2397.0</v>
      </c>
      <c r="D833" s="95" t="s">
        <v>188</v>
      </c>
      <c r="E833" s="95" t="s">
        <v>1968</v>
      </c>
      <c r="F833" s="95">
        <v>9.0</v>
      </c>
      <c r="G833" s="95">
        <v>9622.08</v>
      </c>
      <c r="H833" s="95" t="s">
        <v>1262</v>
      </c>
    </row>
    <row r="834" ht="14.25" hidden="1" customHeight="1">
      <c r="B834" s="95">
        <v>44893.0</v>
      </c>
      <c r="C834" s="95">
        <v>2398.0</v>
      </c>
      <c r="D834" s="95" t="s">
        <v>1954</v>
      </c>
      <c r="E834" s="95" t="s">
        <v>1969</v>
      </c>
      <c r="F834" s="95">
        <v>1.0</v>
      </c>
      <c r="G834" s="95">
        <v>5015.78</v>
      </c>
      <c r="H834" s="95" t="s">
        <v>1262</v>
      </c>
    </row>
    <row r="835" ht="14.25" hidden="1" customHeight="1">
      <c r="B835" s="95">
        <v>44894.0</v>
      </c>
      <c r="D835" s="95" t="s">
        <v>1711</v>
      </c>
      <c r="E835" s="95" t="s">
        <v>1970</v>
      </c>
      <c r="F835" s="95">
        <v>1.0</v>
      </c>
      <c r="H835" s="95" t="s">
        <v>1262</v>
      </c>
      <c r="I835" s="95" t="s">
        <v>1971</v>
      </c>
    </row>
    <row r="836" ht="14.25" hidden="1" customHeight="1"/>
    <row r="837" ht="14.25" hidden="1" customHeight="1">
      <c r="B837" s="95">
        <v>44896.0</v>
      </c>
      <c r="C837" s="95">
        <v>2412.0</v>
      </c>
      <c r="D837" s="95" t="s">
        <v>1972</v>
      </c>
      <c r="E837" s="95" t="s">
        <v>1973</v>
      </c>
      <c r="F837" s="95">
        <v>6.0</v>
      </c>
      <c r="G837" s="95">
        <v>354.9</v>
      </c>
      <c r="H837" s="95" t="s">
        <v>1262</v>
      </c>
      <c r="I837" s="95" t="s">
        <v>1974</v>
      </c>
    </row>
    <row r="838" ht="14.25" hidden="1" customHeight="1">
      <c r="B838" s="95">
        <v>44896.0</v>
      </c>
      <c r="C838" s="95">
        <v>2412.0</v>
      </c>
      <c r="D838" s="95" t="s">
        <v>1972</v>
      </c>
      <c r="E838" s="95" t="s">
        <v>1975</v>
      </c>
      <c r="F838" s="95">
        <v>2.0</v>
      </c>
      <c r="G838" s="95">
        <v>125.06</v>
      </c>
      <c r="H838" s="95" t="s">
        <v>1262</v>
      </c>
    </row>
    <row r="839" ht="14.25" hidden="1" customHeight="1">
      <c r="B839" s="95">
        <v>44896.0</v>
      </c>
      <c r="C839" s="95">
        <v>2404.0</v>
      </c>
      <c r="D839" s="95" t="s">
        <v>1711</v>
      </c>
      <c r="E839" s="95" t="s">
        <v>1976</v>
      </c>
      <c r="F839" s="95">
        <v>3.0</v>
      </c>
      <c r="G839" s="95">
        <v>4241.6</v>
      </c>
      <c r="H839" s="95" t="s">
        <v>1262</v>
      </c>
    </row>
    <row r="840" ht="14.25" hidden="1" customHeight="1">
      <c r="B840" s="95">
        <v>44896.0</v>
      </c>
      <c r="C840" s="95">
        <v>2407.0</v>
      </c>
      <c r="D840" s="95" t="s">
        <v>19</v>
      </c>
      <c r="E840" s="95" t="s">
        <v>1447</v>
      </c>
      <c r="F840" s="95">
        <v>300.0</v>
      </c>
      <c r="G840" s="95">
        <v>1050.0</v>
      </c>
      <c r="H840" s="95" t="s">
        <v>180</v>
      </c>
      <c r="J840" s="95">
        <v>1050.0</v>
      </c>
      <c r="K840" s="95">
        <v>44909.0</v>
      </c>
      <c r="L840" s="95">
        <v>2015.0</v>
      </c>
      <c r="M840" s="95">
        <v>4.500416525E9</v>
      </c>
      <c r="N840" s="95">
        <v>44911.0</v>
      </c>
      <c r="O840" s="95">
        <v>44946.0</v>
      </c>
    </row>
    <row r="841" ht="14.25" hidden="1" customHeight="1">
      <c r="B841" s="95">
        <v>44897.0</v>
      </c>
      <c r="C841" s="95">
        <v>2410.0</v>
      </c>
      <c r="D841" s="95" t="s">
        <v>690</v>
      </c>
      <c r="E841" s="95" t="s">
        <v>1977</v>
      </c>
      <c r="F841" s="95">
        <v>1.0</v>
      </c>
      <c r="G841" s="95">
        <v>12763.94</v>
      </c>
      <c r="H841" s="95" t="s">
        <v>167</v>
      </c>
      <c r="I841" s="95" t="s">
        <v>1978</v>
      </c>
      <c r="M841" s="95">
        <v>4.50139922E9</v>
      </c>
      <c r="N841" s="95">
        <v>45174.0</v>
      </c>
    </row>
    <row r="842" ht="14.25" hidden="1" customHeight="1">
      <c r="B842" s="95">
        <v>44900.0</v>
      </c>
      <c r="C842" s="95">
        <v>2411.0</v>
      </c>
      <c r="D842" s="95" t="s">
        <v>44</v>
      </c>
      <c r="E842" s="95" t="s">
        <v>1979</v>
      </c>
      <c r="F842" s="95">
        <v>30.0</v>
      </c>
      <c r="G842" s="95">
        <v>1294.06</v>
      </c>
      <c r="H842" s="95" t="s">
        <v>180</v>
      </c>
      <c r="J842" s="95">
        <v>1294.06</v>
      </c>
      <c r="K842" s="95">
        <v>44911.0</v>
      </c>
      <c r="L842" s="95">
        <v>2018.0</v>
      </c>
      <c r="M842" s="95">
        <v>4.501646041E9</v>
      </c>
      <c r="N842" s="95">
        <v>44915.0</v>
      </c>
      <c r="O842" s="95">
        <v>44946.0</v>
      </c>
    </row>
    <row r="843" ht="14.25" hidden="1" customHeight="1">
      <c r="B843" s="95">
        <v>44902.0</v>
      </c>
      <c r="C843" s="95">
        <v>2414.0</v>
      </c>
      <c r="D843" s="95" t="s">
        <v>1980</v>
      </c>
      <c r="E843" s="95" t="s">
        <v>1981</v>
      </c>
      <c r="F843" s="95">
        <v>1.0</v>
      </c>
      <c r="G843" s="95">
        <v>5133.61</v>
      </c>
      <c r="H843" s="95" t="s">
        <v>1262</v>
      </c>
    </row>
    <row r="844" ht="14.25" hidden="1" customHeight="1">
      <c r="B844" s="95">
        <v>44902.0</v>
      </c>
      <c r="C844" s="95">
        <v>2420.0</v>
      </c>
      <c r="D844" s="95" t="s">
        <v>1982</v>
      </c>
      <c r="E844" s="95" t="s">
        <v>1983</v>
      </c>
      <c r="F844" s="95">
        <v>1.0</v>
      </c>
      <c r="G844" s="95">
        <v>6015.08</v>
      </c>
      <c r="H844" s="95" t="s">
        <v>1262</v>
      </c>
      <c r="I844" s="95" t="s">
        <v>1984</v>
      </c>
    </row>
    <row r="845" ht="14.25" hidden="1" customHeight="1">
      <c r="B845" s="95">
        <v>44902.0</v>
      </c>
      <c r="D845" s="95" t="s">
        <v>1982</v>
      </c>
      <c r="E845" s="95" t="s">
        <v>1985</v>
      </c>
      <c r="H845" s="95" t="s">
        <v>1262</v>
      </c>
    </row>
    <row r="846" ht="14.25" hidden="1" customHeight="1">
      <c r="B846" s="95">
        <v>44902.0</v>
      </c>
      <c r="C846" s="95">
        <v>2420.0</v>
      </c>
      <c r="D846" s="95" t="s">
        <v>1982</v>
      </c>
      <c r="E846" s="95" t="s">
        <v>1986</v>
      </c>
      <c r="F846" s="95">
        <v>1.0</v>
      </c>
      <c r="G846" s="95">
        <v>4861.57</v>
      </c>
      <c r="H846" s="95" t="s">
        <v>1262</v>
      </c>
    </row>
    <row r="847" ht="14.25" hidden="1" customHeight="1">
      <c r="B847" s="95">
        <v>44902.0</v>
      </c>
      <c r="C847" s="95">
        <v>2420.0</v>
      </c>
      <c r="D847" s="95" t="s">
        <v>1982</v>
      </c>
      <c r="E847" s="95" t="s">
        <v>1987</v>
      </c>
      <c r="F847" s="95">
        <v>1.0</v>
      </c>
      <c r="G847" s="95">
        <v>4913.56</v>
      </c>
      <c r="H847" s="95" t="s">
        <v>1262</v>
      </c>
    </row>
    <row r="848" ht="14.25" hidden="1" customHeight="1">
      <c r="B848" s="95">
        <v>44903.0</v>
      </c>
      <c r="C848" s="95">
        <v>2417.0</v>
      </c>
      <c r="D848" s="95" t="s">
        <v>188</v>
      </c>
      <c r="E848" s="95" t="s">
        <v>1988</v>
      </c>
      <c r="F848" s="95">
        <v>6.0</v>
      </c>
      <c r="G848" s="95">
        <v>5710.6</v>
      </c>
      <c r="H848" s="95" t="s">
        <v>1262</v>
      </c>
    </row>
    <row r="849" ht="14.25" hidden="1" customHeight="1">
      <c r="B849" s="95">
        <v>44903.0</v>
      </c>
      <c r="C849" s="95">
        <v>2418.0</v>
      </c>
      <c r="D849" s="95" t="s">
        <v>44</v>
      </c>
      <c r="E849" s="95" t="s">
        <v>853</v>
      </c>
      <c r="F849" s="95">
        <v>1.0</v>
      </c>
      <c r="G849" s="95">
        <v>5165.43</v>
      </c>
      <c r="H849" s="95" t="s">
        <v>1262</v>
      </c>
    </row>
    <row r="850" ht="14.25" hidden="1" customHeight="1">
      <c r="B850" s="95">
        <v>44904.0</v>
      </c>
      <c r="D850" s="95" t="s">
        <v>77</v>
      </c>
      <c r="E850" s="95" t="s">
        <v>1989</v>
      </c>
      <c r="F850" s="95">
        <v>1.0</v>
      </c>
      <c r="H850" s="95" t="s">
        <v>1262</v>
      </c>
      <c r="I850" s="95" t="s">
        <v>1990</v>
      </c>
    </row>
    <row r="851" ht="14.25" hidden="1" customHeight="1">
      <c r="B851" s="95">
        <v>44904.0</v>
      </c>
      <c r="D851" s="95" t="s">
        <v>1991</v>
      </c>
      <c r="E851" s="95" t="s">
        <v>1992</v>
      </c>
      <c r="F851" s="95">
        <v>1.0</v>
      </c>
      <c r="H851" s="95" t="s">
        <v>1262</v>
      </c>
    </row>
    <row r="852" ht="14.25" hidden="1" customHeight="1">
      <c r="B852" s="95">
        <v>44908.0</v>
      </c>
      <c r="C852" s="95">
        <v>2423.0</v>
      </c>
      <c r="D852" s="95" t="s">
        <v>1161</v>
      </c>
      <c r="E852" s="95" t="s">
        <v>1993</v>
      </c>
      <c r="F852" s="95">
        <v>2.0</v>
      </c>
      <c r="G852" s="95">
        <v>224.01</v>
      </c>
      <c r="H852" s="95" t="s">
        <v>1262</v>
      </c>
    </row>
    <row r="853" ht="14.25" hidden="1" customHeight="1">
      <c r="B853" s="95">
        <v>44908.0</v>
      </c>
      <c r="C853" s="95">
        <v>2424.0</v>
      </c>
      <c r="D853" s="95" t="s">
        <v>44</v>
      </c>
      <c r="E853" s="95" t="s">
        <v>1994</v>
      </c>
      <c r="F853" s="95">
        <v>1.0</v>
      </c>
      <c r="G853" s="95">
        <v>6022.44</v>
      </c>
      <c r="H853" s="95" t="s">
        <v>1262</v>
      </c>
    </row>
    <row r="854" ht="14.25" hidden="1" customHeight="1">
      <c r="B854" s="95">
        <v>44909.0</v>
      </c>
      <c r="C854" s="95">
        <v>2425.0</v>
      </c>
      <c r="D854" s="95" t="s">
        <v>164</v>
      </c>
      <c r="E854" s="95" t="s">
        <v>1773</v>
      </c>
      <c r="F854" s="95">
        <v>88.0</v>
      </c>
      <c r="G854" s="95">
        <v>612.48</v>
      </c>
      <c r="H854" s="95" t="s">
        <v>180</v>
      </c>
      <c r="J854" s="95">
        <v>612.48</v>
      </c>
      <c r="K854" s="95">
        <v>44936.0</v>
      </c>
      <c r="L854" s="95">
        <v>2034.0</v>
      </c>
      <c r="M854" s="95">
        <v>4.500418644E9</v>
      </c>
      <c r="N854" s="95">
        <v>44929.0</v>
      </c>
      <c r="O854" s="95">
        <v>44967.0</v>
      </c>
    </row>
    <row r="855" ht="14.25" customHeight="1">
      <c r="B855" s="95">
        <v>44909.0</v>
      </c>
      <c r="C855" s="95">
        <v>2425.0</v>
      </c>
      <c r="D855" s="95" t="s">
        <v>164</v>
      </c>
      <c r="E855" s="95" t="s">
        <v>1773</v>
      </c>
      <c r="F855" s="95">
        <v>72.0</v>
      </c>
      <c r="G855" s="94">
        <v>501.12</v>
      </c>
      <c r="H855" s="95" t="s">
        <v>1560</v>
      </c>
      <c r="M855" s="95">
        <v>4.500418644E9</v>
      </c>
      <c r="N855" s="95">
        <v>45017.0</v>
      </c>
    </row>
    <row r="856" ht="14.25" hidden="1" customHeight="1">
      <c r="B856" s="95">
        <v>44909.0</v>
      </c>
      <c r="C856" s="95">
        <v>2426.0</v>
      </c>
      <c r="D856" s="95" t="s">
        <v>44</v>
      </c>
      <c r="E856" s="95" t="s">
        <v>1995</v>
      </c>
      <c r="F856" s="95">
        <v>1.0</v>
      </c>
      <c r="G856" s="94">
        <v>6066.6</v>
      </c>
      <c r="M856" s="95">
        <v>4.501670306E9</v>
      </c>
      <c r="N856" s="95">
        <v>45290.0</v>
      </c>
    </row>
    <row r="857" ht="14.25" hidden="1" customHeight="1">
      <c r="B857" s="95">
        <v>44911.0</v>
      </c>
      <c r="C857" s="95">
        <v>2429.0</v>
      </c>
      <c r="D857" s="95" t="s">
        <v>44</v>
      </c>
      <c r="E857" s="95" t="s">
        <v>826</v>
      </c>
      <c r="F857" s="95">
        <v>2.0</v>
      </c>
      <c r="G857" s="95">
        <v>3845.1</v>
      </c>
      <c r="H857" s="95" t="s">
        <v>180</v>
      </c>
      <c r="J857" s="95">
        <v>3845.1</v>
      </c>
      <c r="K857" s="95">
        <v>44914.0</v>
      </c>
      <c r="L857" s="95">
        <v>2019.0</v>
      </c>
      <c r="M857" s="95">
        <v>4.501651577E9</v>
      </c>
      <c r="N857" s="95">
        <v>44915.0</v>
      </c>
    </row>
    <row r="858" ht="14.25" hidden="1" customHeight="1">
      <c r="B858" s="95">
        <v>44911.0</v>
      </c>
      <c r="C858" s="95">
        <v>2430.0</v>
      </c>
      <c r="D858" s="95" t="s">
        <v>1996</v>
      </c>
      <c r="E858" s="95" t="s">
        <v>1997</v>
      </c>
      <c r="F858" s="95">
        <v>1.0</v>
      </c>
      <c r="G858" s="95">
        <v>18063.84</v>
      </c>
      <c r="H858" s="95" t="s">
        <v>1262</v>
      </c>
      <c r="I858" s="95" t="s">
        <v>1998</v>
      </c>
    </row>
    <row r="859" ht="14.25" hidden="1" customHeight="1">
      <c r="B859" s="95">
        <v>44914.0</v>
      </c>
      <c r="D859" s="95" t="s">
        <v>1999</v>
      </c>
      <c r="E859" s="95" t="s">
        <v>2000</v>
      </c>
      <c r="H859" s="95" t="s">
        <v>1262</v>
      </c>
      <c r="I859" s="95" t="s">
        <v>2001</v>
      </c>
    </row>
    <row r="860" ht="14.25" hidden="1" customHeight="1">
      <c r="B860" s="95">
        <v>44914.0</v>
      </c>
      <c r="C860" s="95">
        <v>2431.0</v>
      </c>
      <c r="D860" s="95" t="s">
        <v>39</v>
      </c>
      <c r="E860" s="95" t="s">
        <v>2002</v>
      </c>
      <c r="F860" s="95">
        <v>1.0</v>
      </c>
      <c r="G860" s="95">
        <v>3156.53</v>
      </c>
      <c r="H860" s="95" t="s">
        <v>1262</v>
      </c>
    </row>
    <row r="861" ht="14.25" hidden="1" customHeight="1">
      <c r="B861" s="95">
        <v>44914.0</v>
      </c>
      <c r="C861" s="95">
        <v>2434.0</v>
      </c>
      <c r="D861" s="95" t="s">
        <v>44</v>
      </c>
      <c r="E861" s="95" t="s">
        <v>2003</v>
      </c>
      <c r="F861" s="95">
        <v>1.0</v>
      </c>
      <c r="G861" s="95">
        <v>62582.7</v>
      </c>
      <c r="H861" s="95" t="s">
        <v>1262</v>
      </c>
    </row>
    <row r="862" ht="14.25" hidden="1" customHeight="1">
      <c r="B862" s="95">
        <v>44915.0</v>
      </c>
      <c r="C862" s="95">
        <v>2436.0</v>
      </c>
      <c r="D862" s="95" t="s">
        <v>19</v>
      </c>
      <c r="E862" s="95" t="s">
        <v>825</v>
      </c>
      <c r="F862" s="95">
        <v>2.0</v>
      </c>
      <c r="G862" s="95">
        <v>3000.28</v>
      </c>
      <c r="H862" s="95" t="s">
        <v>1262</v>
      </c>
    </row>
    <row r="863" ht="14.25" hidden="1" customHeight="1">
      <c r="B863" s="95">
        <v>44917.0</v>
      </c>
      <c r="C863" s="95">
        <v>2438.0</v>
      </c>
      <c r="D863" s="95" t="s">
        <v>44</v>
      </c>
      <c r="E863" s="95" t="s">
        <v>1927</v>
      </c>
      <c r="F863" s="95">
        <v>50.0</v>
      </c>
      <c r="G863" s="95">
        <v>3381.0</v>
      </c>
      <c r="H863" s="95" t="s">
        <v>1262</v>
      </c>
      <c r="I863" s="95" t="s">
        <v>2004</v>
      </c>
    </row>
    <row r="864" ht="14.25" hidden="1" customHeight="1">
      <c r="B864" s="95">
        <v>44917.0</v>
      </c>
      <c r="C864" s="95">
        <v>2442.0</v>
      </c>
      <c r="D864" s="95" t="s">
        <v>188</v>
      </c>
      <c r="F864" s="95">
        <v>20.0</v>
      </c>
      <c r="G864" s="95">
        <v>390.0</v>
      </c>
      <c r="H864" s="95" t="s">
        <v>1262</v>
      </c>
    </row>
    <row r="865" ht="14.25" hidden="1" customHeight="1">
      <c r="B865" s="95">
        <v>44917.0</v>
      </c>
      <c r="C865" s="95">
        <v>2442.0</v>
      </c>
      <c r="D865" s="95" t="s">
        <v>188</v>
      </c>
      <c r="E865" s="95" t="s">
        <v>2005</v>
      </c>
      <c r="F865" s="95">
        <v>20.0</v>
      </c>
      <c r="G865" s="95">
        <v>390.0</v>
      </c>
    </row>
    <row r="866" ht="14.25" hidden="1" customHeight="1">
      <c r="B866" s="95">
        <v>44917.0</v>
      </c>
      <c r="C866" s="95">
        <v>2441.0</v>
      </c>
      <c r="D866" s="95" t="s">
        <v>1004</v>
      </c>
      <c r="E866" s="95" t="s">
        <v>197</v>
      </c>
      <c r="F866" s="95">
        <v>1.0</v>
      </c>
      <c r="G866" s="95">
        <v>975.17</v>
      </c>
      <c r="H866" s="95" t="s">
        <v>1262</v>
      </c>
    </row>
    <row r="867" ht="14.25" hidden="1" customHeight="1">
      <c r="B867" s="95">
        <v>44917.0</v>
      </c>
      <c r="C867" s="95">
        <v>2441.0</v>
      </c>
      <c r="D867" s="95" t="s">
        <v>1004</v>
      </c>
      <c r="E867" s="95" t="s">
        <v>168</v>
      </c>
      <c r="F867" s="95">
        <v>3.0</v>
      </c>
      <c r="G867" s="95">
        <v>2744.8</v>
      </c>
      <c r="H867" s="95" t="s">
        <v>1262</v>
      </c>
    </row>
    <row r="868" ht="14.25" hidden="1" customHeight="1">
      <c r="B868" s="95">
        <v>44918.0</v>
      </c>
      <c r="C868" s="95" t="s">
        <v>2006</v>
      </c>
      <c r="D868" s="95" t="s">
        <v>19</v>
      </c>
      <c r="E868" s="95" t="s">
        <v>2007</v>
      </c>
      <c r="F868" s="95">
        <v>50.0</v>
      </c>
      <c r="G868" s="95">
        <v>1877.68</v>
      </c>
      <c r="H868" s="95" t="s">
        <v>180</v>
      </c>
      <c r="J868" s="95">
        <v>1877.68</v>
      </c>
      <c r="K868" s="95">
        <v>44936.0</v>
      </c>
      <c r="L868" s="95">
        <v>2033.0</v>
      </c>
      <c r="M868" s="95">
        <v>4.500419686E9</v>
      </c>
      <c r="N868" s="95">
        <v>44959.0</v>
      </c>
      <c r="O868" s="95">
        <v>44967.0</v>
      </c>
    </row>
    <row r="869" ht="14.25" hidden="1" customHeight="1">
      <c r="B869" s="95">
        <v>44918.0</v>
      </c>
      <c r="C869" s="95">
        <v>2444.0</v>
      </c>
      <c r="D869" s="95" t="s">
        <v>19</v>
      </c>
      <c r="E869" s="95" t="s">
        <v>2008</v>
      </c>
      <c r="F869" s="95">
        <v>140.0</v>
      </c>
      <c r="G869" s="95">
        <v>492.8</v>
      </c>
      <c r="H869" s="95" t="s">
        <v>1262</v>
      </c>
    </row>
    <row r="870" ht="14.25" hidden="1" customHeight="1">
      <c r="B870" s="95">
        <v>44921.0</v>
      </c>
      <c r="C870" s="95">
        <v>2451.0</v>
      </c>
      <c r="D870" s="95" t="s">
        <v>2009</v>
      </c>
      <c r="E870" s="95" t="s">
        <v>2010</v>
      </c>
      <c r="F870" s="95">
        <v>5.0</v>
      </c>
      <c r="G870" s="95">
        <v>2714.05</v>
      </c>
      <c r="H870" s="95" t="s">
        <v>1262</v>
      </c>
      <c r="I870" s="95" t="s">
        <v>2011</v>
      </c>
    </row>
    <row r="871" ht="14.25" hidden="1" customHeight="1">
      <c r="B871" s="95">
        <v>44921.0</v>
      </c>
      <c r="C871" s="95">
        <v>2447.0</v>
      </c>
      <c r="D871" s="95" t="s">
        <v>44</v>
      </c>
      <c r="E871" s="95" t="s">
        <v>2012</v>
      </c>
      <c r="F871" s="95">
        <v>1.0</v>
      </c>
      <c r="G871" s="95">
        <v>6433.09</v>
      </c>
      <c r="H871" s="95" t="s">
        <v>1262</v>
      </c>
    </row>
    <row r="872" ht="14.25" hidden="1" customHeight="1">
      <c r="B872" s="95">
        <v>44922.0</v>
      </c>
      <c r="C872" s="95">
        <v>2452.0</v>
      </c>
      <c r="D872" s="95" t="s">
        <v>44</v>
      </c>
      <c r="E872" s="95" t="s">
        <v>2013</v>
      </c>
      <c r="F872" s="95">
        <v>1.0</v>
      </c>
      <c r="G872" s="95">
        <v>3397.28</v>
      </c>
      <c r="H872" s="95" t="s">
        <v>1262</v>
      </c>
      <c r="I872" s="95" t="s">
        <v>2014</v>
      </c>
    </row>
    <row r="873" ht="14.25" hidden="1" customHeight="1">
      <c r="B873" s="95">
        <v>44923.0</v>
      </c>
      <c r="C873" s="95">
        <v>2455.0</v>
      </c>
      <c r="D873" s="95" t="s">
        <v>44</v>
      </c>
      <c r="E873" s="95" t="s">
        <v>1052</v>
      </c>
      <c r="F873" s="95">
        <v>1.0</v>
      </c>
      <c r="G873" s="95">
        <v>616.11</v>
      </c>
      <c r="H873" s="95" t="s">
        <v>1262</v>
      </c>
    </row>
    <row r="874" ht="14.25" hidden="1" customHeight="1">
      <c r="B874" s="95">
        <v>44924.0</v>
      </c>
      <c r="C874" s="95">
        <v>2456.0</v>
      </c>
      <c r="D874" s="95" t="s">
        <v>2015</v>
      </c>
      <c r="E874" s="95" t="s">
        <v>2016</v>
      </c>
      <c r="F874" s="95">
        <v>5.0</v>
      </c>
      <c r="G874" s="95">
        <v>1952.15</v>
      </c>
      <c r="H874" s="95" t="s">
        <v>1262</v>
      </c>
    </row>
    <row r="875" ht="14.25" hidden="1" customHeight="1">
      <c r="B875" s="95">
        <v>44924.0</v>
      </c>
      <c r="C875" s="95">
        <v>2456.0</v>
      </c>
      <c r="D875" s="95" t="s">
        <v>2015</v>
      </c>
      <c r="E875" s="95" t="s">
        <v>2017</v>
      </c>
      <c r="F875" s="95">
        <v>1.0</v>
      </c>
      <c r="G875" s="95">
        <v>1107.69</v>
      </c>
      <c r="H875" s="95" t="s">
        <v>1262</v>
      </c>
    </row>
    <row r="876" ht="14.25" hidden="1" customHeight="1">
      <c r="B876" s="95">
        <v>44925.0</v>
      </c>
      <c r="C876" s="95">
        <v>2460.0</v>
      </c>
      <c r="D876" s="95" t="s">
        <v>44</v>
      </c>
      <c r="E876" s="95" t="s">
        <v>2018</v>
      </c>
      <c r="F876" s="95">
        <v>50.0</v>
      </c>
      <c r="G876" s="95">
        <v>350.0</v>
      </c>
      <c r="H876" s="95" t="s">
        <v>180</v>
      </c>
      <c r="J876" s="95">
        <v>350.0</v>
      </c>
      <c r="K876" s="95">
        <v>44970.0</v>
      </c>
      <c r="L876" s="95">
        <v>2056.0</v>
      </c>
      <c r="M876" s="95">
        <v>4.501667623E9</v>
      </c>
      <c r="N876" s="95">
        <v>44987.0</v>
      </c>
    </row>
    <row r="877" ht="14.25" hidden="1" customHeight="1">
      <c r="B877" s="95">
        <v>44925.0</v>
      </c>
      <c r="C877" s="95">
        <v>2467.0</v>
      </c>
      <c r="D877" s="95" t="s">
        <v>19</v>
      </c>
      <c r="E877" s="95" t="s">
        <v>2019</v>
      </c>
      <c r="F877" s="95">
        <v>30.0</v>
      </c>
      <c r="G877" s="95">
        <v>585.0</v>
      </c>
      <c r="H877" s="95" t="s">
        <v>180</v>
      </c>
      <c r="J877" s="95">
        <v>585.0</v>
      </c>
      <c r="K877" s="95">
        <v>44944.0</v>
      </c>
      <c r="L877" s="95">
        <v>2046.0</v>
      </c>
      <c r="M877" s="95">
        <v>4.500419879E9</v>
      </c>
      <c r="N877" s="95">
        <v>44944.0</v>
      </c>
      <c r="O877" s="95">
        <v>44975.0</v>
      </c>
    </row>
    <row r="878" ht="14.25" hidden="1" customHeight="1">
      <c r="B878" s="95">
        <v>44925.0</v>
      </c>
      <c r="D878" s="95" t="s">
        <v>19</v>
      </c>
      <c r="E878" s="95" t="s">
        <v>2020</v>
      </c>
      <c r="F878" s="95">
        <v>3.0</v>
      </c>
      <c r="H878" s="95" t="s">
        <v>1262</v>
      </c>
    </row>
    <row r="879" ht="14.25" hidden="1" customHeight="1">
      <c r="C879" s="95">
        <v>2181.0</v>
      </c>
      <c r="D879" s="95" t="s">
        <v>188</v>
      </c>
      <c r="E879" s="95" t="s">
        <v>1771</v>
      </c>
      <c r="F879" s="95">
        <v>2.0</v>
      </c>
      <c r="G879" s="95">
        <v>7480.04</v>
      </c>
      <c r="H879" s="95" t="s">
        <v>180</v>
      </c>
      <c r="J879" s="95">
        <v>7480.04</v>
      </c>
      <c r="K879" s="95">
        <v>44944.0</v>
      </c>
      <c r="L879" s="95">
        <v>2044.0</v>
      </c>
      <c r="M879" s="95">
        <v>5.202092319E9</v>
      </c>
      <c r="O879" s="95">
        <v>44991.0</v>
      </c>
    </row>
    <row r="880" ht="14.25" hidden="1" customHeight="1">
      <c r="C880" s="95">
        <v>2158.0</v>
      </c>
      <c r="D880" s="95" t="s">
        <v>188</v>
      </c>
      <c r="E880" s="95" t="s">
        <v>2021</v>
      </c>
      <c r="F880" s="95">
        <v>3.0</v>
      </c>
      <c r="G880" s="95">
        <v>11220.06</v>
      </c>
      <c r="H880" s="95" t="s">
        <v>180</v>
      </c>
      <c r="J880" s="95">
        <v>11220.06</v>
      </c>
      <c r="K880" s="95">
        <v>44944.0</v>
      </c>
      <c r="L880" s="95">
        <v>2045.0</v>
      </c>
      <c r="M880" s="95">
        <v>4.400555687E9</v>
      </c>
      <c r="O880" s="95">
        <v>44991.0</v>
      </c>
    </row>
    <row r="881" ht="14.25" customHeight="1">
      <c r="G881" s="94">
        <f>SUBTOTAL(9,G568:G880)</f>
        <v>137023.34</v>
      </c>
    </row>
    <row r="882" ht="14.25" customHeight="1">
      <c r="G882" s="94"/>
    </row>
    <row r="883" ht="14.25" customHeight="1">
      <c r="G883" s="94"/>
    </row>
    <row r="884" ht="14.25" customHeight="1">
      <c r="G884" s="94"/>
    </row>
    <row r="885" ht="14.25" customHeight="1">
      <c r="G885" s="94"/>
    </row>
    <row r="886" ht="14.25" customHeight="1">
      <c r="G886" s="94"/>
    </row>
    <row r="887" ht="14.25" customHeight="1">
      <c r="G887" s="94"/>
    </row>
    <row r="888" ht="14.25" customHeight="1">
      <c r="G888" s="94"/>
    </row>
    <row r="889" ht="14.25" customHeight="1">
      <c r="G889" s="94"/>
    </row>
    <row r="890" ht="14.25" customHeight="1">
      <c r="G890" s="94"/>
    </row>
    <row r="891" ht="14.25" customHeight="1">
      <c r="G891" s="94"/>
    </row>
    <row r="892" ht="14.25" customHeight="1">
      <c r="G892" s="94"/>
    </row>
    <row r="893" ht="14.25" customHeight="1">
      <c r="G893" s="94"/>
    </row>
    <row r="894" ht="14.25" customHeight="1">
      <c r="G894" s="94"/>
    </row>
    <row r="895" ht="14.25" customHeight="1">
      <c r="G895" s="94"/>
    </row>
    <row r="896" ht="14.25" customHeight="1">
      <c r="G896" s="94"/>
    </row>
    <row r="897" ht="14.25" customHeight="1">
      <c r="G897" s="94"/>
    </row>
    <row r="898" ht="14.25" customHeight="1">
      <c r="G898" s="94"/>
    </row>
    <row r="899" ht="14.25" customHeight="1">
      <c r="G899" s="94"/>
    </row>
    <row r="900" ht="14.25" customHeight="1">
      <c r="G900" s="94"/>
    </row>
    <row r="901" ht="14.25" customHeight="1">
      <c r="G901" s="94"/>
    </row>
    <row r="902" ht="14.25" customHeight="1">
      <c r="G902" s="94"/>
    </row>
    <row r="903" ht="14.25" customHeight="1">
      <c r="G903" s="94"/>
    </row>
    <row r="904" ht="14.25" customHeight="1">
      <c r="G904" s="94"/>
    </row>
    <row r="905" ht="14.25" customHeight="1">
      <c r="G905" s="94"/>
    </row>
    <row r="906" ht="14.25" customHeight="1">
      <c r="G906" s="94"/>
    </row>
    <row r="907" ht="14.25" customHeight="1">
      <c r="G907" s="94"/>
    </row>
    <row r="908" ht="14.25" customHeight="1">
      <c r="G908" s="94"/>
    </row>
    <row r="909" ht="14.25" customHeight="1">
      <c r="G909" s="94"/>
    </row>
    <row r="910" ht="14.25" customHeight="1">
      <c r="G910" s="94"/>
    </row>
    <row r="911" ht="14.25" customHeight="1">
      <c r="G911" s="94"/>
    </row>
    <row r="912" ht="14.25" customHeight="1">
      <c r="G912" s="94"/>
    </row>
    <row r="913" ht="14.25" customHeight="1">
      <c r="G913" s="94"/>
    </row>
    <row r="914" ht="14.25" customHeight="1">
      <c r="G914" s="94"/>
    </row>
    <row r="915" ht="14.25" customHeight="1">
      <c r="G915" s="94"/>
    </row>
    <row r="916" ht="14.25" customHeight="1">
      <c r="G916" s="94"/>
    </row>
    <row r="917" ht="14.25" customHeight="1">
      <c r="G917" s="94"/>
    </row>
    <row r="918" ht="14.25" customHeight="1">
      <c r="G918" s="94"/>
    </row>
    <row r="919" ht="14.25" customHeight="1">
      <c r="G919" s="94"/>
    </row>
    <row r="920" ht="14.25" customHeight="1">
      <c r="G920" s="94"/>
    </row>
    <row r="921" ht="14.25" customHeight="1">
      <c r="G921" s="94"/>
    </row>
    <row r="922" ht="14.25" customHeight="1">
      <c r="G922" s="94"/>
    </row>
    <row r="923" ht="14.25" customHeight="1">
      <c r="G923" s="94"/>
    </row>
    <row r="924" ht="14.25" customHeight="1">
      <c r="G924" s="94"/>
    </row>
    <row r="925" ht="14.25" customHeight="1">
      <c r="G925" s="94"/>
    </row>
    <row r="926" ht="14.25" customHeight="1">
      <c r="G926" s="94"/>
    </row>
    <row r="927" ht="14.25" customHeight="1">
      <c r="G927" s="94"/>
    </row>
    <row r="928" ht="14.25" customHeight="1">
      <c r="G928" s="94"/>
    </row>
    <row r="929" ht="14.25" customHeight="1">
      <c r="G929" s="94"/>
    </row>
    <row r="930" ht="14.25" customHeight="1">
      <c r="G930" s="94"/>
    </row>
    <row r="931" ht="14.25" customHeight="1">
      <c r="G931" s="94"/>
    </row>
    <row r="932" ht="14.25" customHeight="1">
      <c r="G932" s="94"/>
    </row>
    <row r="933" ht="14.25" customHeight="1">
      <c r="G933" s="94"/>
    </row>
    <row r="934" ht="14.25" customHeight="1">
      <c r="G934" s="94"/>
    </row>
    <row r="935" ht="14.25" customHeight="1">
      <c r="G935" s="94"/>
    </row>
    <row r="936" ht="14.25" customHeight="1">
      <c r="G936" s="94"/>
    </row>
    <row r="937" ht="14.25" customHeight="1">
      <c r="G937" s="94"/>
    </row>
    <row r="938" ht="14.25" customHeight="1">
      <c r="G938" s="94"/>
    </row>
    <row r="939" ht="14.25" customHeight="1">
      <c r="G939" s="94"/>
    </row>
    <row r="940" ht="14.25" customHeight="1">
      <c r="G940" s="94"/>
    </row>
    <row r="941" ht="14.25" customHeight="1">
      <c r="G941" s="94"/>
    </row>
    <row r="942" ht="14.25" customHeight="1">
      <c r="G942" s="94"/>
    </row>
    <row r="943" ht="14.25" customHeight="1">
      <c r="G943" s="94"/>
    </row>
    <row r="944" ht="14.25" customHeight="1">
      <c r="G944" s="94"/>
    </row>
    <row r="945" ht="14.25" customHeight="1">
      <c r="G945" s="94"/>
    </row>
    <row r="946" ht="14.25" customHeight="1">
      <c r="G946" s="94"/>
    </row>
    <row r="947" ht="14.25" customHeight="1">
      <c r="G947" s="94"/>
    </row>
    <row r="948" ht="14.25" customHeight="1">
      <c r="G948" s="94"/>
    </row>
    <row r="949" ht="14.25" customHeight="1">
      <c r="G949" s="94"/>
    </row>
    <row r="950" ht="14.25" customHeight="1">
      <c r="G950" s="94"/>
    </row>
    <row r="951" ht="14.25" customHeight="1">
      <c r="G951" s="94"/>
    </row>
    <row r="952" ht="14.25" customHeight="1">
      <c r="G952" s="94"/>
    </row>
    <row r="953" ht="14.25" customHeight="1">
      <c r="G953" s="94"/>
    </row>
    <row r="954" ht="14.25" customHeight="1">
      <c r="G954" s="94"/>
    </row>
    <row r="955" ht="14.25" customHeight="1">
      <c r="G955" s="94"/>
    </row>
    <row r="956" ht="14.25" customHeight="1">
      <c r="G956" s="94"/>
    </row>
    <row r="957" ht="14.25" customHeight="1">
      <c r="G957" s="94"/>
    </row>
    <row r="958" ht="14.25" customHeight="1">
      <c r="G958" s="94"/>
    </row>
    <row r="959" ht="14.25" customHeight="1">
      <c r="G959" s="94"/>
    </row>
    <row r="960" ht="14.25" customHeight="1">
      <c r="G960" s="94"/>
    </row>
    <row r="961" ht="14.25" customHeight="1">
      <c r="G961" s="94"/>
    </row>
    <row r="962" ht="14.25" customHeight="1">
      <c r="G962" s="94"/>
    </row>
    <row r="963" ht="14.25" customHeight="1">
      <c r="G963" s="94"/>
    </row>
    <row r="964" ht="14.25" customHeight="1">
      <c r="G964" s="94"/>
    </row>
    <row r="965" ht="14.25" customHeight="1">
      <c r="G965" s="94"/>
    </row>
    <row r="966" ht="14.25" customHeight="1">
      <c r="G966" s="94"/>
    </row>
    <row r="967" ht="14.25" customHeight="1">
      <c r="G967" s="94"/>
    </row>
    <row r="968" ht="14.25" customHeight="1">
      <c r="G968" s="94"/>
    </row>
    <row r="969" ht="14.25" customHeight="1">
      <c r="G969" s="94"/>
    </row>
    <row r="970" ht="14.25" customHeight="1">
      <c r="G970" s="94"/>
    </row>
    <row r="971" ht="14.25" customHeight="1">
      <c r="G971" s="94"/>
    </row>
    <row r="972" ht="14.25" customHeight="1">
      <c r="G972" s="94"/>
    </row>
    <row r="973" ht="14.25" customHeight="1">
      <c r="G973" s="94"/>
    </row>
    <row r="974" ht="14.25" customHeight="1">
      <c r="G974" s="94"/>
    </row>
    <row r="975" ht="14.25" customHeight="1">
      <c r="G975" s="94"/>
    </row>
    <row r="976" ht="14.25" customHeight="1">
      <c r="G976" s="94"/>
    </row>
    <row r="977" ht="14.25" customHeight="1">
      <c r="G977" s="94"/>
    </row>
    <row r="978" ht="14.25" customHeight="1">
      <c r="G978" s="94"/>
    </row>
    <row r="979" ht="14.25" customHeight="1">
      <c r="G979" s="94"/>
    </row>
    <row r="980" ht="14.25" customHeight="1">
      <c r="G980" s="94"/>
    </row>
    <row r="981" ht="14.25" customHeight="1">
      <c r="G981" s="94"/>
    </row>
    <row r="982" ht="14.25" customHeight="1">
      <c r="G982" s="94"/>
    </row>
    <row r="983" ht="14.25" customHeight="1">
      <c r="G983" s="94"/>
    </row>
    <row r="984" ht="14.25" customHeight="1">
      <c r="G984" s="94"/>
    </row>
    <row r="985" ht="14.25" customHeight="1">
      <c r="G985" s="94"/>
    </row>
    <row r="986" ht="14.25" customHeight="1">
      <c r="G986" s="94"/>
    </row>
    <row r="987" ht="14.25" customHeight="1">
      <c r="G987" s="94"/>
    </row>
    <row r="988" ht="14.25" customHeight="1">
      <c r="G988" s="94"/>
    </row>
    <row r="989" ht="14.25" customHeight="1">
      <c r="G989" s="94"/>
    </row>
    <row r="990" ht="14.25" customHeight="1">
      <c r="G990" s="94"/>
    </row>
    <row r="991" ht="14.25" customHeight="1">
      <c r="G991" s="94"/>
    </row>
    <row r="992" ht="14.25" customHeight="1">
      <c r="G992" s="94"/>
    </row>
    <row r="993" ht="14.25" customHeight="1">
      <c r="G993" s="94"/>
    </row>
    <row r="994" ht="14.25" customHeight="1">
      <c r="G994" s="94"/>
    </row>
    <row r="995" ht="14.25" customHeight="1">
      <c r="G995" s="94"/>
    </row>
    <row r="996" ht="14.25" customHeight="1">
      <c r="G996" s="94"/>
    </row>
    <row r="997" ht="14.25" customHeight="1">
      <c r="G997" s="94"/>
    </row>
    <row r="998" ht="14.25" customHeight="1">
      <c r="G998" s="94"/>
    </row>
    <row r="999" ht="14.25" customHeight="1">
      <c r="G999" s="94"/>
    </row>
    <row r="1000" ht="14.25" customHeight="1">
      <c r="G1000" s="94"/>
    </row>
  </sheetData>
  <autoFilter ref="$B$2:$O$880">
    <filterColumn colId="6">
      <filters>
        <filter val="GANHOU"/>
      </filters>
    </filterColumn>
  </autoFilter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8.57"/>
    <col customWidth="1" min="3" max="3" width="11.86"/>
    <col customWidth="1" min="4" max="4" width="24.29"/>
    <col customWidth="1" min="5" max="5" width="72.29"/>
    <col customWidth="1" min="6" max="6" width="9.14"/>
    <col customWidth="1" min="7" max="7" width="14.71"/>
    <col customWidth="1" min="8" max="8" width="12.71"/>
    <col customWidth="1" min="9" max="9" width="11.57"/>
    <col customWidth="1" min="10" max="10" width="9.14"/>
    <col customWidth="1" min="11" max="13" width="14.29"/>
    <col customWidth="1" min="14" max="14" width="20.0"/>
    <col customWidth="1" min="15" max="15" width="14.29"/>
    <col customWidth="1" min="16" max="16" width="17.29"/>
    <col customWidth="1" min="17" max="17" width="14.29"/>
    <col customWidth="1" min="18" max="18" width="14.86"/>
    <col customWidth="1" min="19" max="20" width="14.0"/>
    <col customWidth="1" min="21" max="21" width="21.29"/>
    <col customWidth="1" min="22" max="22" width="11.57"/>
    <col customWidth="1" min="23" max="34" width="8.71"/>
  </cols>
  <sheetData>
    <row r="1" ht="48.0" customHeight="1">
      <c r="A1" s="97" t="s">
        <v>0</v>
      </c>
      <c r="B1" s="98" t="s">
        <v>1</v>
      </c>
      <c r="C1" s="98" t="s">
        <v>2025</v>
      </c>
      <c r="D1" s="99" t="s">
        <v>2</v>
      </c>
      <c r="E1" s="99" t="s">
        <v>3</v>
      </c>
      <c r="F1" s="98" t="s">
        <v>1130</v>
      </c>
      <c r="G1" s="100" t="s">
        <v>2026</v>
      </c>
      <c r="H1" s="99" t="s">
        <v>6</v>
      </c>
      <c r="I1" s="101" t="s">
        <v>10</v>
      </c>
      <c r="J1" s="98" t="s">
        <v>11</v>
      </c>
      <c r="K1" s="102" t="s">
        <v>12</v>
      </c>
      <c r="L1" s="103" t="s">
        <v>2027</v>
      </c>
      <c r="M1" s="101" t="s">
        <v>2028</v>
      </c>
      <c r="N1" s="103" t="s">
        <v>2029</v>
      </c>
      <c r="O1" s="102" t="s">
        <v>2030</v>
      </c>
      <c r="P1" s="104" t="s">
        <v>2031</v>
      </c>
      <c r="Q1" s="104" t="s">
        <v>2032</v>
      </c>
      <c r="R1" s="101" t="s">
        <v>1131</v>
      </c>
      <c r="S1" s="101" t="s">
        <v>14</v>
      </c>
      <c r="T1" s="105" t="s">
        <v>2033</v>
      </c>
      <c r="U1" s="106" t="s">
        <v>8</v>
      </c>
      <c r="V1" s="107" t="s">
        <v>2034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ht="35.25" customHeight="1">
      <c r="A2" s="40">
        <v>45274.0</v>
      </c>
      <c r="B2" s="108">
        <v>2426.0</v>
      </c>
      <c r="C2" s="109"/>
      <c r="D2" s="110" t="s">
        <v>44</v>
      </c>
      <c r="E2" s="110" t="s">
        <v>2035</v>
      </c>
      <c r="F2" s="109">
        <v>1.0</v>
      </c>
      <c r="G2" s="111">
        <v>6066.6</v>
      </c>
      <c r="H2" s="112" t="str">
        <f>IF($J2&lt;&gt;"","FATURADO",IF($K2&lt;&gt;"","GANHOU"," "))</f>
        <v>FATURADO</v>
      </c>
      <c r="I2" s="40">
        <v>44986.0</v>
      </c>
      <c r="J2" s="109">
        <v>2049.0</v>
      </c>
      <c r="K2" s="109">
        <v>4.501670306E9</v>
      </c>
      <c r="L2" s="110"/>
      <c r="M2" s="40"/>
      <c r="N2" s="110"/>
      <c r="O2" s="109"/>
      <c r="P2" s="9"/>
      <c r="Q2" s="9"/>
      <c r="R2" s="40"/>
      <c r="S2" s="40">
        <v>44986.0</v>
      </c>
      <c r="T2" s="113"/>
      <c r="U2" s="11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ht="35.25" customHeight="1">
      <c r="A3" s="40">
        <v>44928.0</v>
      </c>
      <c r="B3" s="108">
        <v>2455.0</v>
      </c>
      <c r="C3" s="109"/>
      <c r="D3" s="110" t="s">
        <v>44</v>
      </c>
      <c r="E3" s="110" t="s">
        <v>1052</v>
      </c>
      <c r="F3" s="109">
        <v>1.0</v>
      </c>
      <c r="G3" s="111">
        <v>616.11</v>
      </c>
      <c r="H3" s="112" t="s">
        <v>2036</v>
      </c>
      <c r="I3" s="40"/>
      <c r="J3" s="109"/>
      <c r="K3" s="109"/>
      <c r="L3" s="110"/>
      <c r="M3" s="40"/>
      <c r="N3" s="110"/>
      <c r="O3" s="109"/>
      <c r="P3" s="9"/>
      <c r="Q3" s="9"/>
      <c r="R3" s="40"/>
      <c r="S3" s="40"/>
      <c r="T3" s="113"/>
      <c r="U3" s="11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ht="35.25" customHeight="1">
      <c r="A4" s="40">
        <v>44928.0</v>
      </c>
      <c r="B4" s="108">
        <v>2462.0</v>
      </c>
      <c r="C4" s="109"/>
      <c r="D4" s="110" t="s">
        <v>44</v>
      </c>
      <c r="E4" s="110" t="s">
        <v>2037</v>
      </c>
      <c r="F4" s="109">
        <v>1.0</v>
      </c>
      <c r="G4" s="111">
        <v>0.0</v>
      </c>
      <c r="H4" s="112" t="s">
        <v>2036</v>
      </c>
      <c r="I4" s="40"/>
      <c r="J4" s="109"/>
      <c r="K4" s="109"/>
      <c r="L4" s="110"/>
      <c r="M4" s="40"/>
      <c r="N4" s="110"/>
      <c r="O4" s="109"/>
      <c r="P4" s="9"/>
      <c r="Q4" s="9"/>
      <c r="R4" s="40"/>
      <c r="S4" s="40"/>
      <c r="T4" s="113"/>
      <c r="U4" s="114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ht="35.25" customHeight="1">
      <c r="A5" s="40">
        <v>44928.0</v>
      </c>
      <c r="B5" s="108">
        <v>2462.0</v>
      </c>
      <c r="C5" s="109"/>
      <c r="D5" s="110" t="s">
        <v>44</v>
      </c>
      <c r="E5" s="110" t="s">
        <v>2038</v>
      </c>
      <c r="F5" s="109">
        <v>1.0</v>
      </c>
      <c r="G5" s="111">
        <v>50760.21</v>
      </c>
      <c r="H5" s="112" t="s">
        <v>2036</v>
      </c>
      <c r="I5" s="40"/>
      <c r="J5" s="109"/>
      <c r="K5" s="109"/>
      <c r="L5" s="110"/>
      <c r="M5" s="40"/>
      <c r="N5" s="110"/>
      <c r="O5" s="109"/>
      <c r="P5" s="9"/>
      <c r="Q5" s="9"/>
      <c r="R5" s="40"/>
      <c r="S5" s="40"/>
      <c r="T5" s="113"/>
      <c r="U5" s="114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ht="35.25" customHeight="1">
      <c r="A6" s="40">
        <v>44928.0</v>
      </c>
      <c r="B6" s="108">
        <v>2462.0</v>
      </c>
      <c r="C6" s="109"/>
      <c r="D6" s="110" t="s">
        <v>44</v>
      </c>
      <c r="E6" s="110" t="s">
        <v>2039</v>
      </c>
      <c r="F6" s="109">
        <v>2.0</v>
      </c>
      <c r="G6" s="111">
        <v>7125.23</v>
      </c>
      <c r="H6" s="112" t="s">
        <v>2036</v>
      </c>
      <c r="I6" s="40"/>
      <c r="J6" s="109"/>
      <c r="K6" s="109"/>
      <c r="L6" s="110"/>
      <c r="M6" s="40"/>
      <c r="N6" s="110"/>
      <c r="O6" s="109"/>
      <c r="P6" s="9"/>
      <c r="Q6" s="9"/>
      <c r="R6" s="40"/>
      <c r="S6" s="40"/>
      <c r="T6" s="113"/>
      <c r="U6" s="114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ht="35.25" customHeight="1">
      <c r="A7" s="40">
        <v>44928.0</v>
      </c>
      <c r="B7" s="108">
        <v>2462.0</v>
      </c>
      <c r="C7" s="109"/>
      <c r="D7" s="110" t="s">
        <v>44</v>
      </c>
      <c r="E7" s="110" t="s">
        <v>2040</v>
      </c>
      <c r="F7" s="109">
        <v>1.0</v>
      </c>
      <c r="G7" s="111">
        <v>19949.11</v>
      </c>
      <c r="H7" s="112" t="s">
        <v>2036</v>
      </c>
      <c r="I7" s="40"/>
      <c r="J7" s="109"/>
      <c r="K7" s="109"/>
      <c r="L7" s="110"/>
      <c r="M7" s="40"/>
      <c r="N7" s="110"/>
      <c r="O7" s="109"/>
      <c r="P7" s="9"/>
      <c r="Q7" s="9"/>
      <c r="R7" s="40"/>
      <c r="S7" s="40"/>
      <c r="T7" s="113"/>
      <c r="U7" s="114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ht="35.25" customHeight="1">
      <c r="A8" s="40">
        <v>44928.0</v>
      </c>
      <c r="B8" s="115">
        <v>2462.0</v>
      </c>
      <c r="C8" s="109"/>
      <c r="D8" s="110" t="s">
        <v>44</v>
      </c>
      <c r="E8" s="110" t="s">
        <v>2041</v>
      </c>
      <c r="F8" s="109">
        <v>1.0</v>
      </c>
      <c r="G8" s="111">
        <v>616.11</v>
      </c>
      <c r="H8" s="112" t="s">
        <v>2036</v>
      </c>
      <c r="I8" s="40"/>
      <c r="J8" s="109"/>
      <c r="K8" s="109"/>
      <c r="L8" s="110"/>
      <c r="M8" s="40"/>
      <c r="N8" s="110"/>
      <c r="O8" s="109"/>
      <c r="P8" s="9"/>
      <c r="Q8" s="9"/>
      <c r="R8" s="40"/>
      <c r="S8" s="40"/>
      <c r="T8" s="113"/>
      <c r="U8" s="114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ht="35.25" customHeight="1">
      <c r="A9" s="40">
        <v>44928.0</v>
      </c>
      <c r="B9" s="115">
        <v>2462.0</v>
      </c>
      <c r="C9" s="109"/>
      <c r="D9" s="110" t="s">
        <v>44</v>
      </c>
      <c r="E9" s="110" t="s">
        <v>2042</v>
      </c>
      <c r="F9" s="109">
        <v>1.0</v>
      </c>
      <c r="G9" s="111">
        <v>806.26</v>
      </c>
      <c r="H9" s="112" t="s">
        <v>2036</v>
      </c>
      <c r="I9" s="40"/>
      <c r="J9" s="109"/>
      <c r="K9" s="109"/>
      <c r="L9" s="110"/>
      <c r="M9" s="40"/>
      <c r="N9" s="110"/>
      <c r="O9" s="109"/>
      <c r="P9" s="9"/>
      <c r="Q9" s="9"/>
      <c r="R9" s="40"/>
      <c r="S9" s="40"/>
      <c r="T9" s="113"/>
      <c r="U9" s="114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ht="35.25" customHeight="1">
      <c r="A10" s="40">
        <v>44928.0</v>
      </c>
      <c r="B10" s="115">
        <v>2462.0</v>
      </c>
      <c r="C10" s="109"/>
      <c r="D10" s="110" t="s">
        <v>44</v>
      </c>
      <c r="E10" s="110" t="s">
        <v>1208</v>
      </c>
      <c r="F10" s="109">
        <v>1.0</v>
      </c>
      <c r="G10" s="111">
        <v>863.23</v>
      </c>
      <c r="H10" s="112" t="s">
        <v>2036</v>
      </c>
      <c r="I10" s="40"/>
      <c r="J10" s="109"/>
      <c r="K10" s="109"/>
      <c r="L10" s="110"/>
      <c r="M10" s="40"/>
      <c r="N10" s="110"/>
      <c r="O10" s="109"/>
      <c r="P10" s="9"/>
      <c r="Q10" s="9"/>
      <c r="R10" s="40"/>
      <c r="S10" s="40"/>
      <c r="T10" s="113"/>
      <c r="U10" s="114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ht="35.25" customHeight="1">
      <c r="A11" s="40">
        <v>44928.0</v>
      </c>
      <c r="B11" s="115">
        <v>2462.0</v>
      </c>
      <c r="C11" s="109"/>
      <c r="D11" s="110" t="s">
        <v>44</v>
      </c>
      <c r="E11" s="110" t="s">
        <v>2043</v>
      </c>
      <c r="F11" s="109">
        <v>10.0</v>
      </c>
      <c r="G11" s="111">
        <v>382.3</v>
      </c>
      <c r="H11" s="112" t="s">
        <v>2036</v>
      </c>
      <c r="I11" s="40"/>
      <c r="J11" s="109"/>
      <c r="K11" s="109"/>
      <c r="L11" s="110"/>
      <c r="M11" s="40"/>
      <c r="N11" s="110"/>
      <c r="O11" s="109"/>
      <c r="P11" s="9"/>
      <c r="Q11" s="9"/>
      <c r="R11" s="40"/>
      <c r="S11" s="40"/>
      <c r="T11" s="113"/>
      <c r="U11" s="114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ht="35.25" customHeight="1">
      <c r="A12" s="40">
        <v>44928.0</v>
      </c>
      <c r="B12" s="115">
        <v>2462.0</v>
      </c>
      <c r="C12" s="109"/>
      <c r="D12" s="110" t="s">
        <v>44</v>
      </c>
      <c r="E12" s="110" t="s">
        <v>2044</v>
      </c>
      <c r="F12" s="109">
        <v>2.0</v>
      </c>
      <c r="G12" s="111">
        <v>6907.92</v>
      </c>
      <c r="H12" s="112" t="s">
        <v>2036</v>
      </c>
      <c r="I12" s="40"/>
      <c r="J12" s="109"/>
      <c r="K12" s="109"/>
      <c r="L12" s="110"/>
      <c r="M12" s="40"/>
      <c r="N12" s="110"/>
      <c r="O12" s="109"/>
      <c r="P12" s="9"/>
      <c r="Q12" s="9"/>
      <c r="R12" s="40"/>
      <c r="S12" s="40"/>
      <c r="T12" s="113"/>
      <c r="U12" s="114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ht="35.25" customHeight="1">
      <c r="A13" s="40">
        <v>44928.0</v>
      </c>
      <c r="B13" s="115">
        <v>2462.0</v>
      </c>
      <c r="C13" s="109"/>
      <c r="D13" s="110" t="s">
        <v>44</v>
      </c>
      <c r="E13" s="110" t="s">
        <v>2045</v>
      </c>
      <c r="F13" s="109">
        <v>3.0</v>
      </c>
      <c r="G13" s="111">
        <v>10256.73</v>
      </c>
      <c r="H13" s="112" t="s">
        <v>2036</v>
      </c>
      <c r="I13" s="40"/>
      <c r="J13" s="109"/>
      <c r="K13" s="109"/>
      <c r="L13" s="110"/>
      <c r="M13" s="40"/>
      <c r="N13" s="110"/>
      <c r="O13" s="109"/>
      <c r="P13" s="9"/>
      <c r="Q13" s="9"/>
      <c r="R13" s="40"/>
      <c r="S13" s="40"/>
      <c r="T13" s="113"/>
      <c r="U13" s="114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ht="35.25" customHeight="1">
      <c r="A14" s="40">
        <v>44928.0</v>
      </c>
      <c r="B14" s="115">
        <v>2462.0</v>
      </c>
      <c r="C14" s="109"/>
      <c r="D14" s="110" t="s">
        <v>44</v>
      </c>
      <c r="E14" s="110" t="s">
        <v>2046</v>
      </c>
      <c r="F14" s="109">
        <v>2.0</v>
      </c>
      <c r="G14" s="111">
        <v>11216.96</v>
      </c>
      <c r="H14" s="112" t="s">
        <v>2036</v>
      </c>
      <c r="I14" s="40"/>
      <c r="J14" s="109"/>
      <c r="K14" s="109"/>
      <c r="L14" s="110"/>
      <c r="M14" s="40"/>
      <c r="N14" s="110"/>
      <c r="O14" s="109"/>
      <c r="P14" s="9"/>
      <c r="Q14" s="9"/>
      <c r="R14" s="40"/>
      <c r="S14" s="40"/>
      <c r="T14" s="113"/>
      <c r="U14" s="114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ht="35.25" customHeight="1">
      <c r="A15" s="40">
        <v>44928.0</v>
      </c>
      <c r="B15" s="115">
        <v>2462.0</v>
      </c>
      <c r="C15" s="109"/>
      <c r="D15" s="110" t="s">
        <v>44</v>
      </c>
      <c r="E15" s="110" t="s">
        <v>2047</v>
      </c>
      <c r="F15" s="109">
        <v>2.0</v>
      </c>
      <c r="G15" s="111">
        <v>10332.1</v>
      </c>
      <c r="H15" s="112" t="s">
        <v>2036</v>
      </c>
      <c r="I15" s="40"/>
      <c r="J15" s="109"/>
      <c r="K15" s="109"/>
      <c r="L15" s="110"/>
      <c r="M15" s="40"/>
      <c r="N15" s="110"/>
      <c r="O15" s="109"/>
      <c r="P15" s="9"/>
      <c r="Q15" s="9"/>
      <c r="R15" s="40"/>
      <c r="S15" s="40"/>
      <c r="T15" s="113"/>
      <c r="U15" s="114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ht="35.25" customHeight="1">
      <c r="A16" s="40">
        <v>44928.0</v>
      </c>
      <c r="B16" s="115">
        <v>2462.0</v>
      </c>
      <c r="C16" s="109"/>
      <c r="D16" s="110" t="s">
        <v>44</v>
      </c>
      <c r="E16" s="110" t="s">
        <v>2048</v>
      </c>
      <c r="F16" s="109">
        <v>1.0</v>
      </c>
      <c r="G16" s="111">
        <v>19188.19</v>
      </c>
      <c r="H16" s="112" t="s">
        <v>2036</v>
      </c>
      <c r="I16" s="40"/>
      <c r="J16" s="109"/>
      <c r="K16" s="109"/>
      <c r="L16" s="110"/>
      <c r="M16" s="40"/>
      <c r="N16" s="110"/>
      <c r="O16" s="109"/>
      <c r="P16" s="9"/>
      <c r="Q16" s="9"/>
      <c r="R16" s="40"/>
      <c r="S16" s="40"/>
      <c r="T16" s="113"/>
      <c r="U16" s="114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ht="35.25" customHeight="1">
      <c r="A17" s="40">
        <v>44928.0</v>
      </c>
      <c r="B17" s="115">
        <v>2462.0</v>
      </c>
      <c r="C17" s="109"/>
      <c r="D17" s="110" t="s">
        <v>44</v>
      </c>
      <c r="E17" s="110" t="s">
        <v>2049</v>
      </c>
      <c r="F17" s="109">
        <v>3.0</v>
      </c>
      <c r="G17" s="111">
        <v>6350.89</v>
      </c>
      <c r="H17" s="112" t="s">
        <v>2036</v>
      </c>
      <c r="I17" s="40"/>
      <c r="J17" s="109"/>
      <c r="K17" s="109"/>
      <c r="L17" s="110"/>
      <c r="M17" s="40"/>
      <c r="N17" s="110"/>
      <c r="O17" s="109"/>
      <c r="P17" s="9"/>
      <c r="Q17" s="9"/>
      <c r="R17" s="40"/>
      <c r="S17" s="40"/>
      <c r="T17" s="113"/>
      <c r="U17" s="114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ht="35.25" customHeight="1">
      <c r="A18" s="40">
        <v>44928.0</v>
      </c>
      <c r="B18" s="115">
        <v>2462.0</v>
      </c>
      <c r="C18" s="109"/>
      <c r="D18" s="110" t="s">
        <v>44</v>
      </c>
      <c r="E18" s="110" t="s">
        <v>2050</v>
      </c>
      <c r="F18" s="109">
        <v>1.0</v>
      </c>
      <c r="G18" s="111">
        <v>1016.43</v>
      </c>
      <c r="H18" s="112" t="s">
        <v>2036</v>
      </c>
      <c r="I18" s="40"/>
      <c r="J18" s="109"/>
      <c r="K18" s="109"/>
      <c r="L18" s="110"/>
      <c r="M18" s="40"/>
      <c r="N18" s="110"/>
      <c r="O18" s="109"/>
      <c r="P18" s="9"/>
      <c r="Q18" s="9"/>
      <c r="R18" s="40"/>
      <c r="S18" s="40"/>
      <c r="T18" s="113"/>
      <c r="U18" s="11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ht="35.25" customHeight="1">
      <c r="A19" s="40">
        <v>44928.0</v>
      </c>
      <c r="B19" s="115">
        <v>2463.0</v>
      </c>
      <c r="C19" s="109"/>
      <c r="D19" s="110" t="s">
        <v>77</v>
      </c>
      <c r="E19" s="110" t="s">
        <v>1052</v>
      </c>
      <c r="F19" s="109">
        <v>1.0</v>
      </c>
      <c r="G19" s="111">
        <v>616.11</v>
      </c>
      <c r="H19" s="112" t="s">
        <v>2036</v>
      </c>
      <c r="I19" s="40"/>
      <c r="J19" s="109"/>
      <c r="K19" s="109"/>
      <c r="L19" s="110"/>
      <c r="M19" s="40"/>
      <c r="N19" s="110"/>
      <c r="O19" s="109"/>
      <c r="P19" s="9"/>
      <c r="Q19" s="9"/>
      <c r="R19" s="40"/>
      <c r="S19" s="40"/>
      <c r="T19" s="113"/>
      <c r="U19" s="114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ht="35.25" customHeight="1">
      <c r="A20" s="40">
        <v>44930.0</v>
      </c>
      <c r="B20" s="115">
        <v>2464.0</v>
      </c>
      <c r="C20" s="109"/>
      <c r="D20" s="110" t="s">
        <v>44</v>
      </c>
      <c r="E20" s="110" t="s">
        <v>2051</v>
      </c>
      <c r="F20" s="109">
        <v>3.0</v>
      </c>
      <c r="G20" s="111">
        <v>119700.0</v>
      </c>
      <c r="H20" s="112" t="s">
        <v>2036</v>
      </c>
      <c r="I20" s="40"/>
      <c r="J20" s="109"/>
      <c r="K20" s="109"/>
      <c r="L20" s="110"/>
      <c r="M20" s="40"/>
      <c r="N20" s="110"/>
      <c r="O20" s="109"/>
      <c r="P20" s="9"/>
      <c r="Q20" s="9"/>
      <c r="R20" s="40"/>
      <c r="S20" s="40"/>
      <c r="T20" s="113"/>
      <c r="U20" s="1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ht="35.25" customHeight="1">
      <c r="A21" s="40">
        <v>44930.0</v>
      </c>
      <c r="B21" s="115">
        <v>2465.0</v>
      </c>
      <c r="C21" s="109"/>
      <c r="D21" s="110" t="s">
        <v>44</v>
      </c>
      <c r="E21" s="110" t="s">
        <v>2052</v>
      </c>
      <c r="F21" s="109">
        <v>3.0</v>
      </c>
      <c r="G21" s="111">
        <v>39900.0</v>
      </c>
      <c r="H21" s="112" t="s">
        <v>2036</v>
      </c>
      <c r="I21" s="40"/>
      <c r="J21" s="109"/>
      <c r="K21" s="109"/>
      <c r="L21" s="110"/>
      <c r="M21" s="40"/>
      <c r="N21" s="110"/>
      <c r="O21" s="109"/>
      <c r="P21" s="9"/>
      <c r="Q21" s="9"/>
      <c r="R21" s="40"/>
      <c r="S21" s="40"/>
      <c r="T21" s="113"/>
      <c r="U21" s="114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ht="35.25" customHeight="1">
      <c r="A22" s="40">
        <v>44930.0</v>
      </c>
      <c r="B22" s="115">
        <v>2467.0</v>
      </c>
      <c r="C22" s="109"/>
      <c r="D22" s="110" t="s">
        <v>19</v>
      </c>
      <c r="E22" s="110" t="s">
        <v>2053</v>
      </c>
      <c r="F22" s="109">
        <v>30.0</v>
      </c>
      <c r="G22" s="111">
        <v>585.0</v>
      </c>
      <c r="H22" s="112" t="s">
        <v>180</v>
      </c>
      <c r="I22" s="40">
        <v>44974.0</v>
      </c>
      <c r="J22" s="109">
        <v>2046.0</v>
      </c>
      <c r="K22" s="109"/>
      <c r="L22" s="110"/>
      <c r="M22" s="40"/>
      <c r="N22" s="110"/>
      <c r="O22" s="109"/>
      <c r="P22" s="9"/>
      <c r="Q22" s="9"/>
      <c r="R22" s="40"/>
      <c r="S22" s="40"/>
      <c r="T22" s="113"/>
      <c r="U22" s="114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ht="35.25" customHeight="1">
      <c r="A23" s="40">
        <v>44932.0</v>
      </c>
      <c r="B23" s="115">
        <v>2475.0</v>
      </c>
      <c r="C23" s="109"/>
      <c r="D23" s="110" t="s">
        <v>2054</v>
      </c>
      <c r="E23" s="110" t="s">
        <v>2055</v>
      </c>
      <c r="F23" s="109">
        <v>5.0</v>
      </c>
      <c r="G23" s="111">
        <v>9815.85</v>
      </c>
      <c r="H23" s="112" t="s">
        <v>180</v>
      </c>
      <c r="I23" s="40">
        <v>45113.0</v>
      </c>
      <c r="J23" s="109">
        <v>2074.0</v>
      </c>
      <c r="K23" s="109"/>
      <c r="L23" s="110"/>
      <c r="M23" s="40"/>
      <c r="N23" s="110"/>
      <c r="O23" s="109"/>
      <c r="P23" s="9"/>
      <c r="Q23" s="9"/>
      <c r="R23" s="40"/>
      <c r="S23" s="40"/>
      <c r="T23" s="113"/>
      <c r="U23" s="114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ht="35.25" customHeight="1">
      <c r="A24" s="40">
        <v>44932.0</v>
      </c>
      <c r="B24" s="115">
        <v>2475.0</v>
      </c>
      <c r="C24" s="109"/>
      <c r="D24" s="110" t="s">
        <v>2054</v>
      </c>
      <c r="E24" s="110" t="s">
        <v>2056</v>
      </c>
      <c r="F24" s="109">
        <v>5.0</v>
      </c>
      <c r="G24" s="111">
        <v>12831.15</v>
      </c>
      <c r="H24" s="112" t="s">
        <v>180</v>
      </c>
      <c r="I24" s="40">
        <v>45196.0</v>
      </c>
      <c r="J24" s="109">
        <v>2152.0</v>
      </c>
      <c r="K24" s="109"/>
      <c r="L24" s="110"/>
      <c r="M24" s="40"/>
      <c r="N24" s="110"/>
      <c r="O24" s="109"/>
      <c r="P24" s="9"/>
      <c r="Q24" s="9"/>
      <c r="R24" s="40"/>
      <c r="S24" s="40"/>
      <c r="T24" s="113"/>
      <c r="U24" s="114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ht="35.25" customHeight="1">
      <c r="A25" s="40">
        <v>44936.0</v>
      </c>
      <c r="B25" s="115">
        <v>2476.0</v>
      </c>
      <c r="C25" s="109"/>
      <c r="D25" s="110" t="s">
        <v>2057</v>
      </c>
      <c r="E25" s="116" t="s">
        <v>2058</v>
      </c>
      <c r="F25" s="109">
        <v>2.0</v>
      </c>
      <c r="G25" s="111">
        <v>1880.07</v>
      </c>
      <c r="H25" s="112" t="s">
        <v>2036</v>
      </c>
      <c r="I25" s="40"/>
      <c r="J25" s="109"/>
      <c r="K25" s="109"/>
      <c r="L25" s="110"/>
      <c r="M25" s="40"/>
      <c r="N25" s="110"/>
      <c r="O25" s="109"/>
      <c r="P25" s="9"/>
      <c r="Q25" s="9"/>
      <c r="R25" s="40"/>
      <c r="S25" s="40"/>
      <c r="T25" s="113"/>
      <c r="U25" s="114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ht="35.25" customHeight="1">
      <c r="A26" s="40">
        <v>44937.0</v>
      </c>
      <c r="B26" s="115">
        <v>2476.0</v>
      </c>
      <c r="C26" s="109"/>
      <c r="D26" s="110" t="s">
        <v>2059</v>
      </c>
      <c r="E26" s="110" t="s">
        <v>2060</v>
      </c>
      <c r="F26" s="109">
        <v>1.0</v>
      </c>
      <c r="G26" s="111">
        <v>1880.07</v>
      </c>
      <c r="H26" s="112" t="s">
        <v>2036</v>
      </c>
      <c r="I26" s="40"/>
      <c r="J26" s="109"/>
      <c r="K26" s="109"/>
      <c r="L26" s="110"/>
      <c r="M26" s="40"/>
      <c r="N26" s="110"/>
      <c r="O26" s="109"/>
      <c r="P26" s="9"/>
      <c r="Q26" s="9"/>
      <c r="R26" s="40"/>
      <c r="S26" s="40"/>
      <c r="T26" s="113"/>
      <c r="U26" s="114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ht="35.25" customHeight="1">
      <c r="A27" s="40">
        <v>44937.0</v>
      </c>
      <c r="B27" s="115">
        <v>2478.0</v>
      </c>
      <c r="C27" s="109"/>
      <c r="D27" s="110" t="s">
        <v>44</v>
      </c>
      <c r="E27" s="110" t="s">
        <v>2061</v>
      </c>
      <c r="F27" s="109">
        <v>15.0</v>
      </c>
      <c r="G27" s="111">
        <v>223.47</v>
      </c>
      <c r="H27" s="112" t="str">
        <f>IF($J27&lt;&gt;"","FATURADO",IF($K27&lt;&gt;"","GANHOU"," "))</f>
        <v>FATURADO</v>
      </c>
      <c r="I27" s="40">
        <v>45056.0</v>
      </c>
      <c r="J27" s="109">
        <v>2093.0</v>
      </c>
      <c r="K27" s="109">
        <v>4.501670592E9</v>
      </c>
      <c r="L27" s="110"/>
      <c r="M27" s="40"/>
      <c r="N27" s="110"/>
      <c r="O27" s="109"/>
      <c r="P27" s="9"/>
      <c r="Q27" s="9"/>
      <c r="R27" s="40">
        <v>45007.0</v>
      </c>
      <c r="S27" s="40"/>
      <c r="T27" s="113"/>
      <c r="U27" s="114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ht="35.25" customHeight="1">
      <c r="A28" s="40">
        <v>44937.0</v>
      </c>
      <c r="B28" s="117">
        <v>2478.0</v>
      </c>
      <c r="C28" s="109"/>
      <c r="D28" s="110" t="s">
        <v>44</v>
      </c>
      <c r="E28" s="110" t="s">
        <v>2062</v>
      </c>
      <c r="F28" s="109">
        <v>8.0</v>
      </c>
      <c r="G28" s="111">
        <v>12874.7</v>
      </c>
      <c r="H28" s="112" t="s">
        <v>2036</v>
      </c>
      <c r="I28" s="40"/>
      <c r="J28" s="109"/>
      <c r="K28" s="109"/>
      <c r="L28" s="110"/>
      <c r="M28" s="40"/>
      <c r="N28" s="110"/>
      <c r="O28" s="109"/>
      <c r="P28" s="9"/>
      <c r="Q28" s="9"/>
      <c r="R28" s="40"/>
      <c r="S28" s="40"/>
      <c r="T28" s="113"/>
      <c r="U28" s="114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ht="35.25" customHeight="1">
      <c r="A29" s="40">
        <v>44928.0</v>
      </c>
      <c r="B29" s="108">
        <v>2482.0</v>
      </c>
      <c r="C29" s="109"/>
      <c r="D29" s="110" t="s">
        <v>77</v>
      </c>
      <c r="E29" s="110" t="s">
        <v>2063</v>
      </c>
      <c r="F29" s="109">
        <v>1.0</v>
      </c>
      <c r="G29" s="111">
        <v>6165.78</v>
      </c>
      <c r="H29" s="112" t="s">
        <v>167</v>
      </c>
      <c r="I29" s="40"/>
      <c r="J29" s="109"/>
      <c r="K29" s="109"/>
      <c r="L29" s="110"/>
      <c r="M29" s="40"/>
      <c r="N29" s="110"/>
      <c r="O29" s="109"/>
      <c r="P29" s="9"/>
      <c r="Q29" s="9"/>
      <c r="R29" s="40"/>
      <c r="S29" s="40"/>
      <c r="T29" s="113"/>
      <c r="U29" s="114" t="s">
        <v>2064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ht="35.25" customHeight="1">
      <c r="A30" s="40">
        <v>44937.0</v>
      </c>
      <c r="B30" s="108">
        <v>2485.0</v>
      </c>
      <c r="C30" s="109"/>
      <c r="D30" s="110" t="s">
        <v>44</v>
      </c>
      <c r="E30" s="110" t="s">
        <v>2065</v>
      </c>
      <c r="F30" s="109">
        <v>2.0</v>
      </c>
      <c r="G30" s="111">
        <v>224.0</v>
      </c>
      <c r="H30" s="112" t="str">
        <f>IF($J30&lt;&gt;"","FATURADO",IF($K30&lt;&gt;"","GANHOU"," "))</f>
        <v>FATURADO</v>
      </c>
      <c r="I30" s="40">
        <v>45056.0</v>
      </c>
      <c r="J30" s="109">
        <v>2102.0</v>
      </c>
      <c r="K30" s="118">
        <v>4.501670948E9</v>
      </c>
      <c r="L30" s="119"/>
      <c r="M30" s="120"/>
      <c r="N30" s="119"/>
      <c r="O30" s="118"/>
      <c r="P30" s="95"/>
      <c r="Q30" s="95"/>
      <c r="R30" s="40">
        <v>44979.0</v>
      </c>
      <c r="S30" s="40"/>
      <c r="T30" s="113"/>
      <c r="U30" s="114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ht="35.25" customHeight="1">
      <c r="A31" s="40">
        <v>44937.0</v>
      </c>
      <c r="B31" s="117">
        <v>2478.0</v>
      </c>
      <c r="C31" s="109"/>
      <c r="D31" s="110" t="s">
        <v>44</v>
      </c>
      <c r="E31" s="110" t="s">
        <v>2066</v>
      </c>
      <c r="F31" s="109">
        <v>30.0</v>
      </c>
      <c r="G31" s="111">
        <v>447.0</v>
      </c>
      <c r="H31" s="112" t="s">
        <v>2036</v>
      </c>
      <c r="I31" s="40"/>
      <c r="J31" s="109"/>
      <c r="K31" s="118"/>
      <c r="L31" s="119"/>
      <c r="M31" s="120"/>
      <c r="N31" s="119"/>
      <c r="O31" s="118"/>
      <c r="P31" s="95"/>
      <c r="Q31" s="95"/>
      <c r="R31" s="40"/>
      <c r="S31" s="40"/>
      <c r="T31" s="113"/>
      <c r="U31" s="114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ht="35.25" customHeight="1">
      <c r="A32" s="40">
        <v>44938.0</v>
      </c>
      <c r="B32" s="117">
        <v>2484.0</v>
      </c>
      <c r="C32" s="109"/>
      <c r="D32" s="110" t="s">
        <v>2054</v>
      </c>
      <c r="E32" s="110" t="s">
        <v>2067</v>
      </c>
      <c r="F32" s="109">
        <v>23.0</v>
      </c>
      <c r="G32" s="111">
        <v>1160.36</v>
      </c>
      <c r="H32" s="112" t="s">
        <v>2036</v>
      </c>
      <c r="I32" s="40"/>
      <c r="J32" s="109"/>
      <c r="K32" s="118"/>
      <c r="L32" s="119"/>
      <c r="M32" s="120"/>
      <c r="N32" s="119"/>
      <c r="O32" s="118"/>
      <c r="P32" s="95"/>
      <c r="Q32" s="95"/>
      <c r="R32" s="40"/>
      <c r="S32" s="40"/>
      <c r="T32" s="113"/>
      <c r="U32" s="114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ht="35.25" customHeight="1">
      <c r="A33" s="40">
        <v>44939.0</v>
      </c>
      <c r="B33" s="108">
        <v>2486.0</v>
      </c>
      <c r="C33" s="109"/>
      <c r="D33" s="110" t="s">
        <v>44</v>
      </c>
      <c r="E33" s="110" t="s">
        <v>2068</v>
      </c>
      <c r="F33" s="109">
        <v>2.0</v>
      </c>
      <c r="G33" s="111">
        <v>10133.8</v>
      </c>
      <c r="H33" s="112" t="s">
        <v>2036</v>
      </c>
      <c r="I33" s="40"/>
      <c r="J33" s="109"/>
      <c r="K33" s="109"/>
      <c r="L33" s="110"/>
      <c r="M33" s="40"/>
      <c r="N33" s="110"/>
      <c r="O33" s="109"/>
      <c r="P33" s="9"/>
      <c r="Q33" s="9"/>
      <c r="R33" s="40"/>
      <c r="S33" s="40"/>
      <c r="T33" s="113"/>
      <c r="U33" s="114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ht="35.25" customHeight="1">
      <c r="A34" s="40">
        <v>44939.0</v>
      </c>
      <c r="B34" s="108">
        <v>2487.0</v>
      </c>
      <c r="C34" s="109"/>
      <c r="D34" s="110" t="s">
        <v>44</v>
      </c>
      <c r="E34" s="110" t="s">
        <v>2069</v>
      </c>
      <c r="F34" s="109">
        <v>1.0</v>
      </c>
      <c r="G34" s="111">
        <v>3275.63</v>
      </c>
      <c r="H34" s="112" t="str">
        <f>IF($J34&lt;&gt;"","FATURADO",IF($K34&lt;&gt;"","GANHOU"," "))</f>
        <v>FATURADO</v>
      </c>
      <c r="I34" s="40">
        <v>45056.0</v>
      </c>
      <c r="J34" s="109">
        <v>2094.0</v>
      </c>
      <c r="K34" s="109">
        <v>4.501669877E9</v>
      </c>
      <c r="L34" s="110"/>
      <c r="M34" s="40"/>
      <c r="N34" s="110"/>
      <c r="O34" s="109"/>
      <c r="P34" s="9"/>
      <c r="Q34" s="9"/>
      <c r="R34" s="40">
        <v>45005.0</v>
      </c>
      <c r="S34" s="40"/>
      <c r="T34" s="113"/>
      <c r="U34" s="114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ht="35.25" customHeight="1">
      <c r="A35" s="40">
        <v>44939.0</v>
      </c>
      <c r="B35" s="108">
        <v>2488.0</v>
      </c>
      <c r="C35" s="109"/>
      <c r="D35" s="110" t="s">
        <v>44</v>
      </c>
      <c r="E35" s="110" t="s">
        <v>2070</v>
      </c>
      <c r="F35" s="109">
        <v>2.0</v>
      </c>
      <c r="G35" s="111">
        <v>3005.23</v>
      </c>
      <c r="H35" s="112" t="s">
        <v>2036</v>
      </c>
      <c r="I35" s="40"/>
      <c r="J35" s="109"/>
      <c r="K35" s="109"/>
      <c r="L35" s="110"/>
      <c r="M35" s="40"/>
      <c r="N35" s="110"/>
      <c r="O35" s="109"/>
      <c r="P35" s="9"/>
      <c r="Q35" s="9"/>
      <c r="R35" s="40"/>
      <c r="S35" s="40"/>
      <c r="T35" s="113"/>
      <c r="U35" s="114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ht="35.25" customHeight="1">
      <c r="A36" s="40">
        <v>44942.0</v>
      </c>
      <c r="B36" s="115">
        <v>2494.0</v>
      </c>
      <c r="C36" s="109"/>
      <c r="D36" s="110" t="s">
        <v>75</v>
      </c>
      <c r="E36" s="110" t="s">
        <v>2071</v>
      </c>
      <c r="F36" s="109">
        <v>1.0</v>
      </c>
      <c r="G36" s="111">
        <v>3183.02</v>
      </c>
      <c r="H36" s="112" t="s">
        <v>2036</v>
      </c>
      <c r="I36" s="40"/>
      <c r="J36" s="109"/>
      <c r="K36" s="109"/>
      <c r="L36" s="110"/>
      <c r="M36" s="40"/>
      <c r="N36" s="110"/>
      <c r="O36" s="109"/>
      <c r="P36" s="9"/>
      <c r="Q36" s="9"/>
      <c r="R36" s="40"/>
      <c r="S36" s="40"/>
      <c r="T36" s="113"/>
      <c r="U36" s="114" t="s">
        <v>2072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ht="35.25" customHeight="1">
      <c r="A37" s="40">
        <v>44943.0</v>
      </c>
      <c r="B37" s="121">
        <v>2495.0</v>
      </c>
      <c r="C37" s="109"/>
      <c r="D37" s="110" t="s">
        <v>77</v>
      </c>
      <c r="E37" s="110" t="s">
        <v>1209</v>
      </c>
      <c r="F37" s="109">
        <v>2.0</v>
      </c>
      <c r="G37" s="111">
        <v>3005.23</v>
      </c>
      <c r="H37" s="112" t="s">
        <v>2036</v>
      </c>
      <c r="I37" s="40"/>
      <c r="J37" s="109"/>
      <c r="K37" s="109"/>
      <c r="L37" s="110"/>
      <c r="M37" s="40"/>
      <c r="N37" s="110"/>
      <c r="O37" s="109"/>
      <c r="P37" s="9"/>
      <c r="Q37" s="9"/>
      <c r="R37" s="40"/>
      <c r="S37" s="40"/>
      <c r="T37" s="113"/>
      <c r="U37" s="114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ht="35.25" customHeight="1">
      <c r="A38" s="40">
        <v>44945.0</v>
      </c>
      <c r="B38" s="117">
        <v>2496.0</v>
      </c>
      <c r="C38" s="109"/>
      <c r="D38" s="110" t="s">
        <v>2073</v>
      </c>
      <c r="E38" s="110" t="s">
        <v>2074</v>
      </c>
      <c r="F38" s="109">
        <v>7.0</v>
      </c>
      <c r="G38" s="111">
        <v>2447.2</v>
      </c>
      <c r="H38" s="112" t="s">
        <v>2036</v>
      </c>
      <c r="I38" s="40"/>
      <c r="J38" s="109"/>
      <c r="K38" s="109"/>
      <c r="L38" s="110"/>
      <c r="M38" s="40"/>
      <c r="N38" s="110"/>
      <c r="O38" s="109"/>
      <c r="P38" s="9"/>
      <c r="Q38" s="9"/>
      <c r="R38" s="40"/>
      <c r="S38" s="40"/>
      <c r="T38" s="113"/>
      <c r="U38" s="114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ht="35.25" customHeight="1">
      <c r="A39" s="40">
        <v>44945.0</v>
      </c>
      <c r="B39" s="108">
        <v>2496.0</v>
      </c>
      <c r="C39" s="109"/>
      <c r="D39" s="110" t="s">
        <v>2073</v>
      </c>
      <c r="E39" s="110" t="s">
        <v>2075</v>
      </c>
      <c r="F39" s="109">
        <v>1.0</v>
      </c>
      <c r="G39" s="111">
        <v>2078.32</v>
      </c>
      <c r="H39" s="112" t="s">
        <v>2036</v>
      </c>
      <c r="I39" s="40"/>
      <c r="J39" s="109"/>
      <c r="K39" s="109"/>
      <c r="L39" s="110"/>
      <c r="M39" s="40"/>
      <c r="N39" s="110"/>
      <c r="O39" s="109"/>
      <c r="P39" s="9"/>
      <c r="Q39" s="9"/>
      <c r="R39" s="40"/>
      <c r="S39" s="40"/>
      <c r="T39" s="113"/>
      <c r="U39" s="114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ht="35.25" customHeight="1">
      <c r="A40" s="40">
        <v>41293.0</v>
      </c>
      <c r="B40" s="115">
        <v>2497.0</v>
      </c>
      <c r="C40" s="109"/>
      <c r="D40" s="110" t="s">
        <v>44</v>
      </c>
      <c r="E40" s="110" t="s">
        <v>2076</v>
      </c>
      <c r="F40" s="109">
        <v>1.0</v>
      </c>
      <c r="G40" s="111">
        <v>6066.6</v>
      </c>
      <c r="H40" s="112" t="s">
        <v>2036</v>
      </c>
      <c r="I40" s="40"/>
      <c r="J40" s="109"/>
      <c r="K40" s="109"/>
      <c r="L40" s="110"/>
      <c r="M40" s="40"/>
      <c r="N40" s="110"/>
      <c r="O40" s="109"/>
      <c r="P40" s="9"/>
      <c r="Q40" s="9"/>
      <c r="R40" s="40"/>
      <c r="S40" s="40"/>
      <c r="T40" s="113"/>
      <c r="U40" s="114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ht="35.25" customHeight="1">
      <c r="A41" s="40">
        <v>44945.0</v>
      </c>
      <c r="B41" s="115">
        <v>2498.0</v>
      </c>
      <c r="C41" s="109"/>
      <c r="D41" s="110" t="s">
        <v>170</v>
      </c>
      <c r="E41" s="110" t="s">
        <v>2077</v>
      </c>
      <c r="F41" s="109">
        <v>1.0</v>
      </c>
      <c r="G41" s="111">
        <v>3567.52</v>
      </c>
      <c r="H41" s="112" t="s">
        <v>2036</v>
      </c>
      <c r="I41" s="40"/>
      <c r="J41" s="109"/>
      <c r="K41" s="109"/>
      <c r="L41" s="110"/>
      <c r="M41" s="40"/>
      <c r="N41" s="110"/>
      <c r="O41" s="109"/>
      <c r="P41" s="9"/>
      <c r="Q41" s="9"/>
      <c r="R41" s="40"/>
      <c r="S41" s="40"/>
      <c r="T41" s="113"/>
      <c r="U41" s="114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ht="35.25" customHeight="1">
      <c r="A42" s="40">
        <v>44946.0</v>
      </c>
      <c r="B42" s="115">
        <v>2499.0</v>
      </c>
      <c r="C42" s="109"/>
      <c r="D42" s="110" t="s">
        <v>2078</v>
      </c>
      <c r="E42" s="110" t="s">
        <v>1718</v>
      </c>
      <c r="F42" s="109">
        <v>50.0</v>
      </c>
      <c r="G42" s="111">
        <v>1006.45</v>
      </c>
      <c r="H42" s="110" t="str">
        <f t="shared" ref="H42:H46" si="1">IF($J42&lt;&gt;"","FATURADO",IF($K42&lt;&gt;"","GANHOU"," "))</f>
        <v>FATURADO</v>
      </c>
      <c r="I42" s="40">
        <v>44946.0</v>
      </c>
      <c r="J42" s="109">
        <v>2048.0</v>
      </c>
      <c r="K42" s="109">
        <v>2499.0</v>
      </c>
      <c r="L42" s="110"/>
      <c r="M42" s="40"/>
      <c r="N42" s="110"/>
      <c r="O42" s="109"/>
      <c r="P42" s="9"/>
      <c r="Q42" s="9"/>
      <c r="R42" s="40"/>
      <c r="S42" s="40"/>
      <c r="T42" s="113"/>
      <c r="U42" s="114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ht="35.25" customHeight="1">
      <c r="A43" s="40">
        <v>44946.0</v>
      </c>
      <c r="B43" s="117">
        <v>2499.0</v>
      </c>
      <c r="C43" s="109"/>
      <c r="D43" s="110" t="s">
        <v>2078</v>
      </c>
      <c r="E43" s="110" t="s">
        <v>2079</v>
      </c>
      <c r="F43" s="109">
        <v>15.0</v>
      </c>
      <c r="G43" s="111">
        <v>131.61</v>
      </c>
      <c r="H43" s="110" t="str">
        <f t="shared" si="1"/>
        <v>FATURADO</v>
      </c>
      <c r="I43" s="40">
        <v>44946.0</v>
      </c>
      <c r="J43" s="109">
        <v>2048.0</v>
      </c>
      <c r="K43" s="109">
        <v>2499.0</v>
      </c>
      <c r="L43" s="110"/>
      <c r="M43" s="40"/>
      <c r="N43" s="110"/>
      <c r="O43" s="109"/>
      <c r="P43" s="9"/>
      <c r="Q43" s="9"/>
      <c r="R43" s="40"/>
      <c r="S43" s="40"/>
      <c r="T43" s="113"/>
      <c r="U43" s="114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ht="35.25" customHeight="1">
      <c r="A44" s="40">
        <v>44946.0</v>
      </c>
      <c r="B44" s="115">
        <v>2499.0</v>
      </c>
      <c r="C44" s="109"/>
      <c r="D44" s="110" t="s">
        <v>2078</v>
      </c>
      <c r="E44" s="110" t="s">
        <v>1449</v>
      </c>
      <c r="F44" s="109">
        <v>30.0</v>
      </c>
      <c r="G44" s="111">
        <v>66.58</v>
      </c>
      <c r="H44" s="110" t="str">
        <f t="shared" si="1"/>
        <v>FATURADO</v>
      </c>
      <c r="I44" s="40">
        <v>44946.0</v>
      </c>
      <c r="J44" s="109">
        <v>2048.0</v>
      </c>
      <c r="K44" s="109">
        <v>2499.0</v>
      </c>
      <c r="L44" s="110"/>
      <c r="M44" s="40"/>
      <c r="N44" s="110"/>
      <c r="O44" s="109"/>
      <c r="P44" s="9"/>
      <c r="Q44" s="9"/>
      <c r="R44" s="40"/>
      <c r="S44" s="40"/>
      <c r="T44" s="113"/>
      <c r="U44" s="114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ht="35.25" customHeight="1">
      <c r="A45" s="40">
        <v>44946.0</v>
      </c>
      <c r="B45" s="121">
        <v>2499.0</v>
      </c>
      <c r="C45" s="109"/>
      <c r="D45" s="110" t="s">
        <v>2078</v>
      </c>
      <c r="E45" s="110" t="s">
        <v>1447</v>
      </c>
      <c r="F45" s="109">
        <v>30.0</v>
      </c>
      <c r="G45" s="111">
        <v>66.19</v>
      </c>
      <c r="H45" s="110" t="str">
        <f t="shared" si="1"/>
        <v>FATURADO</v>
      </c>
      <c r="I45" s="40">
        <v>44946.0</v>
      </c>
      <c r="J45" s="109">
        <v>2048.0</v>
      </c>
      <c r="K45" s="109">
        <v>2499.0</v>
      </c>
      <c r="L45" s="110"/>
      <c r="M45" s="40"/>
      <c r="N45" s="110"/>
      <c r="O45" s="109"/>
      <c r="P45" s="9"/>
      <c r="Q45" s="9"/>
      <c r="R45" s="40"/>
      <c r="S45" s="40"/>
      <c r="T45" s="113"/>
      <c r="U45" s="114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ht="35.25" customHeight="1">
      <c r="A46" s="40">
        <v>44946.0</v>
      </c>
      <c r="B46" s="121">
        <v>2499.0</v>
      </c>
      <c r="C46" s="109"/>
      <c r="D46" s="110" t="s">
        <v>2078</v>
      </c>
      <c r="E46" s="110" t="s">
        <v>1719</v>
      </c>
      <c r="F46" s="109">
        <v>50.0</v>
      </c>
      <c r="G46" s="111">
        <v>913.5</v>
      </c>
      <c r="H46" s="110" t="str">
        <f t="shared" si="1"/>
        <v>FATURADO</v>
      </c>
      <c r="I46" s="40">
        <v>44946.0</v>
      </c>
      <c r="J46" s="109">
        <v>2048.0</v>
      </c>
      <c r="K46" s="109">
        <v>2499.0</v>
      </c>
      <c r="L46" s="110"/>
      <c r="M46" s="40"/>
      <c r="N46" s="110"/>
      <c r="O46" s="109"/>
      <c r="P46" s="9"/>
      <c r="Q46" s="9"/>
      <c r="R46" s="40"/>
      <c r="S46" s="40"/>
      <c r="T46" s="113"/>
      <c r="U46" s="114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ht="35.25" customHeight="1">
      <c r="A47" s="40">
        <v>44946.0</v>
      </c>
      <c r="B47" s="121">
        <v>2500.0</v>
      </c>
      <c r="C47" s="109"/>
      <c r="D47" s="110" t="s">
        <v>46</v>
      </c>
      <c r="E47" s="110" t="s">
        <v>2080</v>
      </c>
      <c r="F47" s="109">
        <v>1.0</v>
      </c>
      <c r="G47" s="111">
        <v>584.14</v>
      </c>
      <c r="H47" s="112" t="s">
        <v>2036</v>
      </c>
      <c r="I47" s="40"/>
      <c r="J47" s="109"/>
      <c r="K47" s="109"/>
      <c r="L47" s="110"/>
      <c r="M47" s="40"/>
      <c r="N47" s="110"/>
      <c r="O47" s="109"/>
      <c r="P47" s="9"/>
      <c r="Q47" s="9"/>
      <c r="R47" s="40"/>
      <c r="S47" s="40"/>
      <c r="T47" s="113"/>
      <c r="U47" s="114" t="s">
        <v>2081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ht="35.25" customHeight="1">
      <c r="A48" s="40">
        <v>44946.0</v>
      </c>
      <c r="B48" s="117">
        <v>2500.0</v>
      </c>
      <c r="C48" s="109"/>
      <c r="D48" s="110" t="s">
        <v>46</v>
      </c>
      <c r="E48" s="110" t="s">
        <v>2082</v>
      </c>
      <c r="F48" s="109">
        <v>1.0</v>
      </c>
      <c r="G48" s="111">
        <v>393.4</v>
      </c>
      <c r="H48" s="112" t="s">
        <v>2036</v>
      </c>
      <c r="I48" s="40"/>
      <c r="J48" s="109"/>
      <c r="K48" s="109"/>
      <c r="L48" s="110"/>
      <c r="M48" s="40"/>
      <c r="N48" s="110"/>
      <c r="O48" s="109"/>
      <c r="P48" s="9"/>
      <c r="Q48" s="9"/>
      <c r="R48" s="40"/>
      <c r="S48" s="40"/>
      <c r="T48" s="113"/>
      <c r="U48" s="114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ht="35.25" customHeight="1">
      <c r="A49" s="40">
        <v>44946.0</v>
      </c>
      <c r="B49" s="115">
        <v>2502.0</v>
      </c>
      <c r="C49" s="109"/>
      <c r="D49" s="110" t="s">
        <v>1442</v>
      </c>
      <c r="E49" s="110" t="s">
        <v>1444</v>
      </c>
      <c r="F49" s="109">
        <v>6.0</v>
      </c>
      <c r="G49" s="111">
        <v>1968.9</v>
      </c>
      <c r="H49" s="110" t="str">
        <f t="shared" ref="H49:H50" si="2">IF($J49&lt;&gt;"","FATURADO",IF($K49&lt;&gt;"","GANHOU"," "))</f>
        <v>FATURADO</v>
      </c>
      <c r="I49" s="40"/>
      <c r="J49" s="109">
        <v>1.0</v>
      </c>
      <c r="K49" s="109">
        <v>63259.0</v>
      </c>
      <c r="L49" s="110"/>
      <c r="M49" s="40"/>
      <c r="N49" s="110"/>
      <c r="O49" s="109"/>
      <c r="P49" s="9"/>
      <c r="Q49" s="9"/>
      <c r="R49" s="40">
        <v>44959.0</v>
      </c>
      <c r="S49" s="40"/>
      <c r="T49" s="113"/>
      <c r="U49" s="114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ht="35.25" customHeight="1">
      <c r="A50" s="40">
        <v>44946.0</v>
      </c>
      <c r="B50" s="117">
        <v>2502.0</v>
      </c>
      <c r="C50" s="109"/>
      <c r="D50" s="110" t="s">
        <v>1442</v>
      </c>
      <c r="E50" s="110" t="s">
        <v>1849</v>
      </c>
      <c r="F50" s="109">
        <v>6.0</v>
      </c>
      <c r="G50" s="111">
        <v>860.22</v>
      </c>
      <c r="H50" s="110" t="str">
        <f t="shared" si="2"/>
        <v>FATURADO</v>
      </c>
      <c r="I50" s="40"/>
      <c r="J50" s="109">
        <v>1.0</v>
      </c>
      <c r="K50" s="109">
        <v>63259.0</v>
      </c>
      <c r="L50" s="110"/>
      <c r="M50" s="40"/>
      <c r="N50" s="110"/>
      <c r="O50" s="109"/>
      <c r="P50" s="9"/>
      <c r="Q50" s="9"/>
      <c r="R50" s="40">
        <v>44959.0</v>
      </c>
      <c r="S50" s="40"/>
      <c r="T50" s="113"/>
      <c r="U50" s="114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ht="35.25" customHeight="1">
      <c r="A51" s="40">
        <v>44951.0</v>
      </c>
      <c r="B51" s="108">
        <v>2503.0</v>
      </c>
      <c r="C51" s="109"/>
      <c r="D51" s="110" t="s">
        <v>2083</v>
      </c>
      <c r="E51" s="110" t="s">
        <v>2084</v>
      </c>
      <c r="F51" s="109">
        <v>14.0</v>
      </c>
      <c r="G51" s="111">
        <v>4635.12</v>
      </c>
      <c r="H51" s="112" t="s">
        <v>2036</v>
      </c>
      <c r="I51" s="40"/>
      <c r="J51" s="109"/>
      <c r="K51" s="109"/>
      <c r="L51" s="110"/>
      <c r="M51" s="40"/>
      <c r="N51" s="110"/>
      <c r="O51" s="109"/>
      <c r="P51" s="9"/>
      <c r="Q51" s="9"/>
      <c r="R51" s="40"/>
      <c r="S51" s="40"/>
      <c r="T51" s="113"/>
      <c r="U51" s="114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ht="35.25" customHeight="1">
      <c r="A52" s="40">
        <v>44951.0</v>
      </c>
      <c r="B52" s="115">
        <v>2503.0</v>
      </c>
      <c r="C52" s="109"/>
      <c r="D52" s="110" t="s">
        <v>2083</v>
      </c>
      <c r="E52" s="110" t="s">
        <v>2075</v>
      </c>
      <c r="F52" s="109">
        <v>2.0</v>
      </c>
      <c r="G52" s="111">
        <v>3936.43</v>
      </c>
      <c r="H52" s="112" t="s">
        <v>2036</v>
      </c>
      <c r="I52" s="40"/>
      <c r="J52" s="109"/>
      <c r="K52" s="109"/>
      <c r="L52" s="110"/>
      <c r="M52" s="40"/>
      <c r="N52" s="110"/>
      <c r="O52" s="109"/>
      <c r="P52" s="9"/>
      <c r="Q52" s="9"/>
      <c r="R52" s="40"/>
      <c r="S52" s="40"/>
      <c r="T52" s="113"/>
      <c r="U52" s="114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ht="35.25" customHeight="1">
      <c r="A53" s="40">
        <v>44950.0</v>
      </c>
      <c r="B53" s="117">
        <v>2505.0</v>
      </c>
      <c r="C53" s="109"/>
      <c r="D53" s="110" t="s">
        <v>44</v>
      </c>
      <c r="E53" s="110" t="s">
        <v>2085</v>
      </c>
      <c r="F53" s="109">
        <v>1.0</v>
      </c>
      <c r="G53" s="111">
        <v>1889.62</v>
      </c>
      <c r="H53" s="112" t="s">
        <v>2036</v>
      </c>
      <c r="I53" s="40"/>
      <c r="J53" s="109"/>
      <c r="K53" s="109"/>
      <c r="L53" s="110"/>
      <c r="M53" s="40"/>
      <c r="N53" s="110"/>
      <c r="O53" s="109"/>
      <c r="P53" s="9"/>
      <c r="Q53" s="9"/>
      <c r="R53" s="40"/>
      <c r="S53" s="40"/>
      <c r="T53" s="113"/>
      <c r="U53" s="114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ht="35.25" customHeight="1">
      <c r="A54" s="40">
        <v>44951.0</v>
      </c>
      <c r="B54" s="115">
        <v>2508.0</v>
      </c>
      <c r="C54" s="109"/>
      <c r="D54" s="110" t="s">
        <v>188</v>
      </c>
      <c r="E54" s="110" t="s">
        <v>2086</v>
      </c>
      <c r="F54" s="109">
        <v>25.0</v>
      </c>
      <c r="G54" s="111">
        <v>1648.5</v>
      </c>
      <c r="H54" s="122" t="s">
        <v>167</v>
      </c>
      <c r="I54" s="40"/>
      <c r="J54" s="109"/>
      <c r="K54" s="109"/>
      <c r="L54" s="110"/>
      <c r="M54" s="40"/>
      <c r="N54" s="110"/>
      <c r="O54" s="109"/>
      <c r="P54" s="9"/>
      <c r="Q54" s="9"/>
      <c r="R54" s="40"/>
      <c r="S54" s="40"/>
      <c r="T54" s="113"/>
      <c r="U54" s="114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ht="35.25" customHeight="1">
      <c r="A55" s="40">
        <v>44950.0</v>
      </c>
      <c r="B55" s="121">
        <v>2506.0</v>
      </c>
      <c r="C55" s="109"/>
      <c r="D55" s="110" t="s">
        <v>44</v>
      </c>
      <c r="E55" s="110" t="s">
        <v>2087</v>
      </c>
      <c r="F55" s="109">
        <v>1.0</v>
      </c>
      <c r="G55" s="111">
        <v>4510.74</v>
      </c>
      <c r="H55" s="122" t="s">
        <v>2036</v>
      </c>
      <c r="I55" s="40"/>
      <c r="J55" s="109"/>
      <c r="K55" s="109"/>
      <c r="L55" s="110"/>
      <c r="M55" s="40"/>
      <c r="N55" s="110"/>
      <c r="O55" s="109"/>
      <c r="P55" s="9"/>
      <c r="Q55" s="9"/>
      <c r="R55" s="40"/>
      <c r="S55" s="40"/>
      <c r="T55" s="113"/>
      <c r="U55" s="114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ht="35.25" customHeight="1">
      <c r="A56" s="40">
        <v>44951.0</v>
      </c>
      <c r="B56" s="121">
        <v>2507.0</v>
      </c>
      <c r="C56" s="109"/>
      <c r="D56" s="110" t="s">
        <v>2088</v>
      </c>
      <c r="E56" s="110" t="s">
        <v>2089</v>
      </c>
      <c r="F56" s="109">
        <v>1.0</v>
      </c>
      <c r="G56" s="111">
        <v>9333.25</v>
      </c>
      <c r="H56" s="122" t="s">
        <v>2036</v>
      </c>
      <c r="I56" s="40"/>
      <c r="J56" s="109"/>
      <c r="K56" s="109"/>
      <c r="L56" s="110"/>
      <c r="M56" s="40"/>
      <c r="N56" s="110"/>
      <c r="O56" s="109"/>
      <c r="P56" s="9"/>
      <c r="Q56" s="9"/>
      <c r="R56" s="40"/>
      <c r="S56" s="40"/>
      <c r="T56" s="113"/>
      <c r="U56" s="114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ht="35.25" customHeight="1">
      <c r="A57" s="40">
        <v>44951.0</v>
      </c>
      <c r="B57" s="117">
        <v>2509.0</v>
      </c>
      <c r="C57" s="109"/>
      <c r="D57" s="110" t="s">
        <v>44</v>
      </c>
      <c r="E57" s="110" t="s">
        <v>2090</v>
      </c>
      <c r="F57" s="109">
        <v>20.0</v>
      </c>
      <c r="G57" s="111">
        <v>2781.2</v>
      </c>
      <c r="H57" s="112" t="s">
        <v>2036</v>
      </c>
      <c r="I57" s="40"/>
      <c r="J57" s="109"/>
      <c r="K57" s="109"/>
      <c r="L57" s="110"/>
      <c r="M57" s="40"/>
      <c r="N57" s="110"/>
      <c r="O57" s="109"/>
      <c r="P57" s="9"/>
      <c r="Q57" s="9"/>
      <c r="R57" s="40"/>
      <c r="S57" s="40"/>
      <c r="T57" s="113"/>
      <c r="U57" s="114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ht="35.25" customHeight="1">
      <c r="A58" s="40">
        <v>44951.0</v>
      </c>
      <c r="B58" s="108">
        <v>2510.0</v>
      </c>
      <c r="C58" s="109"/>
      <c r="D58" s="110" t="s">
        <v>44</v>
      </c>
      <c r="E58" s="110" t="s">
        <v>2091</v>
      </c>
      <c r="F58" s="109">
        <v>20.0</v>
      </c>
      <c r="G58" s="111">
        <v>2781.2</v>
      </c>
      <c r="H58" s="112" t="str">
        <f t="shared" ref="H58:H59" si="3">IF($J58&lt;&gt;"","FATURADO",IF($K58&lt;&gt;"","GANHOU"," "))</f>
        <v>FATURADO</v>
      </c>
      <c r="I58" s="40">
        <v>45179.0</v>
      </c>
      <c r="J58" s="109">
        <v>2204.0</v>
      </c>
      <c r="K58" s="109">
        <v>4.501678715E9</v>
      </c>
      <c r="L58" s="110"/>
      <c r="M58" s="40"/>
      <c r="N58" s="110"/>
      <c r="O58" s="109"/>
      <c r="P58" s="9"/>
      <c r="Q58" s="9"/>
      <c r="R58" s="40"/>
      <c r="S58" s="40"/>
      <c r="T58" s="113"/>
      <c r="U58" s="114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ht="35.25" customHeight="1">
      <c r="A59" s="40">
        <v>44951.0</v>
      </c>
      <c r="B59" s="108">
        <v>2511.0</v>
      </c>
      <c r="C59" s="109"/>
      <c r="D59" s="110" t="s">
        <v>19</v>
      </c>
      <c r="E59" s="110" t="s">
        <v>1859</v>
      </c>
      <c r="F59" s="109">
        <v>90.0</v>
      </c>
      <c r="G59" s="111">
        <v>2280.0</v>
      </c>
      <c r="H59" s="112" t="str">
        <f t="shared" si="3"/>
        <v>FATURADO</v>
      </c>
      <c r="I59" s="40">
        <v>44991.0</v>
      </c>
      <c r="J59" s="109">
        <v>2055.0</v>
      </c>
      <c r="K59" s="109">
        <v>4.500422421E9</v>
      </c>
      <c r="L59" s="110"/>
      <c r="M59" s="40"/>
      <c r="N59" s="110"/>
      <c r="O59" s="109"/>
      <c r="P59" s="9"/>
      <c r="Q59" s="9"/>
      <c r="R59" s="40"/>
      <c r="S59" s="40"/>
      <c r="T59" s="113"/>
      <c r="U59" s="114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ht="35.25" customHeight="1">
      <c r="A60" s="40">
        <v>44953.0</v>
      </c>
      <c r="B60" s="115">
        <v>2516.0</v>
      </c>
      <c r="C60" s="109"/>
      <c r="D60" s="110" t="s">
        <v>188</v>
      </c>
      <c r="E60" s="110" t="s">
        <v>2092</v>
      </c>
      <c r="F60" s="109">
        <v>10.0</v>
      </c>
      <c r="G60" s="111">
        <v>1275.36</v>
      </c>
      <c r="H60" s="112" t="s">
        <v>180</v>
      </c>
      <c r="I60" s="40">
        <v>45031.0</v>
      </c>
      <c r="J60" s="109">
        <v>2064.0</v>
      </c>
      <c r="K60" s="109">
        <v>4.400586972E9</v>
      </c>
      <c r="L60" s="110"/>
      <c r="M60" s="40"/>
      <c r="N60" s="110"/>
      <c r="O60" s="109"/>
      <c r="P60" s="9"/>
      <c r="Q60" s="9"/>
      <c r="R60" s="40"/>
      <c r="S60" s="40"/>
      <c r="T60" s="113"/>
      <c r="U60" s="114"/>
      <c r="V60" s="9" t="s">
        <v>2093</v>
      </c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ht="35.25" customHeight="1">
      <c r="A61" s="40">
        <v>44964.0</v>
      </c>
      <c r="B61" s="109">
        <v>2516.0</v>
      </c>
      <c r="C61" s="109"/>
      <c r="D61" s="110" t="s">
        <v>188</v>
      </c>
      <c r="E61" s="110" t="s">
        <v>2094</v>
      </c>
      <c r="F61" s="109">
        <v>10.0</v>
      </c>
      <c r="G61" s="111">
        <v>1275.36</v>
      </c>
      <c r="H61" s="112" t="s">
        <v>180</v>
      </c>
      <c r="I61" s="40">
        <v>44964.0</v>
      </c>
      <c r="J61" s="109">
        <v>2064.0</v>
      </c>
      <c r="K61" s="109">
        <v>4.400586972E9</v>
      </c>
      <c r="L61" s="110"/>
      <c r="M61" s="40"/>
      <c r="N61" s="110"/>
      <c r="O61" s="109"/>
      <c r="P61" s="9"/>
      <c r="Q61" s="9"/>
      <c r="R61" s="40"/>
      <c r="S61" s="40"/>
      <c r="T61" s="110" t="s">
        <v>2095</v>
      </c>
      <c r="U61" s="114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ht="35.25" customHeight="1">
      <c r="A62" s="40">
        <v>44956.0</v>
      </c>
      <c r="B62" s="108">
        <v>2517.0</v>
      </c>
      <c r="C62" s="109"/>
      <c r="D62" s="110" t="s">
        <v>44</v>
      </c>
      <c r="E62" s="110" t="s">
        <v>2096</v>
      </c>
      <c r="F62" s="109">
        <v>3.0</v>
      </c>
      <c r="G62" s="111"/>
      <c r="H62" s="122" t="s">
        <v>167</v>
      </c>
      <c r="I62" s="40"/>
      <c r="J62" s="109"/>
      <c r="K62" s="109"/>
      <c r="L62" s="110"/>
      <c r="M62" s="40"/>
      <c r="N62" s="110"/>
      <c r="O62" s="109"/>
      <c r="P62" s="9"/>
      <c r="Q62" s="9"/>
      <c r="R62" s="40"/>
      <c r="S62" s="40"/>
      <c r="T62" s="113"/>
      <c r="U62" s="114" t="s">
        <v>2097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ht="35.25" customHeight="1">
      <c r="A63" s="40">
        <v>44957.0</v>
      </c>
      <c r="B63" s="109">
        <v>2518.0</v>
      </c>
      <c r="C63" s="109"/>
      <c r="D63" s="110" t="s">
        <v>2054</v>
      </c>
      <c r="E63" s="110" t="s">
        <v>2098</v>
      </c>
      <c r="F63" s="109">
        <v>1.0</v>
      </c>
      <c r="G63" s="111">
        <v>8439.45</v>
      </c>
      <c r="H63" s="112" t="str">
        <f>IF($J63&lt;&gt;"","FATURADO",IF($K63&lt;&gt;"","GANHOU"," "))</f>
        <v>FATURADO</v>
      </c>
      <c r="I63" s="40">
        <v>45061.0</v>
      </c>
      <c r="J63" s="109">
        <v>2057.0</v>
      </c>
      <c r="K63" s="109">
        <v>4.502607196E9</v>
      </c>
      <c r="L63" s="110"/>
      <c r="M63" s="40"/>
      <c r="N63" s="110"/>
      <c r="O63" s="109"/>
      <c r="P63" s="9"/>
      <c r="Q63" s="9"/>
      <c r="R63" s="40">
        <v>44970.0</v>
      </c>
      <c r="S63" s="40">
        <v>45091.0</v>
      </c>
      <c r="T63" s="113"/>
      <c r="U63" s="114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ht="35.25" customHeight="1">
      <c r="A64" s="40">
        <v>44956.0</v>
      </c>
      <c r="B64" s="109">
        <v>2517.0</v>
      </c>
      <c r="C64" s="109"/>
      <c r="D64" s="110" t="s">
        <v>44</v>
      </c>
      <c r="E64" s="110" t="s">
        <v>2099</v>
      </c>
      <c r="F64" s="109">
        <v>1.0</v>
      </c>
      <c r="G64" s="111">
        <v>12.02</v>
      </c>
      <c r="H64" s="112" t="s">
        <v>2036</v>
      </c>
      <c r="I64" s="40"/>
      <c r="J64" s="109"/>
      <c r="K64" s="109"/>
      <c r="L64" s="110"/>
      <c r="M64" s="40"/>
      <c r="N64" s="110"/>
      <c r="O64" s="109"/>
      <c r="P64" s="9"/>
      <c r="Q64" s="9"/>
      <c r="R64" s="40"/>
      <c r="S64" s="40"/>
      <c r="T64" s="113"/>
      <c r="U64" s="114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ht="35.25" customHeight="1">
      <c r="A65" s="40">
        <v>44957.0</v>
      </c>
      <c r="B65" s="109">
        <v>2519.0</v>
      </c>
      <c r="C65" s="109"/>
      <c r="D65" s="110" t="s">
        <v>188</v>
      </c>
      <c r="E65" s="110" t="s">
        <v>2100</v>
      </c>
      <c r="F65" s="109">
        <v>15.0</v>
      </c>
      <c r="G65" s="111">
        <v>17344.77</v>
      </c>
      <c r="H65" s="112" t="s">
        <v>2036</v>
      </c>
      <c r="I65" s="40"/>
      <c r="J65" s="109"/>
      <c r="K65" s="109"/>
      <c r="L65" s="110"/>
      <c r="M65" s="40"/>
      <c r="N65" s="110"/>
      <c r="O65" s="109"/>
      <c r="P65" s="9"/>
      <c r="Q65" s="9"/>
      <c r="R65" s="40"/>
      <c r="S65" s="40"/>
      <c r="T65" s="113"/>
      <c r="U65" s="114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ht="35.25" customHeight="1">
      <c r="A66" s="40">
        <v>44957.0</v>
      </c>
      <c r="B66" s="109">
        <v>2519.0</v>
      </c>
      <c r="C66" s="109"/>
      <c r="D66" s="110" t="s">
        <v>188</v>
      </c>
      <c r="E66" s="110" t="s">
        <v>2101</v>
      </c>
      <c r="F66" s="109">
        <v>6.0</v>
      </c>
      <c r="G66" s="111">
        <v>4418.45</v>
      </c>
      <c r="H66" s="112" t="s">
        <v>2036</v>
      </c>
      <c r="I66" s="40"/>
      <c r="J66" s="109"/>
      <c r="K66" s="109"/>
      <c r="L66" s="110"/>
      <c r="M66" s="40"/>
      <c r="N66" s="110"/>
      <c r="O66" s="109"/>
      <c r="P66" s="9"/>
      <c r="Q66" s="9"/>
      <c r="R66" s="40"/>
      <c r="S66" s="40"/>
      <c r="T66" s="113"/>
      <c r="U66" s="114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ht="35.25" customHeight="1">
      <c r="A67" s="40">
        <v>44959.0</v>
      </c>
      <c r="B67" s="109">
        <v>2521.0</v>
      </c>
      <c r="C67" s="109"/>
      <c r="D67" s="110" t="s">
        <v>44</v>
      </c>
      <c r="E67" s="110" t="s">
        <v>2039</v>
      </c>
      <c r="F67" s="109">
        <v>1.0</v>
      </c>
      <c r="G67" s="111">
        <v>4006.29</v>
      </c>
      <c r="H67" s="112" t="s">
        <v>2036</v>
      </c>
      <c r="I67" s="40"/>
      <c r="J67" s="109"/>
      <c r="K67" s="109"/>
      <c r="L67" s="110"/>
      <c r="M67" s="40"/>
      <c r="N67" s="110"/>
      <c r="O67" s="109"/>
      <c r="P67" s="9"/>
      <c r="Q67" s="9"/>
      <c r="R67" s="40"/>
      <c r="S67" s="40"/>
      <c r="T67" s="113"/>
      <c r="U67" s="114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ht="35.25" customHeight="1">
      <c r="A68" s="40">
        <v>44959.0</v>
      </c>
      <c r="B68" s="109">
        <v>2523.0</v>
      </c>
      <c r="C68" s="109"/>
      <c r="D68" s="110" t="s">
        <v>1352</v>
      </c>
      <c r="E68" s="110" t="s">
        <v>2102</v>
      </c>
      <c r="F68" s="109">
        <v>1.0</v>
      </c>
      <c r="G68" s="111">
        <v>1342.76</v>
      </c>
      <c r="H68" s="112" t="s">
        <v>2036</v>
      </c>
      <c r="I68" s="40"/>
      <c r="J68" s="109"/>
      <c r="K68" s="109"/>
      <c r="L68" s="110"/>
      <c r="M68" s="40"/>
      <c r="N68" s="110"/>
      <c r="O68" s="109"/>
      <c r="P68" s="9"/>
      <c r="Q68" s="9"/>
      <c r="R68" s="40"/>
      <c r="S68" s="40"/>
      <c r="T68" s="113"/>
      <c r="U68" s="114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ht="35.25" customHeight="1">
      <c r="A69" s="40">
        <v>44959.0</v>
      </c>
      <c r="B69" s="109">
        <v>2523.0</v>
      </c>
      <c r="C69" s="109"/>
      <c r="D69" s="110" t="s">
        <v>1352</v>
      </c>
      <c r="E69" s="110" t="s">
        <v>2103</v>
      </c>
      <c r="F69" s="109">
        <v>1.0</v>
      </c>
      <c r="G69" s="111">
        <v>340.99</v>
      </c>
      <c r="H69" s="112" t="s">
        <v>2036</v>
      </c>
      <c r="I69" s="40"/>
      <c r="J69" s="109"/>
      <c r="K69" s="109"/>
      <c r="L69" s="110"/>
      <c r="M69" s="40"/>
      <c r="N69" s="110"/>
      <c r="O69" s="109"/>
      <c r="P69" s="9"/>
      <c r="Q69" s="9"/>
      <c r="R69" s="40"/>
      <c r="S69" s="40"/>
      <c r="T69" s="113"/>
      <c r="U69" s="114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ht="35.25" customHeight="1">
      <c r="A70" s="40">
        <v>44959.0</v>
      </c>
      <c r="B70" s="109">
        <v>2523.0</v>
      </c>
      <c r="C70" s="109"/>
      <c r="D70" s="110" t="s">
        <v>1352</v>
      </c>
      <c r="E70" s="110" t="s">
        <v>2104</v>
      </c>
      <c r="F70" s="109">
        <v>1.0</v>
      </c>
      <c r="G70" s="111">
        <v>993.24</v>
      </c>
      <c r="H70" s="112" t="s">
        <v>2036</v>
      </c>
      <c r="I70" s="40"/>
      <c r="J70" s="109"/>
      <c r="K70" s="109"/>
      <c r="L70" s="110"/>
      <c r="M70" s="40"/>
      <c r="N70" s="110"/>
      <c r="O70" s="109"/>
      <c r="P70" s="9"/>
      <c r="Q70" s="9"/>
      <c r="R70" s="40"/>
      <c r="S70" s="40"/>
      <c r="T70" s="113"/>
      <c r="U70" s="114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ht="35.25" customHeight="1">
      <c r="A71" s="40">
        <v>44959.0</v>
      </c>
      <c r="B71" s="109">
        <v>2523.0</v>
      </c>
      <c r="C71" s="109"/>
      <c r="D71" s="110" t="s">
        <v>1352</v>
      </c>
      <c r="E71" s="110" t="s">
        <v>2105</v>
      </c>
      <c r="F71" s="109">
        <v>1.0</v>
      </c>
      <c r="G71" s="111">
        <v>1480.03</v>
      </c>
      <c r="H71" s="112" t="s">
        <v>2036</v>
      </c>
      <c r="I71" s="40"/>
      <c r="J71" s="109"/>
      <c r="K71" s="109"/>
      <c r="L71" s="110"/>
      <c r="M71" s="40"/>
      <c r="N71" s="110"/>
      <c r="O71" s="109"/>
      <c r="P71" s="9"/>
      <c r="Q71" s="9"/>
      <c r="R71" s="40"/>
      <c r="S71" s="40"/>
      <c r="T71" s="113"/>
      <c r="U71" s="114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ht="35.25" customHeight="1">
      <c r="A72" s="40">
        <v>44959.0</v>
      </c>
      <c r="B72" s="109">
        <v>2524.0</v>
      </c>
      <c r="C72" s="109"/>
      <c r="D72" s="110" t="s">
        <v>2106</v>
      </c>
      <c r="E72" s="110" t="s">
        <v>2107</v>
      </c>
      <c r="F72" s="109">
        <v>50.0</v>
      </c>
      <c r="G72" s="111">
        <v>167.0</v>
      </c>
      <c r="H72" s="112" t="s">
        <v>2036</v>
      </c>
      <c r="I72" s="40"/>
      <c r="J72" s="109"/>
      <c r="K72" s="109"/>
      <c r="L72" s="110"/>
      <c r="M72" s="40"/>
      <c r="N72" s="110"/>
      <c r="O72" s="109"/>
      <c r="P72" s="9"/>
      <c r="Q72" s="9"/>
      <c r="R72" s="40"/>
      <c r="S72" s="40"/>
      <c r="T72" s="113"/>
      <c r="U72" s="114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ht="35.25" customHeight="1">
      <c r="A73" s="40">
        <v>44959.0</v>
      </c>
      <c r="B73" s="109">
        <v>2524.0</v>
      </c>
      <c r="C73" s="109"/>
      <c r="D73" s="110" t="s">
        <v>2106</v>
      </c>
      <c r="E73" s="110" t="s">
        <v>2108</v>
      </c>
      <c r="F73" s="109">
        <v>100.0</v>
      </c>
      <c r="G73" s="111">
        <v>262.08</v>
      </c>
      <c r="H73" s="112" t="s">
        <v>2036</v>
      </c>
      <c r="I73" s="40"/>
      <c r="J73" s="109"/>
      <c r="K73" s="109"/>
      <c r="L73" s="110"/>
      <c r="M73" s="40"/>
      <c r="N73" s="110"/>
      <c r="O73" s="109"/>
      <c r="P73" s="9"/>
      <c r="Q73" s="9"/>
      <c r="R73" s="40"/>
      <c r="S73" s="40"/>
      <c r="T73" s="113"/>
      <c r="U73" s="114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ht="35.25" customHeight="1">
      <c r="A74" s="40">
        <v>44959.0</v>
      </c>
      <c r="B74" s="109">
        <v>2524.0</v>
      </c>
      <c r="C74" s="109"/>
      <c r="D74" s="110" t="s">
        <v>2106</v>
      </c>
      <c r="E74" s="110" t="s">
        <v>2109</v>
      </c>
      <c r="F74" s="109">
        <v>100.0</v>
      </c>
      <c r="G74" s="111">
        <v>294.31</v>
      </c>
      <c r="H74" s="112" t="s">
        <v>2036</v>
      </c>
      <c r="I74" s="40"/>
      <c r="J74" s="109"/>
      <c r="K74" s="109"/>
      <c r="L74" s="110"/>
      <c r="M74" s="40"/>
      <c r="N74" s="110"/>
      <c r="O74" s="109"/>
      <c r="P74" s="9"/>
      <c r="Q74" s="9"/>
      <c r="R74" s="40"/>
      <c r="S74" s="40"/>
      <c r="T74" s="113"/>
      <c r="U74" s="114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ht="35.25" customHeight="1">
      <c r="A75" s="40">
        <v>44959.0</v>
      </c>
      <c r="B75" s="109">
        <v>2524.0</v>
      </c>
      <c r="C75" s="109"/>
      <c r="D75" s="110" t="s">
        <v>2106</v>
      </c>
      <c r="E75" s="110" t="s">
        <v>2110</v>
      </c>
      <c r="F75" s="109">
        <v>100.0</v>
      </c>
      <c r="G75" s="111">
        <v>262.08</v>
      </c>
      <c r="H75" s="112" t="s">
        <v>2036</v>
      </c>
      <c r="I75" s="40"/>
      <c r="J75" s="109"/>
      <c r="K75" s="109"/>
      <c r="L75" s="110"/>
      <c r="M75" s="40"/>
      <c r="N75" s="110"/>
      <c r="O75" s="109"/>
      <c r="P75" s="9"/>
      <c r="Q75" s="9"/>
      <c r="R75" s="40"/>
      <c r="S75" s="40"/>
      <c r="T75" s="113"/>
      <c r="U75" s="114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ht="35.25" customHeight="1">
      <c r="A76" s="40">
        <v>44959.0</v>
      </c>
      <c r="B76" s="109">
        <v>2524.0</v>
      </c>
      <c r="C76" s="109"/>
      <c r="D76" s="110" t="s">
        <v>2106</v>
      </c>
      <c r="E76" s="110" t="s">
        <v>2111</v>
      </c>
      <c r="F76" s="109">
        <v>100.0</v>
      </c>
      <c r="G76" s="111">
        <v>281.42</v>
      </c>
      <c r="H76" s="112" t="s">
        <v>2036</v>
      </c>
      <c r="I76" s="40"/>
      <c r="J76" s="109"/>
      <c r="K76" s="109"/>
      <c r="L76" s="110"/>
      <c r="M76" s="40"/>
      <c r="N76" s="110"/>
      <c r="O76" s="109"/>
      <c r="P76" s="9"/>
      <c r="Q76" s="9"/>
      <c r="R76" s="40"/>
      <c r="S76" s="40"/>
      <c r="T76" s="113"/>
      <c r="U76" s="114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ht="35.25" customHeight="1">
      <c r="A77" s="40">
        <v>44959.0</v>
      </c>
      <c r="B77" s="109">
        <v>2524.0</v>
      </c>
      <c r="C77" s="109"/>
      <c r="D77" s="110" t="s">
        <v>2106</v>
      </c>
      <c r="E77" s="110" t="s">
        <v>2112</v>
      </c>
      <c r="F77" s="109">
        <v>10.0</v>
      </c>
      <c r="G77" s="111">
        <v>1932.27</v>
      </c>
      <c r="H77" s="112" t="s">
        <v>2036</v>
      </c>
      <c r="I77" s="40"/>
      <c r="J77" s="109"/>
      <c r="K77" s="109"/>
      <c r="L77" s="110"/>
      <c r="M77" s="40"/>
      <c r="N77" s="110"/>
      <c r="O77" s="109"/>
      <c r="P77" s="9"/>
      <c r="Q77" s="9"/>
      <c r="R77" s="40"/>
      <c r="S77" s="40"/>
      <c r="T77" s="113"/>
      <c r="U77" s="114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ht="35.25" customHeight="1">
      <c r="A78" s="40">
        <v>44959.0</v>
      </c>
      <c r="B78" s="109">
        <v>2525.0</v>
      </c>
      <c r="C78" s="109"/>
      <c r="D78" s="110" t="s">
        <v>77</v>
      </c>
      <c r="E78" s="110" t="s">
        <v>2113</v>
      </c>
      <c r="F78" s="109">
        <v>1.0</v>
      </c>
      <c r="G78" s="111">
        <v>6165.78</v>
      </c>
      <c r="H78" s="112" t="s">
        <v>180</v>
      </c>
      <c r="I78" s="40">
        <v>44959.0</v>
      </c>
      <c r="J78" s="109">
        <v>2199.0</v>
      </c>
      <c r="K78" s="109">
        <v>172262.0</v>
      </c>
      <c r="L78" s="110"/>
      <c r="M78" s="40"/>
      <c r="N78" s="110"/>
      <c r="O78" s="109"/>
      <c r="P78" s="9"/>
      <c r="Q78" s="9"/>
      <c r="R78" s="40"/>
      <c r="S78" s="40"/>
      <c r="T78" s="113"/>
      <c r="U78" s="114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ht="35.25" customHeight="1">
      <c r="A79" s="40">
        <v>44960.0</v>
      </c>
      <c r="B79" s="109">
        <v>2526.0</v>
      </c>
      <c r="C79" s="109"/>
      <c r="D79" s="110" t="s">
        <v>44</v>
      </c>
      <c r="E79" s="110" t="s">
        <v>2114</v>
      </c>
      <c r="F79" s="109">
        <v>1.0</v>
      </c>
      <c r="G79" s="111">
        <v>1141.4</v>
      </c>
      <c r="H79" s="112" t="s">
        <v>180</v>
      </c>
      <c r="I79" s="40">
        <v>44960.0</v>
      </c>
      <c r="J79" s="109">
        <v>2062.0</v>
      </c>
      <c r="K79" s="109">
        <v>4.50168083E9</v>
      </c>
      <c r="L79" s="110"/>
      <c r="M79" s="40"/>
      <c r="N79" s="110"/>
      <c r="O79" s="109"/>
      <c r="P79" s="9"/>
      <c r="Q79" s="9"/>
      <c r="R79" s="40"/>
      <c r="S79" s="40"/>
      <c r="T79" s="113"/>
      <c r="U79" s="114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ht="35.25" customHeight="1">
      <c r="A80" s="40">
        <v>44963.0</v>
      </c>
      <c r="B80" s="109">
        <v>2527.0</v>
      </c>
      <c r="C80" s="109"/>
      <c r="D80" s="110" t="s">
        <v>2106</v>
      </c>
      <c r="E80" s="110" t="s">
        <v>2115</v>
      </c>
      <c r="F80" s="109">
        <v>1.0</v>
      </c>
      <c r="G80" s="111">
        <v>10093.69</v>
      </c>
      <c r="H80" s="112" t="s">
        <v>2036</v>
      </c>
      <c r="I80" s="40"/>
      <c r="J80" s="109"/>
      <c r="K80" s="109"/>
      <c r="L80" s="110"/>
      <c r="M80" s="40"/>
      <c r="N80" s="110"/>
      <c r="O80" s="109"/>
      <c r="P80" s="9"/>
      <c r="Q80" s="9"/>
      <c r="R80" s="40"/>
      <c r="S80" s="40"/>
      <c r="T80" s="113"/>
      <c r="U80" s="114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ht="35.25" customHeight="1">
      <c r="A81" s="123">
        <v>44963.0</v>
      </c>
      <c r="B81" s="124">
        <v>2528.0</v>
      </c>
      <c r="C81" s="124"/>
      <c r="D81" s="125" t="s">
        <v>222</v>
      </c>
      <c r="E81" s="125" t="s">
        <v>2116</v>
      </c>
      <c r="F81" s="124">
        <v>1.0</v>
      </c>
      <c r="G81" s="126">
        <v>298.35</v>
      </c>
      <c r="H81" s="112" t="str">
        <f>IF($J81&lt;&gt;"","FATURADO",IF($K81&lt;&gt;"","GANHOU"," "))</f>
        <v>FATURADO</v>
      </c>
      <c r="I81" s="40">
        <v>45032.0</v>
      </c>
      <c r="J81" s="109">
        <v>2081.0</v>
      </c>
      <c r="K81" s="109"/>
      <c r="L81" s="110"/>
      <c r="M81" s="40"/>
      <c r="N81" s="110"/>
      <c r="O81" s="109"/>
      <c r="P81" s="9"/>
      <c r="Q81" s="9"/>
      <c r="R81" s="40"/>
      <c r="S81" s="40"/>
      <c r="T81" s="113"/>
      <c r="U81" s="114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ht="35.25" customHeight="1">
      <c r="A82" s="40">
        <v>44963.0</v>
      </c>
      <c r="B82" s="109">
        <v>2529.0</v>
      </c>
      <c r="C82" s="109"/>
      <c r="D82" s="110" t="s">
        <v>44</v>
      </c>
      <c r="E82" s="110" t="s">
        <v>2117</v>
      </c>
      <c r="F82" s="109">
        <v>1.0</v>
      </c>
      <c r="G82" s="111">
        <v>4296.23</v>
      </c>
      <c r="H82" s="112" t="s">
        <v>2036</v>
      </c>
      <c r="I82" s="40"/>
      <c r="J82" s="109"/>
      <c r="K82" s="109"/>
      <c r="L82" s="110"/>
      <c r="M82" s="40"/>
      <c r="N82" s="110"/>
      <c r="O82" s="109"/>
      <c r="P82" s="9"/>
      <c r="Q82" s="9"/>
      <c r="R82" s="40"/>
      <c r="S82" s="40"/>
      <c r="T82" s="113"/>
      <c r="U82" s="114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ht="35.25" customHeight="1">
      <c r="A83" s="40">
        <v>44963.0</v>
      </c>
      <c r="B83" s="109">
        <v>2529.0</v>
      </c>
      <c r="C83" s="109"/>
      <c r="D83" s="110" t="s">
        <v>44</v>
      </c>
      <c r="E83" s="110" t="s">
        <v>2118</v>
      </c>
      <c r="F83" s="109">
        <v>1.0</v>
      </c>
      <c r="G83" s="111">
        <v>623.38</v>
      </c>
      <c r="H83" s="112" t="s">
        <v>2036</v>
      </c>
      <c r="I83" s="40"/>
      <c r="J83" s="109"/>
      <c r="K83" s="109"/>
      <c r="L83" s="110"/>
      <c r="M83" s="40"/>
      <c r="N83" s="110"/>
      <c r="O83" s="109"/>
      <c r="P83" s="9"/>
      <c r="Q83" s="9"/>
      <c r="R83" s="40"/>
      <c r="S83" s="40"/>
      <c r="T83" s="113"/>
      <c r="U83" s="114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ht="35.25" customHeight="1">
      <c r="A84" s="40">
        <v>44964.0</v>
      </c>
      <c r="B84" s="109">
        <v>2531.0</v>
      </c>
      <c r="C84" s="109"/>
      <c r="D84" s="110" t="s">
        <v>44</v>
      </c>
      <c r="E84" s="110" t="s">
        <v>2119</v>
      </c>
      <c r="F84" s="109">
        <v>1.0</v>
      </c>
      <c r="G84" s="111">
        <v>627.57</v>
      </c>
      <c r="H84" s="112" t="str">
        <f>IF($J84&lt;&gt;"","FATURADO",IF($K84&lt;&gt;"","GANHOU"," "))</f>
        <v>FATURADO</v>
      </c>
      <c r="I84" s="40">
        <v>45036.0</v>
      </c>
      <c r="J84" s="109">
        <v>2079.0</v>
      </c>
      <c r="K84" s="109">
        <v>4.501680707E9</v>
      </c>
      <c r="L84" s="110"/>
      <c r="M84" s="40"/>
      <c r="N84" s="110"/>
      <c r="O84" s="109"/>
      <c r="P84" s="9"/>
      <c r="Q84" s="9"/>
      <c r="R84" s="40"/>
      <c r="S84" s="40"/>
      <c r="T84" s="113"/>
      <c r="U84" s="114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ht="35.25" customHeight="1">
      <c r="A85" s="40">
        <v>44964.0</v>
      </c>
      <c r="B85" s="109">
        <v>2532.0</v>
      </c>
      <c r="C85" s="109"/>
      <c r="D85" s="110" t="s">
        <v>44</v>
      </c>
      <c r="E85" s="110" t="s">
        <v>2049</v>
      </c>
      <c r="F85" s="109">
        <v>2.0</v>
      </c>
      <c r="G85" s="111">
        <v>3000.28</v>
      </c>
      <c r="H85" s="112" t="s">
        <v>2036</v>
      </c>
      <c r="I85" s="40"/>
      <c r="J85" s="109"/>
      <c r="K85" s="109"/>
      <c r="L85" s="110"/>
      <c r="M85" s="40"/>
      <c r="N85" s="110"/>
      <c r="O85" s="109"/>
      <c r="P85" s="9"/>
      <c r="Q85" s="9"/>
      <c r="R85" s="40"/>
      <c r="S85" s="40"/>
      <c r="T85" s="113"/>
      <c r="U85" s="114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ht="35.25" customHeight="1">
      <c r="A86" s="40">
        <v>44964.0</v>
      </c>
      <c r="B86" s="109">
        <v>2533.0</v>
      </c>
      <c r="C86" s="109"/>
      <c r="D86" s="110" t="s">
        <v>2120</v>
      </c>
      <c r="E86" s="110" t="s">
        <v>2121</v>
      </c>
      <c r="F86" s="109">
        <v>2.0</v>
      </c>
      <c r="G86" s="111">
        <v>815.19</v>
      </c>
      <c r="H86" s="112" t="s">
        <v>2036</v>
      </c>
      <c r="I86" s="40"/>
      <c r="J86" s="109"/>
      <c r="K86" s="109"/>
      <c r="L86" s="110"/>
      <c r="M86" s="40"/>
      <c r="N86" s="110"/>
      <c r="O86" s="109"/>
      <c r="P86" s="9"/>
      <c r="Q86" s="9"/>
      <c r="R86" s="40"/>
      <c r="S86" s="40"/>
      <c r="T86" s="113"/>
      <c r="U86" s="114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ht="35.25" customHeight="1">
      <c r="A87" s="40">
        <v>44964.0</v>
      </c>
      <c r="B87" s="109">
        <v>2534.0</v>
      </c>
      <c r="C87" s="109"/>
      <c r="D87" s="110" t="s">
        <v>19</v>
      </c>
      <c r="E87" s="110" t="s">
        <v>2122</v>
      </c>
      <c r="F87" s="109">
        <v>1.0</v>
      </c>
      <c r="G87" s="111">
        <v>998.14</v>
      </c>
      <c r="H87" s="112" t="s">
        <v>2036</v>
      </c>
      <c r="I87" s="40"/>
      <c r="J87" s="109"/>
      <c r="K87" s="109"/>
      <c r="L87" s="110"/>
      <c r="M87" s="40"/>
      <c r="N87" s="110"/>
      <c r="O87" s="109"/>
      <c r="P87" s="9"/>
      <c r="Q87" s="9"/>
      <c r="R87" s="40"/>
      <c r="S87" s="40"/>
      <c r="T87" s="113"/>
      <c r="U87" s="114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ht="35.25" customHeight="1">
      <c r="A88" s="40">
        <v>44964.0</v>
      </c>
      <c r="B88" s="108">
        <v>2534.0</v>
      </c>
      <c r="C88" s="109"/>
      <c r="D88" s="110" t="s">
        <v>19</v>
      </c>
      <c r="E88" s="110" t="s">
        <v>2123</v>
      </c>
      <c r="F88" s="109">
        <v>4.0</v>
      </c>
      <c r="G88" s="111">
        <v>10.88</v>
      </c>
      <c r="H88" s="112" t="s">
        <v>2036</v>
      </c>
      <c r="I88" s="40"/>
      <c r="J88" s="109"/>
      <c r="K88" s="109"/>
      <c r="L88" s="110"/>
      <c r="M88" s="40"/>
      <c r="N88" s="110"/>
      <c r="O88" s="109"/>
      <c r="P88" s="9"/>
      <c r="Q88" s="9"/>
      <c r="R88" s="40"/>
      <c r="S88" s="40"/>
      <c r="T88" s="113"/>
      <c r="U88" s="114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ht="35.25" customHeight="1">
      <c r="A89" s="40">
        <v>44964.0</v>
      </c>
      <c r="B89" s="109">
        <v>2534.0</v>
      </c>
      <c r="C89" s="109"/>
      <c r="D89" s="110" t="s">
        <v>19</v>
      </c>
      <c r="E89" s="110" t="s">
        <v>2124</v>
      </c>
      <c r="F89" s="109">
        <v>4.0</v>
      </c>
      <c r="G89" s="111">
        <v>81.92</v>
      </c>
      <c r="H89" s="112" t="s">
        <v>2036</v>
      </c>
      <c r="I89" s="40"/>
      <c r="J89" s="109"/>
      <c r="K89" s="109"/>
      <c r="L89" s="110"/>
      <c r="M89" s="40"/>
      <c r="N89" s="110"/>
      <c r="O89" s="109"/>
      <c r="P89" s="9"/>
      <c r="Q89" s="9"/>
      <c r="R89" s="40"/>
      <c r="S89" s="40"/>
      <c r="T89" s="113"/>
      <c r="U89" s="114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ht="35.25" customHeight="1">
      <c r="A90" s="40">
        <v>44964.0</v>
      </c>
      <c r="B90" s="109">
        <v>2534.0</v>
      </c>
      <c r="C90" s="109"/>
      <c r="D90" s="110" t="s">
        <v>19</v>
      </c>
      <c r="E90" s="110" t="s">
        <v>2125</v>
      </c>
      <c r="F90" s="109">
        <v>1.0</v>
      </c>
      <c r="G90" s="111">
        <v>22.47</v>
      </c>
      <c r="H90" s="112" t="s">
        <v>2036</v>
      </c>
      <c r="I90" s="40"/>
      <c r="J90" s="109"/>
      <c r="K90" s="109"/>
      <c r="L90" s="110"/>
      <c r="M90" s="40"/>
      <c r="N90" s="110"/>
      <c r="O90" s="109"/>
      <c r="P90" s="9"/>
      <c r="Q90" s="9"/>
      <c r="R90" s="40"/>
      <c r="S90" s="40"/>
      <c r="T90" s="113"/>
      <c r="U90" s="114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ht="35.25" customHeight="1">
      <c r="A91" s="40">
        <v>44965.0</v>
      </c>
      <c r="B91" s="109">
        <v>2536.0</v>
      </c>
      <c r="C91" s="109"/>
      <c r="D91" s="110" t="s">
        <v>44</v>
      </c>
      <c r="E91" s="110" t="s">
        <v>2126</v>
      </c>
      <c r="F91" s="109">
        <v>1.0</v>
      </c>
      <c r="G91" s="111">
        <v>4079.67</v>
      </c>
      <c r="H91" s="112" t="str">
        <f>IF($J91&lt;&gt;"","FATURADO",IF($K91&lt;&gt;"","GANHOU"," "))</f>
        <v>FATURADO</v>
      </c>
      <c r="I91" s="40">
        <v>45056.0</v>
      </c>
      <c r="J91" s="109">
        <v>2128.0</v>
      </c>
      <c r="K91" s="109">
        <v>4.501682182E9</v>
      </c>
      <c r="L91" s="110"/>
      <c r="M91" s="40"/>
      <c r="N91" s="110"/>
      <c r="O91" s="109"/>
      <c r="P91" s="9"/>
      <c r="Q91" s="9"/>
      <c r="R91" s="40"/>
      <c r="S91" s="40"/>
      <c r="T91" s="113"/>
      <c r="U91" s="114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ht="35.25" customHeight="1">
      <c r="A92" s="40">
        <v>44965.0</v>
      </c>
      <c r="B92" s="109">
        <v>2539.0</v>
      </c>
      <c r="C92" s="109"/>
      <c r="D92" s="110" t="s">
        <v>2127</v>
      </c>
      <c r="E92" s="110" t="s">
        <v>2128</v>
      </c>
      <c r="F92" s="109">
        <v>3.0</v>
      </c>
      <c r="G92" s="111">
        <v>2248.11</v>
      </c>
      <c r="H92" s="112" t="s">
        <v>2036</v>
      </c>
      <c r="I92" s="40"/>
      <c r="J92" s="109"/>
      <c r="K92" s="109"/>
      <c r="L92" s="110"/>
      <c r="M92" s="40"/>
      <c r="N92" s="110"/>
      <c r="O92" s="109"/>
      <c r="P92" s="9"/>
      <c r="Q92" s="9"/>
      <c r="R92" s="40"/>
      <c r="S92" s="40"/>
      <c r="T92" s="113"/>
      <c r="U92" s="114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ht="35.25" customHeight="1">
      <c r="A93" s="40">
        <v>44965.0</v>
      </c>
      <c r="B93" s="109">
        <v>2540.0</v>
      </c>
      <c r="C93" s="109"/>
      <c r="D93" s="110" t="s">
        <v>77</v>
      </c>
      <c r="E93" s="110" t="s">
        <v>2129</v>
      </c>
      <c r="F93" s="109">
        <v>1.0</v>
      </c>
      <c r="G93" s="111">
        <v>1572.7</v>
      </c>
      <c r="H93" s="112" t="s">
        <v>2036</v>
      </c>
      <c r="I93" s="40"/>
      <c r="J93" s="109"/>
      <c r="K93" s="109"/>
      <c r="L93" s="110"/>
      <c r="M93" s="40"/>
      <c r="N93" s="110"/>
      <c r="O93" s="109"/>
      <c r="P93" s="9"/>
      <c r="Q93" s="9"/>
      <c r="R93" s="40"/>
      <c r="S93" s="40"/>
      <c r="T93" s="113"/>
      <c r="U93" s="114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ht="35.25" customHeight="1">
      <c r="A94" s="40">
        <v>44965.0</v>
      </c>
      <c r="B94" s="109">
        <v>2541.0</v>
      </c>
      <c r="C94" s="109"/>
      <c r="D94" s="110" t="s">
        <v>44</v>
      </c>
      <c r="E94" s="110" t="s">
        <v>2051</v>
      </c>
      <c r="F94" s="109">
        <v>2.0</v>
      </c>
      <c r="G94" s="111">
        <v>86347.9</v>
      </c>
      <c r="H94" s="112" t="s">
        <v>2036</v>
      </c>
      <c r="I94" s="40"/>
      <c r="J94" s="109"/>
      <c r="K94" s="109"/>
      <c r="L94" s="110"/>
      <c r="M94" s="40"/>
      <c r="N94" s="110"/>
      <c r="O94" s="109"/>
      <c r="P94" s="9"/>
      <c r="Q94" s="9"/>
      <c r="R94" s="40"/>
      <c r="S94" s="40"/>
      <c r="T94" s="113"/>
      <c r="U94" s="114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ht="35.25" customHeight="1">
      <c r="A95" s="40">
        <v>44967.0</v>
      </c>
      <c r="B95" s="109">
        <v>2546.0</v>
      </c>
      <c r="C95" s="109"/>
      <c r="D95" s="110" t="s">
        <v>2088</v>
      </c>
      <c r="E95" s="110" t="s">
        <v>2130</v>
      </c>
      <c r="F95" s="109">
        <v>1.0</v>
      </c>
      <c r="G95" s="111">
        <v>2755.44</v>
      </c>
      <c r="H95" s="112" t="s">
        <v>2036</v>
      </c>
      <c r="I95" s="40"/>
      <c r="J95" s="109"/>
      <c r="K95" s="109"/>
      <c r="L95" s="110"/>
      <c r="M95" s="40"/>
      <c r="N95" s="110"/>
      <c r="O95" s="109"/>
      <c r="P95" s="9"/>
      <c r="Q95" s="9"/>
      <c r="R95" s="40"/>
      <c r="S95" s="40"/>
      <c r="T95" s="113"/>
      <c r="U95" s="114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ht="35.25" customHeight="1">
      <c r="A96" s="40">
        <v>44970.0</v>
      </c>
      <c r="B96" s="109">
        <v>2547.0</v>
      </c>
      <c r="C96" s="109"/>
      <c r="D96" s="110" t="s">
        <v>19</v>
      </c>
      <c r="E96" s="110" t="s">
        <v>2131</v>
      </c>
      <c r="F96" s="109">
        <v>44.0</v>
      </c>
      <c r="G96" s="111">
        <v>858.0</v>
      </c>
      <c r="H96" s="112" t="str">
        <f>IF($J96&lt;&gt;"","FATURADO",IF($K96&lt;&gt;"","GANHOU"," "))</f>
        <v>FATURADO</v>
      </c>
      <c r="I96" s="9" t="s">
        <v>2132</v>
      </c>
      <c r="J96" s="109">
        <v>2061.0</v>
      </c>
      <c r="K96" s="109">
        <v>4.500423565E9</v>
      </c>
      <c r="L96" s="110"/>
      <c r="M96" s="40"/>
      <c r="N96" s="110"/>
      <c r="O96" s="109"/>
      <c r="P96" s="9"/>
      <c r="Q96" s="9"/>
      <c r="R96" s="40"/>
      <c r="S96" s="40"/>
      <c r="T96" s="113"/>
      <c r="U96" s="114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ht="35.25" customHeight="1">
      <c r="A97" s="40">
        <v>44966.0</v>
      </c>
      <c r="B97" s="109">
        <v>2548.0</v>
      </c>
      <c r="C97" s="109"/>
      <c r="D97" s="110" t="s">
        <v>737</v>
      </c>
      <c r="E97" s="110" t="s">
        <v>2133</v>
      </c>
      <c r="F97" s="109">
        <v>1.0</v>
      </c>
      <c r="G97" s="111">
        <v>3422.51</v>
      </c>
      <c r="H97" s="112" t="s">
        <v>180</v>
      </c>
      <c r="I97" s="40">
        <v>45097.0</v>
      </c>
      <c r="J97" s="109">
        <v>2223.0</v>
      </c>
      <c r="K97" s="109">
        <v>4.501695753E9</v>
      </c>
      <c r="L97" s="110"/>
      <c r="M97" s="40"/>
      <c r="N97" s="110"/>
      <c r="O97" s="109"/>
      <c r="P97" s="9"/>
      <c r="Q97" s="9"/>
      <c r="R97" s="40"/>
      <c r="S97" s="40"/>
      <c r="T97" s="113"/>
      <c r="U97" s="114" t="s">
        <v>2134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ht="35.25" customHeight="1">
      <c r="A98" s="40">
        <v>44971.0</v>
      </c>
      <c r="B98" s="109">
        <v>2548.0</v>
      </c>
      <c r="C98" s="109"/>
      <c r="D98" s="110" t="s">
        <v>44</v>
      </c>
      <c r="E98" s="110" t="s">
        <v>2135</v>
      </c>
      <c r="F98" s="109">
        <v>1.0</v>
      </c>
      <c r="G98" s="111">
        <v>3422.51</v>
      </c>
      <c r="H98" s="112" t="str">
        <f>IF($J98&lt;&gt;"","FATURADO",IF($K98&lt;&gt;"","GANHOU"," "))</f>
        <v>FATURADO</v>
      </c>
      <c r="I98" s="40">
        <v>45189.0</v>
      </c>
      <c r="J98" s="109">
        <v>2223.0</v>
      </c>
      <c r="K98" s="109">
        <v>4.501695753E9</v>
      </c>
      <c r="L98" s="110"/>
      <c r="M98" s="40"/>
      <c r="N98" s="110"/>
      <c r="O98" s="109"/>
      <c r="P98" s="9"/>
      <c r="Q98" s="9"/>
      <c r="R98" s="40"/>
      <c r="S98" s="40"/>
      <c r="T98" s="113"/>
      <c r="U98" s="114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ht="35.25" customHeight="1">
      <c r="A99" s="40">
        <v>44970.0</v>
      </c>
      <c r="B99" s="109">
        <v>2549.0</v>
      </c>
      <c r="C99" s="109"/>
      <c r="D99" s="110" t="s">
        <v>44</v>
      </c>
      <c r="E99" s="110" t="s">
        <v>2136</v>
      </c>
      <c r="F99" s="109">
        <v>20.0</v>
      </c>
      <c r="G99" s="111">
        <v>3080.2</v>
      </c>
      <c r="H99" s="112" t="s">
        <v>2036</v>
      </c>
      <c r="I99" s="40"/>
      <c r="J99" s="109"/>
      <c r="K99" s="118"/>
      <c r="L99" s="119"/>
      <c r="M99" s="120"/>
      <c r="N99" s="119"/>
      <c r="O99" s="118"/>
      <c r="R99" s="40"/>
      <c r="S99" s="40"/>
      <c r="T99" s="113"/>
      <c r="U99" s="114" t="s">
        <v>2137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ht="35.25" customHeight="1">
      <c r="A100" s="40">
        <v>44971.0</v>
      </c>
      <c r="B100" s="109">
        <v>2550.0</v>
      </c>
      <c r="C100" s="109"/>
      <c r="D100" s="110" t="s">
        <v>77</v>
      </c>
      <c r="E100" s="110" t="s">
        <v>2136</v>
      </c>
      <c r="F100" s="109">
        <v>20.0</v>
      </c>
      <c r="G100" s="111">
        <v>3147.75</v>
      </c>
      <c r="H100" s="112" t="s">
        <v>2036</v>
      </c>
      <c r="I100" s="40"/>
      <c r="J100" s="109"/>
      <c r="K100" s="109"/>
      <c r="L100" s="110"/>
      <c r="M100" s="40"/>
      <c r="N100" s="110"/>
      <c r="O100" s="109"/>
      <c r="P100" s="9"/>
      <c r="Q100" s="9"/>
      <c r="R100" s="40"/>
      <c r="S100" s="40"/>
      <c r="T100" s="113"/>
      <c r="U100" s="114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ht="35.25" customHeight="1">
      <c r="A101" s="40">
        <v>44971.0</v>
      </c>
      <c r="B101" s="109">
        <v>2552.0</v>
      </c>
      <c r="C101" s="109"/>
      <c r="D101" s="110" t="s">
        <v>1170</v>
      </c>
      <c r="E101" s="110" t="s">
        <v>2136</v>
      </c>
      <c r="F101" s="109">
        <v>20.0</v>
      </c>
      <c r="G101" s="111">
        <v>3450.78</v>
      </c>
      <c r="H101" s="112" t="s">
        <v>2036</v>
      </c>
      <c r="I101" s="40"/>
      <c r="J101" s="109"/>
      <c r="K101" s="109"/>
      <c r="L101" s="110"/>
      <c r="M101" s="40"/>
      <c r="N101" s="110"/>
      <c r="O101" s="109"/>
      <c r="P101" s="9"/>
      <c r="Q101" s="9"/>
      <c r="R101" s="40"/>
      <c r="S101" s="40"/>
      <c r="T101" s="113"/>
      <c r="U101" s="114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ht="35.25" customHeight="1">
      <c r="A102" s="40">
        <v>44972.0</v>
      </c>
      <c r="B102" s="109">
        <v>2556.0</v>
      </c>
      <c r="C102" s="109"/>
      <c r="D102" s="110" t="s">
        <v>188</v>
      </c>
      <c r="E102" s="110" t="s">
        <v>2138</v>
      </c>
      <c r="F102" s="109">
        <v>6.0</v>
      </c>
      <c r="G102" s="111">
        <v>117.0</v>
      </c>
      <c r="H102" s="112" t="s">
        <v>2036</v>
      </c>
      <c r="I102" s="40"/>
      <c r="J102" s="109"/>
      <c r="K102" s="109"/>
      <c r="L102" s="110"/>
      <c r="M102" s="40"/>
      <c r="N102" s="110"/>
      <c r="O102" s="109"/>
      <c r="P102" s="9"/>
      <c r="Q102" s="9"/>
      <c r="R102" s="40"/>
      <c r="S102" s="40"/>
      <c r="T102" s="113"/>
      <c r="U102" s="114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ht="35.25" customHeight="1">
      <c r="A103" s="40">
        <v>44973.0</v>
      </c>
      <c r="B103" s="109">
        <v>2557.0</v>
      </c>
      <c r="C103" s="109"/>
      <c r="D103" s="110" t="s">
        <v>2054</v>
      </c>
      <c r="E103" s="110" t="s">
        <v>2139</v>
      </c>
      <c r="F103" s="109">
        <v>1.0</v>
      </c>
      <c r="G103" s="111">
        <v>15456.85</v>
      </c>
      <c r="H103" s="112" t="s">
        <v>2036</v>
      </c>
      <c r="I103" s="40"/>
      <c r="J103" s="109"/>
      <c r="K103" s="109"/>
      <c r="L103" s="110"/>
      <c r="M103" s="40"/>
      <c r="N103" s="110"/>
      <c r="O103" s="109"/>
      <c r="P103" s="9"/>
      <c r="Q103" s="9"/>
      <c r="R103" s="40"/>
      <c r="S103" s="40"/>
      <c r="T103" s="113"/>
      <c r="U103" s="114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ht="35.25" customHeight="1">
      <c r="A104" s="40">
        <v>44979.0</v>
      </c>
      <c r="B104" s="109">
        <v>2561.0</v>
      </c>
      <c r="C104" s="109"/>
      <c r="D104" s="110" t="s">
        <v>44</v>
      </c>
      <c r="E104" s="110" t="s">
        <v>2140</v>
      </c>
      <c r="F104" s="109">
        <v>5.0</v>
      </c>
      <c r="G104" s="111">
        <v>1731.55</v>
      </c>
      <c r="H104" s="112" t="s">
        <v>2036</v>
      </c>
      <c r="I104" s="40"/>
      <c r="J104" s="109"/>
      <c r="K104" s="109"/>
      <c r="L104" s="110"/>
      <c r="M104" s="40"/>
      <c r="N104" s="110"/>
      <c r="O104" s="109"/>
      <c r="P104" s="9"/>
      <c r="Q104" s="9"/>
      <c r="R104" s="40"/>
      <c r="S104" s="40"/>
      <c r="T104" s="113"/>
      <c r="U104" s="114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ht="35.25" customHeight="1">
      <c r="A105" s="40">
        <v>44979.0</v>
      </c>
      <c r="B105" s="109">
        <v>2562.0</v>
      </c>
      <c r="C105" s="109"/>
      <c r="D105" s="110" t="s">
        <v>44</v>
      </c>
      <c r="E105" s="110" t="s">
        <v>2141</v>
      </c>
      <c r="F105" s="109">
        <v>30.0</v>
      </c>
      <c r="G105" s="111">
        <v>5913.04</v>
      </c>
      <c r="H105" s="112" t="str">
        <f>IF($J105&lt;&gt;"","FATURADO",IF($K105&lt;&gt;"","GANHOU"," "))</f>
        <v>FATURADO</v>
      </c>
      <c r="I105" s="40">
        <v>45179.0</v>
      </c>
      <c r="J105" s="109">
        <v>2205.0</v>
      </c>
      <c r="K105" s="109">
        <v>4.501692871E9</v>
      </c>
      <c r="L105" s="110"/>
      <c r="M105" s="40"/>
      <c r="N105" s="110"/>
      <c r="O105" s="109"/>
      <c r="P105" s="9"/>
      <c r="Q105" s="9"/>
      <c r="R105" s="40"/>
      <c r="S105" s="40"/>
      <c r="T105" s="113"/>
      <c r="U105" s="114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ht="35.25" customHeight="1">
      <c r="A106" s="40">
        <v>44979.0</v>
      </c>
      <c r="B106" s="109">
        <v>2561.0</v>
      </c>
      <c r="C106" s="109"/>
      <c r="D106" s="110" t="s">
        <v>44</v>
      </c>
      <c r="E106" s="110" t="s">
        <v>2142</v>
      </c>
      <c r="F106" s="109">
        <v>10.0</v>
      </c>
      <c r="G106" s="111">
        <v>2232.43</v>
      </c>
      <c r="H106" s="112" t="s">
        <v>2036</v>
      </c>
      <c r="I106" s="40"/>
      <c r="J106" s="109"/>
      <c r="K106" s="109"/>
      <c r="L106" s="110"/>
      <c r="M106" s="40"/>
      <c r="N106" s="110"/>
      <c r="O106" s="109"/>
      <c r="P106" s="9"/>
      <c r="Q106" s="9"/>
      <c r="R106" s="40"/>
      <c r="S106" s="40"/>
      <c r="T106" s="113"/>
      <c r="U106" s="114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ht="35.25" customHeight="1">
      <c r="A107" s="40">
        <v>44979.0</v>
      </c>
      <c r="B107" s="109">
        <v>2561.0</v>
      </c>
      <c r="C107" s="109"/>
      <c r="D107" s="110" t="s">
        <v>44</v>
      </c>
      <c r="E107" s="110" t="s">
        <v>2143</v>
      </c>
      <c r="F107" s="109">
        <v>100.0</v>
      </c>
      <c r="G107" s="111">
        <v>1927.29</v>
      </c>
      <c r="H107" s="112" t="s">
        <v>2036</v>
      </c>
      <c r="I107" s="40"/>
      <c r="J107" s="109"/>
      <c r="K107" s="109"/>
      <c r="L107" s="110"/>
      <c r="M107" s="40"/>
      <c r="N107" s="110"/>
      <c r="O107" s="109"/>
      <c r="P107" s="9"/>
      <c r="Q107" s="9"/>
      <c r="R107" s="40"/>
      <c r="S107" s="40"/>
      <c r="T107" s="113"/>
      <c r="U107" s="114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ht="35.25" customHeight="1">
      <c r="A108" s="40">
        <v>44979.0</v>
      </c>
      <c r="B108" s="109">
        <v>2561.0</v>
      </c>
      <c r="C108" s="109"/>
      <c r="D108" s="110" t="s">
        <v>44</v>
      </c>
      <c r="E108" s="110" t="s">
        <v>2144</v>
      </c>
      <c r="F108" s="109">
        <v>100.0</v>
      </c>
      <c r="G108" s="111">
        <v>3956.18</v>
      </c>
      <c r="H108" s="112" t="s">
        <v>2036</v>
      </c>
      <c r="I108" s="40"/>
      <c r="J108" s="109"/>
      <c r="K108" s="109"/>
      <c r="L108" s="110"/>
      <c r="M108" s="40"/>
      <c r="N108" s="110"/>
      <c r="O108" s="109"/>
      <c r="P108" s="9"/>
      <c r="Q108" s="9"/>
      <c r="R108" s="40"/>
      <c r="S108" s="40"/>
      <c r="T108" s="113"/>
      <c r="U108" s="114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ht="35.25" customHeight="1">
      <c r="A109" s="40">
        <v>44979.0</v>
      </c>
      <c r="B109" s="109">
        <v>2561.0</v>
      </c>
      <c r="C109" s="109"/>
      <c r="D109" s="110" t="s">
        <v>44</v>
      </c>
      <c r="E109" s="110" t="s">
        <v>2145</v>
      </c>
      <c r="F109" s="109">
        <v>10.0</v>
      </c>
      <c r="G109" s="111">
        <v>15162.6</v>
      </c>
      <c r="H109" s="112" t="s">
        <v>2036</v>
      </c>
      <c r="I109" s="40"/>
      <c r="J109" s="109"/>
      <c r="K109" s="109"/>
      <c r="L109" s="110"/>
      <c r="M109" s="40"/>
      <c r="N109" s="110"/>
      <c r="O109" s="109"/>
      <c r="P109" s="9"/>
      <c r="Q109" s="9"/>
      <c r="R109" s="40"/>
      <c r="S109" s="40"/>
      <c r="T109" s="113"/>
      <c r="U109" s="114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ht="35.25" customHeight="1">
      <c r="A110" s="40">
        <v>44979.0</v>
      </c>
      <c r="B110" s="109">
        <v>2561.0</v>
      </c>
      <c r="C110" s="109"/>
      <c r="D110" s="110" t="s">
        <v>44</v>
      </c>
      <c r="E110" s="110" t="s">
        <v>2146</v>
      </c>
      <c r="F110" s="109">
        <v>30.0</v>
      </c>
      <c r="G110" s="111">
        <v>6338.29</v>
      </c>
      <c r="H110" s="112" t="s">
        <v>2036</v>
      </c>
      <c r="I110" s="40"/>
      <c r="J110" s="109"/>
      <c r="K110" s="109"/>
      <c r="L110" s="110"/>
      <c r="M110" s="40"/>
      <c r="N110" s="110"/>
      <c r="O110" s="109"/>
      <c r="P110" s="9"/>
      <c r="Q110" s="9"/>
      <c r="R110" s="40"/>
      <c r="S110" s="40"/>
      <c r="T110" s="113"/>
      <c r="U110" s="114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ht="35.25" customHeight="1">
      <c r="A111" s="40">
        <v>44979.0</v>
      </c>
      <c r="B111" s="109">
        <v>2561.0</v>
      </c>
      <c r="C111" s="109"/>
      <c r="D111" s="110" t="s">
        <v>44</v>
      </c>
      <c r="E111" s="110" t="s">
        <v>2147</v>
      </c>
      <c r="F111" s="109">
        <v>10.0</v>
      </c>
      <c r="G111" s="111">
        <v>909.33</v>
      </c>
      <c r="H111" s="112" t="s">
        <v>2036</v>
      </c>
      <c r="I111" s="40"/>
      <c r="J111" s="109"/>
      <c r="K111" s="109"/>
      <c r="L111" s="110"/>
      <c r="M111" s="40"/>
      <c r="N111" s="110"/>
      <c r="O111" s="109"/>
      <c r="P111" s="9"/>
      <c r="Q111" s="9"/>
      <c r="R111" s="40"/>
      <c r="S111" s="40"/>
      <c r="T111" s="113"/>
      <c r="U111" s="114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ht="35.25" customHeight="1">
      <c r="A112" s="40">
        <v>44979.0</v>
      </c>
      <c r="B112" s="109">
        <v>2561.0</v>
      </c>
      <c r="C112" s="109"/>
      <c r="D112" s="110" t="s">
        <v>44</v>
      </c>
      <c r="E112" s="110" t="s">
        <v>2148</v>
      </c>
      <c r="F112" s="109">
        <v>10.0</v>
      </c>
      <c r="G112" s="111">
        <v>536.36</v>
      </c>
      <c r="H112" s="112" t="s">
        <v>2036</v>
      </c>
      <c r="I112" s="40"/>
      <c r="J112" s="109"/>
      <c r="K112" s="109"/>
      <c r="L112" s="110"/>
      <c r="M112" s="40"/>
      <c r="N112" s="110"/>
      <c r="O112" s="109"/>
      <c r="P112" s="9"/>
      <c r="Q112" s="9"/>
      <c r="R112" s="40"/>
      <c r="S112" s="40"/>
      <c r="T112" s="113"/>
      <c r="U112" s="114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ht="35.25" customHeight="1">
      <c r="A113" s="40">
        <v>44979.0</v>
      </c>
      <c r="B113" s="109">
        <v>2561.0</v>
      </c>
      <c r="C113" s="109"/>
      <c r="D113" s="110" t="s">
        <v>44</v>
      </c>
      <c r="E113" s="110" t="s">
        <v>2149</v>
      </c>
      <c r="F113" s="109">
        <v>4.0</v>
      </c>
      <c r="G113" s="111">
        <v>11843.16</v>
      </c>
      <c r="H113" s="112" t="s">
        <v>2036</v>
      </c>
      <c r="I113" s="40"/>
      <c r="J113" s="109"/>
      <c r="K113" s="109"/>
      <c r="L113" s="110"/>
      <c r="M113" s="40"/>
      <c r="N113" s="110"/>
      <c r="O113" s="109"/>
      <c r="P113" s="9"/>
      <c r="Q113" s="9"/>
      <c r="R113" s="40"/>
      <c r="S113" s="40"/>
      <c r="T113" s="113"/>
      <c r="U113" s="114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ht="35.25" customHeight="1">
      <c r="A114" s="40">
        <v>44979.0</v>
      </c>
      <c r="B114" s="109">
        <v>2561.0</v>
      </c>
      <c r="C114" s="109"/>
      <c r="D114" s="110" t="s">
        <v>44</v>
      </c>
      <c r="E114" s="110" t="s">
        <v>2150</v>
      </c>
      <c r="F114" s="109">
        <v>1.0</v>
      </c>
      <c r="G114" s="111">
        <v>1211.4</v>
      </c>
      <c r="H114" s="112" t="s">
        <v>2036</v>
      </c>
      <c r="I114" s="40"/>
      <c r="J114" s="109"/>
      <c r="K114" s="109"/>
      <c r="L114" s="110"/>
      <c r="M114" s="40"/>
      <c r="N114" s="110"/>
      <c r="O114" s="109"/>
      <c r="P114" s="9"/>
      <c r="Q114" s="9"/>
      <c r="R114" s="40"/>
      <c r="S114" s="40"/>
      <c r="T114" s="113"/>
      <c r="U114" s="114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ht="35.25" customHeight="1">
      <c r="A115" s="40">
        <v>44979.0</v>
      </c>
      <c r="B115" s="109">
        <v>2561.0</v>
      </c>
      <c r="C115" s="109"/>
      <c r="D115" s="110" t="s">
        <v>44</v>
      </c>
      <c r="E115" s="110" t="s">
        <v>2151</v>
      </c>
      <c r="F115" s="109">
        <v>10.0</v>
      </c>
      <c r="G115" s="111">
        <v>4936.52</v>
      </c>
      <c r="H115" s="112" t="s">
        <v>2036</v>
      </c>
      <c r="I115" s="40"/>
      <c r="J115" s="109"/>
      <c r="K115" s="109"/>
      <c r="L115" s="110"/>
      <c r="M115" s="40"/>
      <c r="N115" s="110"/>
      <c r="O115" s="109"/>
      <c r="P115" s="9"/>
      <c r="Q115" s="9"/>
      <c r="R115" s="40"/>
      <c r="S115" s="40"/>
      <c r="T115" s="113"/>
      <c r="U115" s="114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ht="35.25" customHeight="1">
      <c r="A116" s="40">
        <v>44979.0</v>
      </c>
      <c r="B116" s="109">
        <v>2561.0</v>
      </c>
      <c r="C116" s="109"/>
      <c r="D116" s="110" t="s">
        <v>44</v>
      </c>
      <c r="E116" s="110" t="s">
        <v>2152</v>
      </c>
      <c r="F116" s="109">
        <v>1.0</v>
      </c>
      <c r="G116" s="111">
        <v>2952.89</v>
      </c>
      <c r="H116" s="112" t="s">
        <v>2036</v>
      </c>
      <c r="I116" s="40"/>
      <c r="J116" s="109"/>
      <c r="K116" s="109"/>
      <c r="L116" s="110"/>
      <c r="M116" s="40"/>
      <c r="N116" s="110"/>
      <c r="O116" s="109"/>
      <c r="P116" s="9"/>
      <c r="Q116" s="9"/>
      <c r="R116" s="40"/>
      <c r="S116" s="40"/>
      <c r="T116" s="113"/>
      <c r="U116" s="114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ht="35.25" customHeight="1">
      <c r="A117" s="40">
        <v>44979.0</v>
      </c>
      <c r="B117" s="109">
        <v>2561.0</v>
      </c>
      <c r="C117" s="109"/>
      <c r="D117" s="110" t="s">
        <v>44</v>
      </c>
      <c r="E117" s="110" t="s">
        <v>2153</v>
      </c>
      <c r="F117" s="109">
        <v>3.0</v>
      </c>
      <c r="G117" s="111">
        <v>1340.38</v>
      </c>
      <c r="H117" s="112" t="s">
        <v>2036</v>
      </c>
      <c r="I117" s="40"/>
      <c r="J117" s="109"/>
      <c r="K117" s="109"/>
      <c r="L117" s="110"/>
      <c r="M117" s="40"/>
      <c r="N117" s="110"/>
      <c r="O117" s="109"/>
      <c r="P117" s="9"/>
      <c r="Q117" s="9"/>
      <c r="R117" s="40"/>
      <c r="S117" s="40"/>
      <c r="T117" s="113"/>
      <c r="U117" s="114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ht="35.25" customHeight="1">
      <c r="A118" s="40">
        <v>44979.0</v>
      </c>
      <c r="B118" s="109">
        <v>2561.0</v>
      </c>
      <c r="C118" s="109"/>
      <c r="D118" s="110" t="s">
        <v>44</v>
      </c>
      <c r="E118" s="110" t="s">
        <v>2154</v>
      </c>
      <c r="F118" s="109">
        <v>14.0</v>
      </c>
      <c r="G118" s="111">
        <v>12348.21</v>
      </c>
      <c r="H118" s="112" t="s">
        <v>2036</v>
      </c>
      <c r="I118" s="40"/>
      <c r="J118" s="109"/>
      <c r="K118" s="109"/>
      <c r="L118" s="110"/>
      <c r="M118" s="40"/>
      <c r="N118" s="110"/>
      <c r="O118" s="109"/>
      <c r="P118" s="9"/>
      <c r="Q118" s="9"/>
      <c r="R118" s="40"/>
      <c r="S118" s="40"/>
      <c r="T118" s="113"/>
      <c r="U118" s="114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ht="35.25" customHeight="1">
      <c r="A119" s="40">
        <v>44979.0</v>
      </c>
      <c r="B119" s="109">
        <v>2561.0</v>
      </c>
      <c r="C119" s="109"/>
      <c r="D119" s="110" t="s">
        <v>44</v>
      </c>
      <c r="E119" s="110" t="s">
        <v>2155</v>
      </c>
      <c r="F119" s="109">
        <v>2.0</v>
      </c>
      <c r="G119" s="111">
        <v>1646.17</v>
      </c>
      <c r="H119" s="112" t="s">
        <v>2036</v>
      </c>
      <c r="I119" s="40"/>
      <c r="J119" s="109"/>
      <c r="K119" s="109"/>
      <c r="L119" s="110"/>
      <c r="M119" s="40"/>
      <c r="N119" s="110"/>
      <c r="O119" s="109"/>
      <c r="P119" s="9"/>
      <c r="Q119" s="9"/>
      <c r="R119" s="40"/>
      <c r="S119" s="40"/>
      <c r="T119" s="113"/>
      <c r="U119" s="114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ht="35.25" customHeight="1">
      <c r="A120" s="40">
        <v>44979.0</v>
      </c>
      <c r="B120" s="109">
        <v>2563.0</v>
      </c>
      <c r="C120" s="109"/>
      <c r="D120" s="110" t="s">
        <v>44</v>
      </c>
      <c r="E120" s="110" t="s">
        <v>2156</v>
      </c>
      <c r="F120" s="109">
        <v>4.0</v>
      </c>
      <c r="G120" s="111">
        <v>268.17</v>
      </c>
      <c r="H120" s="112" t="s">
        <v>2036</v>
      </c>
      <c r="I120" s="40"/>
      <c r="J120" s="109"/>
      <c r="K120" s="109"/>
      <c r="L120" s="110"/>
      <c r="M120" s="40"/>
      <c r="N120" s="110"/>
      <c r="O120" s="109"/>
      <c r="P120" s="9"/>
      <c r="Q120" s="9"/>
      <c r="R120" s="40"/>
      <c r="S120" s="40"/>
      <c r="T120" s="113"/>
      <c r="U120" s="114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ht="35.25" customHeight="1">
      <c r="A121" s="40">
        <v>44979.0</v>
      </c>
      <c r="B121" s="109">
        <v>2564.0</v>
      </c>
      <c r="C121" s="109"/>
      <c r="D121" s="110" t="s">
        <v>44</v>
      </c>
      <c r="E121" s="127" t="s">
        <v>2141</v>
      </c>
      <c r="F121" s="109">
        <v>30.0</v>
      </c>
      <c r="G121" s="111">
        <v>5913.3</v>
      </c>
      <c r="H121" s="112" t="str">
        <f>IF($J121&lt;&gt;"","FATURADO",IF($K121&lt;&gt;"","GANHOU"," "))</f>
        <v>FATURADO</v>
      </c>
      <c r="I121" s="40">
        <v>45179.0</v>
      </c>
      <c r="J121" s="109">
        <v>2207.0</v>
      </c>
      <c r="K121" s="109">
        <v>4.501687424E9</v>
      </c>
      <c r="L121" s="110"/>
      <c r="M121" s="40"/>
      <c r="N121" s="110"/>
      <c r="O121" s="109"/>
      <c r="P121" s="9"/>
      <c r="Q121" s="9"/>
      <c r="R121" s="40"/>
      <c r="S121" s="40"/>
      <c r="T121" s="113"/>
      <c r="U121" s="114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ht="35.25" customHeight="1">
      <c r="A122" s="40">
        <v>44979.0</v>
      </c>
      <c r="B122" s="109">
        <v>2565.0</v>
      </c>
      <c r="C122" s="109"/>
      <c r="D122" s="110" t="s">
        <v>44</v>
      </c>
      <c r="E122" s="110" t="s">
        <v>2157</v>
      </c>
      <c r="F122" s="109">
        <v>30.0</v>
      </c>
      <c r="G122" s="111">
        <v>4277.39</v>
      </c>
      <c r="H122" s="112" t="s">
        <v>2036</v>
      </c>
      <c r="I122" s="40"/>
      <c r="J122" s="109"/>
      <c r="K122" s="109"/>
      <c r="L122" s="110"/>
      <c r="M122" s="40"/>
      <c r="N122" s="110"/>
      <c r="O122" s="109"/>
      <c r="P122" s="9"/>
      <c r="Q122" s="9"/>
      <c r="R122" s="40"/>
      <c r="S122" s="40"/>
      <c r="T122" s="113"/>
      <c r="U122" s="114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ht="35.25" customHeight="1">
      <c r="A123" s="40">
        <v>44979.0</v>
      </c>
      <c r="B123" s="109">
        <v>2566.0</v>
      </c>
      <c r="C123" s="109"/>
      <c r="D123" s="110" t="s">
        <v>44</v>
      </c>
      <c r="E123" s="110" t="s">
        <v>2136</v>
      </c>
      <c r="F123" s="109">
        <v>14.0</v>
      </c>
      <c r="G123" s="111">
        <v>2127.72</v>
      </c>
      <c r="H123" s="112" t="s">
        <v>2036</v>
      </c>
      <c r="I123" s="40"/>
      <c r="J123" s="109"/>
      <c r="K123" s="109"/>
      <c r="L123" s="110"/>
      <c r="M123" s="40"/>
      <c r="N123" s="110"/>
      <c r="O123" s="109"/>
      <c r="P123" s="9"/>
      <c r="Q123" s="9"/>
      <c r="R123" s="40"/>
      <c r="S123" s="40"/>
      <c r="T123" s="113"/>
      <c r="U123" s="114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ht="35.25" customHeight="1">
      <c r="A124" s="40">
        <v>44979.0</v>
      </c>
      <c r="B124" s="109">
        <v>2567.0</v>
      </c>
      <c r="C124" s="109"/>
      <c r="D124" s="110" t="s">
        <v>44</v>
      </c>
      <c r="E124" s="110" t="s">
        <v>2158</v>
      </c>
      <c r="F124" s="109">
        <v>1.0</v>
      </c>
      <c r="G124" s="111">
        <v>5850.61</v>
      </c>
      <c r="H124" s="112" t="s">
        <v>2036</v>
      </c>
      <c r="I124" s="40"/>
      <c r="J124" s="109"/>
      <c r="K124" s="109"/>
      <c r="L124" s="110"/>
      <c r="M124" s="40"/>
      <c r="N124" s="110"/>
      <c r="O124" s="109"/>
      <c r="P124" s="9"/>
      <c r="Q124" s="9"/>
      <c r="R124" s="40"/>
      <c r="S124" s="40"/>
      <c r="T124" s="113"/>
      <c r="U124" s="114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ht="35.25" customHeight="1">
      <c r="A125" s="40">
        <v>44979.0</v>
      </c>
      <c r="B125" s="109">
        <v>2568.0</v>
      </c>
      <c r="C125" s="109"/>
      <c r="D125" s="110" t="s">
        <v>44</v>
      </c>
      <c r="E125" s="110" t="s">
        <v>2159</v>
      </c>
      <c r="F125" s="109">
        <v>50.0</v>
      </c>
      <c r="G125" s="111">
        <v>1976.5</v>
      </c>
      <c r="H125" s="112" t="str">
        <f>IF($J125&lt;&gt;"","FATURADO",IF($K125&lt;&gt;"","GANHOU"," "))</f>
        <v>FATURADO</v>
      </c>
      <c r="I125" s="40">
        <v>44979.0</v>
      </c>
      <c r="J125" s="109">
        <v>2063.0</v>
      </c>
      <c r="K125" s="109">
        <v>4.500424927E9</v>
      </c>
      <c r="L125" s="110"/>
      <c r="M125" s="40"/>
      <c r="N125" s="110"/>
      <c r="O125" s="109"/>
      <c r="P125" s="9"/>
      <c r="Q125" s="9"/>
      <c r="R125" s="40"/>
      <c r="S125" s="40"/>
      <c r="T125" s="113"/>
      <c r="U125" s="114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ht="35.25" customHeight="1">
      <c r="A126" s="40">
        <v>44979.0</v>
      </c>
      <c r="B126" s="109">
        <v>2570.0</v>
      </c>
      <c r="C126" s="109"/>
      <c r="D126" s="110" t="s">
        <v>1409</v>
      </c>
      <c r="E126" s="110" t="s">
        <v>2160</v>
      </c>
      <c r="F126" s="109">
        <v>1.0</v>
      </c>
      <c r="G126" s="111">
        <v>165997.47</v>
      </c>
      <c r="H126" s="112" t="s">
        <v>2036</v>
      </c>
      <c r="I126" s="40"/>
      <c r="J126" s="109"/>
      <c r="K126" s="109"/>
      <c r="L126" s="110"/>
      <c r="M126" s="40"/>
      <c r="N126" s="110"/>
      <c r="O126" s="109"/>
      <c r="P126" s="9"/>
      <c r="Q126" s="9"/>
      <c r="R126" s="40"/>
      <c r="S126" s="40"/>
      <c r="T126" s="113"/>
      <c r="U126" s="114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ht="35.25" customHeight="1">
      <c r="A127" s="40">
        <v>44981.0</v>
      </c>
      <c r="B127" s="109">
        <v>2571.0</v>
      </c>
      <c r="C127" s="109"/>
      <c r="D127" s="110" t="s">
        <v>44</v>
      </c>
      <c r="E127" s="110" t="s">
        <v>2161</v>
      </c>
      <c r="F127" s="109">
        <v>100.0</v>
      </c>
      <c r="G127" s="111">
        <v>9074.0</v>
      </c>
      <c r="H127" s="112" t="s">
        <v>2036</v>
      </c>
      <c r="I127" s="40"/>
      <c r="J127" s="109"/>
      <c r="K127" s="109"/>
      <c r="L127" s="110"/>
      <c r="M127" s="40"/>
      <c r="N127" s="110"/>
      <c r="O127" s="109"/>
      <c r="P127" s="9"/>
      <c r="Q127" s="9"/>
      <c r="R127" s="40"/>
      <c r="S127" s="40"/>
      <c r="T127" s="113"/>
      <c r="U127" s="114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ht="35.25" customHeight="1">
      <c r="A128" s="40">
        <v>44981.0</v>
      </c>
      <c r="B128" s="109">
        <v>2572.0</v>
      </c>
      <c r="C128" s="109"/>
      <c r="D128" s="110" t="s">
        <v>44</v>
      </c>
      <c r="E128" s="110" t="s">
        <v>2162</v>
      </c>
      <c r="F128" s="109">
        <v>100.0</v>
      </c>
      <c r="G128" s="111">
        <v>7702.42</v>
      </c>
      <c r="H128" s="112" t="s">
        <v>2036</v>
      </c>
      <c r="I128" s="40"/>
      <c r="J128" s="109"/>
      <c r="K128" s="109"/>
      <c r="L128" s="110"/>
      <c r="M128" s="40"/>
      <c r="N128" s="110"/>
      <c r="O128" s="109"/>
      <c r="P128" s="9"/>
      <c r="Q128" s="9"/>
      <c r="R128" s="40"/>
      <c r="S128" s="40"/>
      <c r="T128" s="113"/>
      <c r="U128" s="114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ht="35.25" customHeight="1">
      <c r="A129" s="40">
        <v>44981.0</v>
      </c>
      <c r="B129" s="109">
        <v>2573.0</v>
      </c>
      <c r="C129" s="109"/>
      <c r="D129" s="110" t="s">
        <v>44</v>
      </c>
      <c r="E129" s="110" t="s">
        <v>2163</v>
      </c>
      <c r="F129" s="109">
        <v>100.0</v>
      </c>
      <c r="G129" s="111">
        <v>6762.72</v>
      </c>
      <c r="H129" s="112" t="s">
        <v>2036</v>
      </c>
      <c r="I129" s="40"/>
      <c r="J129" s="109"/>
      <c r="K129" s="109"/>
      <c r="L129" s="110"/>
      <c r="M129" s="40"/>
      <c r="N129" s="110"/>
      <c r="O129" s="109"/>
      <c r="P129" s="9"/>
      <c r="Q129" s="9"/>
      <c r="R129" s="40"/>
      <c r="S129" s="40"/>
      <c r="T129" s="113"/>
      <c r="U129" s="114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ht="35.25" customHeight="1">
      <c r="A130" s="40">
        <v>44981.0</v>
      </c>
      <c r="B130" s="109">
        <v>2577.0</v>
      </c>
      <c r="C130" s="109"/>
      <c r="D130" s="110" t="s">
        <v>44</v>
      </c>
      <c r="E130" s="110" t="s">
        <v>2164</v>
      </c>
      <c r="F130" s="109">
        <v>5.0</v>
      </c>
      <c r="G130" s="111">
        <v>2481.34</v>
      </c>
      <c r="H130" s="112" t="str">
        <f>IF($J130&lt;&gt;"","FATURADO",IF($K130&lt;&gt;"","GANHOU"," "))</f>
        <v>FATURADO</v>
      </c>
      <c r="I130" s="40">
        <v>45020.0</v>
      </c>
      <c r="J130" s="109">
        <v>2095.0</v>
      </c>
      <c r="K130" s="109">
        <v>4.501693357E9</v>
      </c>
      <c r="L130" s="110"/>
      <c r="M130" s="40"/>
      <c r="N130" s="110"/>
      <c r="O130" s="109"/>
      <c r="P130" s="9"/>
      <c r="Q130" s="9"/>
      <c r="R130" s="40"/>
      <c r="S130" s="40"/>
      <c r="T130" s="113"/>
      <c r="U130" s="114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ht="35.25" customHeight="1">
      <c r="A131" s="40">
        <v>44981.0</v>
      </c>
      <c r="B131" s="109">
        <v>2578.0</v>
      </c>
      <c r="C131" s="109"/>
      <c r="D131" s="110" t="s">
        <v>44</v>
      </c>
      <c r="E131" s="110" t="s">
        <v>2165</v>
      </c>
      <c r="F131" s="109">
        <v>4.0</v>
      </c>
      <c r="G131" s="111">
        <v>298.25</v>
      </c>
      <c r="H131" s="112" t="s">
        <v>2036</v>
      </c>
      <c r="I131" s="40"/>
      <c r="J131" s="109"/>
      <c r="K131" s="109"/>
      <c r="L131" s="110"/>
      <c r="M131" s="40"/>
      <c r="N131" s="110"/>
      <c r="O131" s="109"/>
      <c r="P131" s="9"/>
      <c r="Q131" s="9"/>
      <c r="R131" s="40"/>
      <c r="S131" s="40"/>
      <c r="T131" s="113"/>
      <c r="U131" s="114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ht="35.25" customHeight="1">
      <c r="A132" s="40">
        <v>44985.0</v>
      </c>
      <c r="B132" s="109">
        <v>2580.0</v>
      </c>
      <c r="C132" s="109"/>
      <c r="D132" s="110" t="s">
        <v>77</v>
      </c>
      <c r="E132" s="110" t="s">
        <v>2166</v>
      </c>
      <c r="F132" s="109" t="s">
        <v>165</v>
      </c>
      <c r="G132" s="111">
        <v>6386.06</v>
      </c>
      <c r="H132" s="112" t="s">
        <v>2036</v>
      </c>
      <c r="I132" s="40"/>
      <c r="J132" s="109"/>
      <c r="K132" s="109"/>
      <c r="L132" s="110"/>
      <c r="M132" s="40"/>
      <c r="N132" s="110"/>
      <c r="O132" s="109"/>
      <c r="P132" s="9"/>
      <c r="Q132" s="9"/>
      <c r="R132" s="40"/>
      <c r="S132" s="40"/>
      <c r="T132" s="113"/>
      <c r="U132" s="114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ht="35.25" customHeight="1">
      <c r="A133" s="40">
        <v>44985.0</v>
      </c>
      <c r="B133" s="109">
        <v>2581.0</v>
      </c>
      <c r="C133" s="109"/>
      <c r="D133" s="110" t="s">
        <v>44</v>
      </c>
      <c r="E133" s="110" t="s">
        <v>2167</v>
      </c>
      <c r="F133" s="109">
        <v>18.0</v>
      </c>
      <c r="G133" s="111">
        <v>14352.66</v>
      </c>
      <c r="H133" s="112" t="s">
        <v>2036</v>
      </c>
      <c r="I133" s="40"/>
      <c r="J133" s="109"/>
      <c r="K133" s="109"/>
      <c r="L133" s="110"/>
      <c r="M133" s="40"/>
      <c r="N133" s="110"/>
      <c r="O133" s="109"/>
      <c r="P133" s="9"/>
      <c r="Q133" s="9"/>
      <c r="R133" s="40"/>
      <c r="S133" s="40"/>
      <c r="T133" s="113"/>
      <c r="U133" s="114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ht="35.25" customHeight="1">
      <c r="A134" s="40">
        <v>44985.0</v>
      </c>
      <c r="B134" s="109">
        <v>2582.0</v>
      </c>
      <c r="C134" s="109"/>
      <c r="D134" s="110" t="s">
        <v>44</v>
      </c>
      <c r="E134" s="110" t="s">
        <v>2040</v>
      </c>
      <c r="F134" s="109">
        <v>1.0</v>
      </c>
      <c r="G134" s="111">
        <v>16615.84</v>
      </c>
      <c r="H134" s="112" t="s">
        <v>2036</v>
      </c>
      <c r="I134" s="40"/>
      <c r="J134" s="109"/>
      <c r="K134" s="109"/>
      <c r="L134" s="110"/>
      <c r="M134" s="40"/>
      <c r="N134" s="110"/>
      <c r="O134" s="109"/>
      <c r="P134" s="9"/>
      <c r="Q134" s="9"/>
      <c r="R134" s="40"/>
      <c r="S134" s="40"/>
      <c r="T134" s="113"/>
      <c r="U134" s="114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ht="35.25" customHeight="1">
      <c r="A135" s="40">
        <v>44985.0</v>
      </c>
      <c r="B135" s="109">
        <v>2583.0</v>
      </c>
      <c r="C135" s="109"/>
      <c r="D135" s="110" t="s">
        <v>77</v>
      </c>
      <c r="E135" s="110" t="s">
        <v>2168</v>
      </c>
      <c r="F135" s="109">
        <v>10.0</v>
      </c>
      <c r="G135" s="111">
        <v>1065.7</v>
      </c>
      <c r="H135" s="112" t="s">
        <v>2036</v>
      </c>
      <c r="I135" s="40"/>
      <c r="J135" s="109"/>
      <c r="K135" s="109"/>
      <c r="L135" s="110"/>
      <c r="M135" s="40"/>
      <c r="N135" s="110"/>
      <c r="O135" s="109"/>
      <c r="P135" s="9"/>
      <c r="Q135" s="9"/>
      <c r="R135" s="40"/>
      <c r="S135" s="40"/>
      <c r="T135" s="113"/>
      <c r="U135" s="114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ht="35.25" customHeight="1">
      <c r="A136" s="40">
        <v>44986.0</v>
      </c>
      <c r="B136" s="109">
        <v>2587.0</v>
      </c>
      <c r="C136" s="109"/>
      <c r="D136" s="110" t="s">
        <v>77</v>
      </c>
      <c r="E136" s="110" t="s">
        <v>2169</v>
      </c>
      <c r="F136" s="109">
        <v>1.0</v>
      </c>
      <c r="G136" s="111">
        <v>14662.84</v>
      </c>
      <c r="H136" s="112" t="str">
        <f t="shared" ref="H136:H138" si="4">IF($J136&lt;&gt;"","FATURADO",IF($K136&lt;&gt;"","GANHOU"," "))</f>
        <v>FATURADO</v>
      </c>
      <c r="I136" s="40">
        <v>44930.0</v>
      </c>
      <c r="J136" s="109">
        <v>2070.0</v>
      </c>
      <c r="K136" s="109">
        <v>172538.0</v>
      </c>
      <c r="L136" s="110"/>
      <c r="M136" s="40"/>
      <c r="N136" s="110"/>
      <c r="O136" s="128">
        <v>62094.0</v>
      </c>
      <c r="P136" s="9"/>
      <c r="Q136" s="9"/>
      <c r="R136" s="40"/>
      <c r="S136" s="40"/>
      <c r="T136" s="113"/>
      <c r="U136" s="114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ht="35.25" customHeight="1">
      <c r="A137" s="40">
        <v>44987.0</v>
      </c>
      <c r="B137" s="109">
        <v>2588.0</v>
      </c>
      <c r="C137" s="109"/>
      <c r="D137" s="110" t="s">
        <v>19</v>
      </c>
      <c r="E137" s="110" t="s">
        <v>2170</v>
      </c>
      <c r="F137" s="109">
        <v>30.0</v>
      </c>
      <c r="G137" s="111">
        <v>705.0</v>
      </c>
      <c r="H137" s="112" t="str">
        <f t="shared" si="4"/>
        <v>FATURADO</v>
      </c>
      <c r="I137" s="40">
        <v>45113.0</v>
      </c>
      <c r="J137" s="109">
        <v>2159.0</v>
      </c>
      <c r="K137" s="109">
        <v>4.500427289E9</v>
      </c>
      <c r="L137" s="110"/>
      <c r="M137" s="40"/>
      <c r="N137" s="110"/>
      <c r="O137" s="109"/>
      <c r="P137" s="9"/>
      <c r="Q137" s="9"/>
      <c r="R137" s="40"/>
      <c r="S137" s="40"/>
      <c r="T137" s="113"/>
      <c r="U137" s="114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ht="35.25" customHeight="1">
      <c r="A138" s="40">
        <v>44987.0</v>
      </c>
      <c r="B138" s="109">
        <v>2589.0</v>
      </c>
      <c r="C138" s="109"/>
      <c r="D138" s="110" t="s">
        <v>19</v>
      </c>
      <c r="E138" s="110" t="s">
        <v>2171</v>
      </c>
      <c r="F138" s="109">
        <v>180.0</v>
      </c>
      <c r="G138" s="111">
        <v>1252.8</v>
      </c>
      <c r="H138" s="112" t="str">
        <f t="shared" si="4"/>
        <v>FATURADO</v>
      </c>
      <c r="I138" s="40">
        <v>45121.0</v>
      </c>
      <c r="J138" s="109">
        <v>2166.0</v>
      </c>
      <c r="K138" s="109">
        <v>4.500427792E9</v>
      </c>
      <c r="L138" s="110"/>
      <c r="M138" s="40"/>
      <c r="N138" s="110"/>
      <c r="O138" s="109"/>
      <c r="P138" s="9"/>
      <c r="Q138" s="9"/>
      <c r="R138" s="40"/>
      <c r="S138" s="40"/>
      <c r="T138" s="113"/>
      <c r="U138" s="114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ht="35.25" customHeight="1">
      <c r="A139" s="40">
        <v>44987.0</v>
      </c>
      <c r="B139" s="109">
        <v>2590.0</v>
      </c>
      <c r="C139" s="109"/>
      <c r="D139" s="110" t="s">
        <v>44</v>
      </c>
      <c r="E139" s="110" t="s">
        <v>2172</v>
      </c>
      <c r="F139" s="109">
        <v>1.0</v>
      </c>
      <c r="G139" s="111">
        <v>18143.73</v>
      </c>
      <c r="H139" s="112" t="s">
        <v>167</v>
      </c>
      <c r="I139" s="40"/>
      <c r="J139" s="109"/>
      <c r="K139" s="109"/>
      <c r="L139" s="110"/>
      <c r="M139" s="40"/>
      <c r="N139" s="110"/>
      <c r="O139" s="109"/>
      <c r="P139" s="9"/>
      <c r="Q139" s="9"/>
      <c r="R139" s="40"/>
      <c r="S139" s="40"/>
      <c r="T139" s="113"/>
      <c r="U139" s="114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ht="35.25" customHeight="1">
      <c r="A140" s="40">
        <v>44987.0</v>
      </c>
      <c r="B140" s="109">
        <v>2591.0</v>
      </c>
      <c r="C140" s="109"/>
      <c r="D140" s="110" t="s">
        <v>44</v>
      </c>
      <c r="E140" s="110" t="s">
        <v>2169</v>
      </c>
      <c r="F140" s="109">
        <v>1.0</v>
      </c>
      <c r="G140" s="111">
        <v>14864.78</v>
      </c>
      <c r="H140" s="112" t="str">
        <f>IF($J140&lt;&gt;"","FATURADO",IF($K140&lt;&gt;"","GANHOU"," "))</f>
        <v>FATURADO</v>
      </c>
      <c r="I140" s="40">
        <v>44988.0</v>
      </c>
      <c r="J140" s="109">
        <v>2068.0</v>
      </c>
      <c r="K140" s="109"/>
      <c r="L140" s="110"/>
      <c r="M140" s="40"/>
      <c r="N140" s="110"/>
      <c r="O140" s="109"/>
      <c r="P140" s="9"/>
      <c r="Q140" s="9"/>
      <c r="R140" s="40"/>
      <c r="S140" s="40"/>
      <c r="T140" s="113"/>
      <c r="U140" s="114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ht="35.25" customHeight="1">
      <c r="A141" s="40">
        <v>44987.0</v>
      </c>
      <c r="B141" s="109">
        <v>2590.0</v>
      </c>
      <c r="C141" s="109"/>
      <c r="D141" s="110" t="s">
        <v>44</v>
      </c>
      <c r="E141" s="110" t="s">
        <v>2040</v>
      </c>
      <c r="F141" s="109">
        <v>1.0</v>
      </c>
      <c r="G141" s="111">
        <v>18143.73</v>
      </c>
      <c r="H141" s="112" t="s">
        <v>2036</v>
      </c>
      <c r="I141" s="40"/>
      <c r="J141" s="109"/>
      <c r="K141" s="109"/>
      <c r="L141" s="110"/>
      <c r="M141" s="40"/>
      <c r="N141" s="110"/>
      <c r="O141" s="109"/>
      <c r="P141" s="9"/>
      <c r="Q141" s="9"/>
      <c r="R141" s="40"/>
      <c r="S141" s="40"/>
      <c r="T141" s="113"/>
      <c r="U141" s="114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ht="35.25" customHeight="1">
      <c r="A142" s="40">
        <v>45083.0</v>
      </c>
      <c r="B142" s="109">
        <v>2593.0</v>
      </c>
      <c r="C142" s="109"/>
      <c r="D142" s="110" t="s">
        <v>44</v>
      </c>
      <c r="E142" s="110" t="s">
        <v>2173</v>
      </c>
      <c r="F142" s="109" t="s">
        <v>165</v>
      </c>
      <c r="G142" s="111">
        <v>14733.78</v>
      </c>
      <c r="H142" s="112" t="s">
        <v>2036</v>
      </c>
      <c r="I142" s="40"/>
      <c r="J142" s="109"/>
      <c r="K142" s="109"/>
      <c r="L142" s="110"/>
      <c r="M142" s="40"/>
      <c r="N142" s="110"/>
      <c r="O142" s="109"/>
      <c r="P142" s="9"/>
      <c r="Q142" s="9"/>
      <c r="R142" s="40"/>
      <c r="S142" s="40"/>
      <c r="T142" s="113"/>
      <c r="U142" s="114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ht="35.25" customHeight="1">
      <c r="A143" s="40">
        <v>44991.0</v>
      </c>
      <c r="B143" s="109">
        <v>2595.0</v>
      </c>
      <c r="C143" s="109"/>
      <c r="D143" s="110" t="s">
        <v>44</v>
      </c>
      <c r="E143" s="110" t="s">
        <v>2174</v>
      </c>
      <c r="F143" s="109">
        <v>1.0</v>
      </c>
      <c r="G143" s="111">
        <v>2356.78</v>
      </c>
      <c r="H143" s="112" t="s">
        <v>2036</v>
      </c>
      <c r="I143" s="40"/>
      <c r="J143" s="109"/>
      <c r="K143" s="109"/>
      <c r="L143" s="110"/>
      <c r="M143" s="40"/>
      <c r="N143" s="110"/>
      <c r="O143" s="109"/>
      <c r="P143" s="9"/>
      <c r="Q143" s="9"/>
      <c r="R143" s="40"/>
      <c r="S143" s="40"/>
      <c r="T143" s="113"/>
      <c r="U143" s="114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ht="35.25" customHeight="1">
      <c r="A144" s="40">
        <v>44992.0</v>
      </c>
      <c r="B144" s="109">
        <v>2596.0</v>
      </c>
      <c r="C144" s="109"/>
      <c r="D144" s="110" t="s">
        <v>44</v>
      </c>
      <c r="E144" s="110" t="s">
        <v>2175</v>
      </c>
      <c r="F144" s="109">
        <v>18.0</v>
      </c>
      <c r="G144" s="111">
        <v>16547.08</v>
      </c>
      <c r="H144" s="112" t="str">
        <f>IF($J144&lt;&gt;"","FATURADO",IF($K144&lt;&gt;"","GANHOU"," "))</f>
        <v>GANHOU</v>
      </c>
      <c r="I144" s="40"/>
      <c r="J144" s="109"/>
      <c r="K144" s="109">
        <v>4.400558489E9</v>
      </c>
      <c r="L144" s="110"/>
      <c r="M144" s="40"/>
      <c r="N144" s="110"/>
      <c r="O144" s="109"/>
      <c r="P144" s="9"/>
      <c r="Q144" s="9"/>
      <c r="R144" s="40"/>
      <c r="S144" s="40"/>
      <c r="T144" s="113"/>
      <c r="U144" s="114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ht="35.25" customHeight="1">
      <c r="A145" s="40">
        <v>44992.0</v>
      </c>
      <c r="B145" s="109">
        <v>2596.0</v>
      </c>
      <c r="C145" s="109"/>
      <c r="D145" s="110" t="s">
        <v>44</v>
      </c>
      <c r="E145" s="110" t="s">
        <v>2167</v>
      </c>
      <c r="F145" s="109">
        <v>18.0</v>
      </c>
      <c r="G145" s="111">
        <v>16547.08</v>
      </c>
      <c r="H145" s="112" t="s">
        <v>2036</v>
      </c>
      <c r="I145" s="40"/>
      <c r="J145" s="109"/>
      <c r="K145" s="109"/>
      <c r="L145" s="110"/>
      <c r="M145" s="40"/>
      <c r="N145" s="110"/>
      <c r="O145" s="109"/>
      <c r="P145" s="9"/>
      <c r="Q145" s="9"/>
      <c r="R145" s="40"/>
      <c r="S145" s="40"/>
      <c r="T145" s="113"/>
      <c r="U145" s="114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ht="35.25" customHeight="1">
      <c r="A146" s="40">
        <v>44992.0</v>
      </c>
      <c r="B146" s="109">
        <v>2598.0</v>
      </c>
      <c r="C146" s="109"/>
      <c r="D146" s="110" t="s">
        <v>44</v>
      </c>
      <c r="E146" s="110" t="s">
        <v>1208</v>
      </c>
      <c r="F146" s="109">
        <v>1.0</v>
      </c>
      <c r="G146" s="111">
        <v>1148.69</v>
      </c>
      <c r="H146" s="112" t="s">
        <v>2036</v>
      </c>
      <c r="I146" s="40"/>
      <c r="J146" s="109"/>
      <c r="K146" s="109"/>
      <c r="L146" s="110"/>
      <c r="M146" s="40"/>
      <c r="N146" s="110"/>
      <c r="O146" s="109"/>
      <c r="P146" s="9"/>
      <c r="Q146" s="9"/>
      <c r="R146" s="40"/>
      <c r="S146" s="40"/>
      <c r="T146" s="113"/>
      <c r="U146" s="114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ht="35.25" customHeight="1">
      <c r="A147" s="40">
        <v>44992.0</v>
      </c>
      <c r="B147" s="109">
        <v>2599.0</v>
      </c>
      <c r="C147" s="109"/>
      <c r="D147" s="110" t="s">
        <v>44</v>
      </c>
      <c r="E147" s="110" t="s">
        <v>2176</v>
      </c>
      <c r="F147" s="109">
        <v>4.0</v>
      </c>
      <c r="G147" s="111">
        <v>8074.56</v>
      </c>
      <c r="H147" s="112" t="s">
        <v>2036</v>
      </c>
      <c r="I147" s="40"/>
      <c r="J147" s="109"/>
      <c r="K147" s="109"/>
      <c r="L147" s="110"/>
      <c r="M147" s="40"/>
      <c r="N147" s="110"/>
      <c r="O147" s="109"/>
      <c r="P147" s="9"/>
      <c r="Q147" s="9"/>
      <c r="R147" s="40"/>
      <c r="S147" s="40"/>
      <c r="T147" s="113"/>
      <c r="U147" s="114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ht="35.25" customHeight="1">
      <c r="A148" s="40">
        <v>44992.0</v>
      </c>
      <c r="B148" s="109">
        <v>2601.0</v>
      </c>
      <c r="C148" s="109"/>
      <c r="D148" s="110" t="s">
        <v>77</v>
      </c>
      <c r="E148" s="110" t="s">
        <v>67</v>
      </c>
      <c r="F148" s="109">
        <v>1.0</v>
      </c>
      <c r="G148" s="111">
        <v>65153.63</v>
      </c>
      <c r="H148" s="112" t="s">
        <v>2036</v>
      </c>
      <c r="I148" s="40"/>
      <c r="J148" s="109"/>
      <c r="K148" s="109"/>
      <c r="L148" s="110"/>
      <c r="M148" s="40"/>
      <c r="N148" s="110"/>
      <c r="O148" s="109"/>
      <c r="P148" s="9"/>
      <c r="Q148" s="9"/>
      <c r="R148" s="40"/>
      <c r="S148" s="40"/>
      <c r="T148" s="113"/>
      <c r="U148" s="114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ht="35.25" customHeight="1">
      <c r="A149" s="40">
        <v>44993.0</v>
      </c>
      <c r="B149" s="109">
        <v>2602.0</v>
      </c>
      <c r="C149" s="109"/>
      <c r="D149" s="110" t="s">
        <v>44</v>
      </c>
      <c r="E149" s="110" t="s">
        <v>2177</v>
      </c>
      <c r="F149" s="109">
        <v>1.0</v>
      </c>
      <c r="G149" s="111">
        <v>821.5</v>
      </c>
      <c r="H149" s="112" t="s">
        <v>2036</v>
      </c>
      <c r="I149" s="40"/>
      <c r="J149" s="109"/>
      <c r="K149" s="109"/>
      <c r="L149" s="110"/>
      <c r="M149" s="40"/>
      <c r="N149" s="110"/>
      <c r="O149" s="109"/>
      <c r="P149" s="9"/>
      <c r="Q149" s="9"/>
      <c r="R149" s="40"/>
      <c r="S149" s="40"/>
      <c r="T149" s="113"/>
      <c r="U149" s="114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ht="35.25" customHeight="1">
      <c r="A150" s="40">
        <v>44993.0</v>
      </c>
      <c r="B150" s="109">
        <v>2603.0</v>
      </c>
      <c r="C150" s="109"/>
      <c r="D150" s="110" t="s">
        <v>44</v>
      </c>
      <c r="E150" s="110" t="s">
        <v>2178</v>
      </c>
      <c r="F150" s="109">
        <v>8.0</v>
      </c>
      <c r="G150" s="111">
        <v>713.38</v>
      </c>
      <c r="H150" s="112" t="s">
        <v>2036</v>
      </c>
      <c r="I150" s="40"/>
      <c r="J150" s="109"/>
      <c r="K150" s="109"/>
      <c r="L150" s="110"/>
      <c r="M150" s="40"/>
      <c r="N150" s="110"/>
      <c r="O150" s="109"/>
      <c r="P150" s="9"/>
      <c r="Q150" s="9"/>
      <c r="R150" s="40"/>
      <c r="S150" s="40"/>
      <c r="T150" s="113"/>
      <c r="U150" s="114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ht="35.25" customHeight="1">
      <c r="A151" s="40">
        <v>44994.0</v>
      </c>
      <c r="B151" s="109">
        <v>2604.0</v>
      </c>
      <c r="C151" s="109"/>
      <c r="D151" s="110" t="s">
        <v>188</v>
      </c>
      <c r="E151" s="110" t="s">
        <v>2100</v>
      </c>
      <c r="F151" s="109">
        <v>6.0</v>
      </c>
      <c r="G151" s="111">
        <v>6937.91</v>
      </c>
      <c r="H151" s="112" t="s">
        <v>2036</v>
      </c>
      <c r="I151" s="40"/>
      <c r="J151" s="109"/>
      <c r="K151" s="109"/>
      <c r="L151" s="110"/>
      <c r="M151" s="40"/>
      <c r="N151" s="110"/>
      <c r="O151" s="109"/>
      <c r="P151" s="9"/>
      <c r="Q151" s="9"/>
      <c r="R151" s="40"/>
      <c r="S151" s="40"/>
      <c r="T151" s="113"/>
      <c r="U151" s="114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ht="35.25" customHeight="1">
      <c r="A152" s="40">
        <v>44994.0</v>
      </c>
      <c r="B152" s="109">
        <v>2608.0</v>
      </c>
      <c r="C152" s="109"/>
      <c r="D152" s="110" t="s">
        <v>44</v>
      </c>
      <c r="E152" s="110" t="s">
        <v>2179</v>
      </c>
      <c r="F152" s="109">
        <v>2.0</v>
      </c>
      <c r="G152" s="111">
        <v>29729.56</v>
      </c>
      <c r="H152" s="112" t="str">
        <f t="shared" ref="H152:H154" si="5">IF($J152&lt;&gt;"","FATURADO",IF($K152&lt;&gt;"","GANHOU"," "))</f>
        <v>FATURADO</v>
      </c>
      <c r="I152" s="40">
        <v>44994.0</v>
      </c>
      <c r="J152" s="109">
        <v>2077.0</v>
      </c>
      <c r="K152" s="109">
        <v>4.501692403E9</v>
      </c>
      <c r="L152" s="110"/>
      <c r="M152" s="40"/>
      <c r="N152" s="110"/>
      <c r="O152" s="109"/>
      <c r="P152" s="9"/>
      <c r="Q152" s="9"/>
      <c r="R152" s="40"/>
      <c r="S152" s="40"/>
      <c r="T152" s="113"/>
      <c r="U152" s="114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ht="35.25" customHeight="1">
      <c r="A153" s="40">
        <v>44994.0</v>
      </c>
      <c r="B153" s="109">
        <v>2609.0</v>
      </c>
      <c r="C153" s="109"/>
      <c r="D153" s="110" t="s">
        <v>44</v>
      </c>
      <c r="E153" s="110" t="s">
        <v>2040</v>
      </c>
      <c r="F153" s="109">
        <v>1.0</v>
      </c>
      <c r="G153" s="111">
        <v>17700.0</v>
      </c>
      <c r="H153" s="112" t="str">
        <f t="shared" si="5"/>
        <v>GANHOU</v>
      </c>
      <c r="I153" s="40"/>
      <c r="J153" s="109"/>
      <c r="K153" s="109">
        <v>4.501705192E9</v>
      </c>
      <c r="L153" s="110"/>
      <c r="M153" s="40"/>
      <c r="N153" s="110"/>
      <c r="O153" s="109"/>
      <c r="P153" s="9"/>
      <c r="Q153" s="9"/>
      <c r="R153" s="40"/>
      <c r="S153" s="40"/>
      <c r="T153" s="113"/>
      <c r="U153" s="114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ht="35.25" customHeight="1">
      <c r="A154" s="40">
        <v>44994.0</v>
      </c>
      <c r="B154" s="109">
        <v>2610.0</v>
      </c>
      <c r="C154" s="109"/>
      <c r="D154" s="110" t="s">
        <v>44</v>
      </c>
      <c r="E154" s="110" t="s">
        <v>2040</v>
      </c>
      <c r="F154" s="109">
        <v>1.0</v>
      </c>
      <c r="G154" s="111">
        <v>17700.0</v>
      </c>
      <c r="H154" s="112" t="str">
        <f t="shared" si="5"/>
        <v>FATURADO</v>
      </c>
      <c r="I154" s="40">
        <v>45189.0</v>
      </c>
      <c r="J154" s="109">
        <v>2227.0</v>
      </c>
      <c r="K154" s="109">
        <v>4.501705107E9</v>
      </c>
      <c r="L154" s="110"/>
      <c r="M154" s="40"/>
      <c r="N154" s="110"/>
      <c r="O154" s="109"/>
      <c r="P154" s="9"/>
      <c r="Q154" s="9"/>
      <c r="R154" s="40"/>
      <c r="S154" s="40"/>
      <c r="T154" s="113"/>
      <c r="U154" s="114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ht="35.25" customHeight="1">
      <c r="A155" s="40">
        <v>44994.0</v>
      </c>
      <c r="B155" s="109">
        <v>2611.0</v>
      </c>
      <c r="C155" s="109"/>
      <c r="D155" s="110" t="s">
        <v>44</v>
      </c>
      <c r="E155" s="110" t="s">
        <v>2043</v>
      </c>
      <c r="F155" s="109">
        <v>20.0</v>
      </c>
      <c r="G155" s="111">
        <v>736.4</v>
      </c>
      <c r="H155" s="112" t="s">
        <v>2036</v>
      </c>
      <c r="I155" s="40"/>
      <c r="J155" s="109"/>
      <c r="K155" s="109"/>
      <c r="L155" s="110"/>
      <c r="M155" s="40"/>
      <c r="N155" s="110"/>
      <c r="O155" s="109"/>
      <c r="P155" s="9"/>
      <c r="Q155" s="9"/>
      <c r="R155" s="40"/>
      <c r="S155" s="40"/>
      <c r="T155" s="113"/>
      <c r="U155" s="114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ht="35.25" customHeight="1">
      <c r="A156" s="40">
        <v>44994.0</v>
      </c>
      <c r="B156" s="109">
        <v>2612.0</v>
      </c>
      <c r="C156" s="109"/>
      <c r="D156" s="110" t="s">
        <v>77</v>
      </c>
      <c r="E156" s="110" t="s">
        <v>2180</v>
      </c>
      <c r="F156" s="109">
        <v>9.0</v>
      </c>
      <c r="G156" s="111">
        <v>7677.78</v>
      </c>
      <c r="H156" s="112" t="s">
        <v>2036</v>
      </c>
      <c r="I156" s="40"/>
      <c r="J156" s="109"/>
      <c r="K156" s="109"/>
      <c r="L156" s="110"/>
      <c r="M156" s="40"/>
      <c r="N156" s="110"/>
      <c r="O156" s="109"/>
      <c r="P156" s="9"/>
      <c r="Q156" s="9"/>
      <c r="R156" s="40"/>
      <c r="S156" s="40"/>
      <c r="T156" s="113"/>
      <c r="U156" s="114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ht="35.25" customHeight="1">
      <c r="A157" s="40">
        <v>44994.0</v>
      </c>
      <c r="B157" s="109">
        <v>2613.0</v>
      </c>
      <c r="C157" s="109"/>
      <c r="D157" s="110" t="s">
        <v>77</v>
      </c>
      <c r="E157" s="110" t="s">
        <v>1208</v>
      </c>
      <c r="F157" s="109">
        <v>1.0</v>
      </c>
      <c r="G157" s="111">
        <v>986.19</v>
      </c>
      <c r="H157" s="112" t="s">
        <v>2036</v>
      </c>
      <c r="I157" s="40"/>
      <c r="J157" s="109"/>
      <c r="K157" s="109"/>
      <c r="L157" s="110"/>
      <c r="M157" s="40"/>
      <c r="N157" s="110"/>
      <c r="O157" s="109"/>
      <c r="P157" s="9"/>
      <c r="Q157" s="9"/>
      <c r="R157" s="40"/>
      <c r="S157" s="40"/>
      <c r="T157" s="113"/>
      <c r="U157" s="114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ht="35.25" customHeight="1">
      <c r="A158" s="40">
        <v>44994.0</v>
      </c>
      <c r="B158" s="109">
        <v>2614.0</v>
      </c>
      <c r="C158" s="109"/>
      <c r="D158" s="110" t="s">
        <v>77</v>
      </c>
      <c r="E158" s="110" t="s">
        <v>2181</v>
      </c>
      <c r="F158" s="109">
        <v>4.0</v>
      </c>
      <c r="G158" s="111">
        <v>8074.55</v>
      </c>
      <c r="H158" s="112" t="s">
        <v>2036</v>
      </c>
      <c r="I158" s="40"/>
      <c r="J158" s="109"/>
      <c r="K158" s="109"/>
      <c r="L158" s="110"/>
      <c r="M158" s="40"/>
      <c r="N158" s="110"/>
      <c r="O158" s="109"/>
      <c r="P158" s="9"/>
      <c r="Q158" s="9"/>
      <c r="R158" s="40"/>
      <c r="S158" s="40"/>
      <c r="T158" s="113"/>
      <c r="U158" s="114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ht="35.25" customHeight="1">
      <c r="A159" s="40">
        <v>44998.0</v>
      </c>
      <c r="B159" s="109">
        <v>2616.0</v>
      </c>
      <c r="C159" s="109"/>
      <c r="D159" s="110" t="s">
        <v>123</v>
      </c>
      <c r="E159" s="110" t="s">
        <v>2182</v>
      </c>
      <c r="F159" s="109">
        <v>1.0</v>
      </c>
      <c r="G159" s="111">
        <v>4137.93</v>
      </c>
      <c r="H159" s="112" t="s">
        <v>2036</v>
      </c>
      <c r="I159" s="40"/>
      <c r="J159" s="109"/>
      <c r="K159" s="109"/>
      <c r="L159" s="110"/>
      <c r="M159" s="40"/>
      <c r="N159" s="110"/>
      <c r="O159" s="109"/>
      <c r="P159" s="9"/>
      <c r="Q159" s="9"/>
      <c r="R159" s="40"/>
      <c r="S159" s="40"/>
      <c r="T159" s="113"/>
      <c r="U159" s="114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ht="35.25" customHeight="1">
      <c r="A160" s="40">
        <v>44998.0</v>
      </c>
      <c r="B160" s="109">
        <v>2616.0</v>
      </c>
      <c r="C160" s="109"/>
      <c r="D160" s="110" t="s">
        <v>123</v>
      </c>
      <c r="E160" s="110" t="s">
        <v>2183</v>
      </c>
      <c r="F160" s="109">
        <v>1.0</v>
      </c>
      <c r="G160" s="111">
        <v>6719.28</v>
      </c>
      <c r="H160" s="112" t="s">
        <v>2036</v>
      </c>
      <c r="I160" s="40"/>
      <c r="J160" s="109"/>
      <c r="K160" s="109"/>
      <c r="L160" s="110"/>
      <c r="M160" s="40"/>
      <c r="N160" s="110"/>
      <c r="O160" s="109"/>
      <c r="P160" s="9"/>
      <c r="Q160" s="9"/>
      <c r="R160" s="40"/>
      <c r="S160" s="40"/>
      <c r="T160" s="113"/>
      <c r="U160" s="114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ht="35.25" customHeight="1">
      <c r="A161" s="40">
        <v>44999.0</v>
      </c>
      <c r="B161" s="109">
        <v>2617.0</v>
      </c>
      <c r="C161" s="109"/>
      <c r="D161" s="110" t="s">
        <v>44</v>
      </c>
      <c r="E161" s="110" t="s">
        <v>2184</v>
      </c>
      <c r="F161" s="109">
        <v>1.0</v>
      </c>
      <c r="G161" s="111">
        <v>316.36</v>
      </c>
      <c r="H161" s="112" t="str">
        <f t="shared" ref="H161:H162" si="6">IF($J161&lt;&gt;"","FATURADO",IF($K161&lt;&gt;"","GANHOU"," "))</f>
        <v>FATURADO</v>
      </c>
      <c r="I161" s="40">
        <v>45020.0</v>
      </c>
      <c r="J161" s="109">
        <v>2096.0</v>
      </c>
      <c r="K161" s="109">
        <v>4.501706736E9</v>
      </c>
      <c r="L161" s="110"/>
      <c r="M161" s="40"/>
      <c r="N161" s="110"/>
      <c r="O161" s="109"/>
      <c r="P161" s="9"/>
      <c r="Q161" s="9"/>
      <c r="R161" s="40"/>
      <c r="S161" s="40"/>
      <c r="T161" s="113"/>
      <c r="U161" s="114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ht="35.25" customHeight="1">
      <c r="A162" s="40">
        <v>44999.0</v>
      </c>
      <c r="B162" s="109">
        <v>2617.0</v>
      </c>
      <c r="C162" s="109"/>
      <c r="D162" s="110" t="s">
        <v>44</v>
      </c>
      <c r="E162" s="110" t="s">
        <v>487</v>
      </c>
      <c r="F162" s="109">
        <v>200.0</v>
      </c>
      <c r="G162" s="111">
        <v>7645.84</v>
      </c>
      <c r="H162" s="112" t="str">
        <f t="shared" si="6"/>
        <v>FATURADO</v>
      </c>
      <c r="I162" s="40">
        <v>45020.0</v>
      </c>
      <c r="J162" s="109">
        <v>2096.0</v>
      </c>
      <c r="K162" s="109">
        <v>4.501706736E9</v>
      </c>
      <c r="L162" s="110"/>
      <c r="M162" s="40"/>
      <c r="N162" s="110"/>
      <c r="O162" s="109"/>
      <c r="P162" s="9"/>
      <c r="Q162" s="9"/>
      <c r="R162" s="40"/>
      <c r="S162" s="40"/>
      <c r="T162" s="113"/>
      <c r="U162" s="114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ht="35.25" customHeight="1">
      <c r="A163" s="40">
        <v>44999.0</v>
      </c>
      <c r="B163" s="109">
        <v>2618.0</v>
      </c>
      <c r="C163" s="109"/>
      <c r="D163" s="110" t="s">
        <v>44</v>
      </c>
      <c r="E163" s="110" t="s">
        <v>2185</v>
      </c>
      <c r="F163" s="109">
        <v>3.0</v>
      </c>
      <c r="G163" s="111">
        <v>17659.8</v>
      </c>
      <c r="H163" s="112" t="s">
        <v>2036</v>
      </c>
      <c r="I163" s="40"/>
      <c r="J163" s="109"/>
      <c r="K163" s="109"/>
      <c r="L163" s="110"/>
      <c r="M163" s="40"/>
      <c r="N163" s="110"/>
      <c r="O163" s="109"/>
      <c r="P163" s="9"/>
      <c r="Q163" s="9"/>
      <c r="R163" s="40"/>
      <c r="S163" s="40"/>
      <c r="T163" s="113"/>
      <c r="U163" s="114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ht="35.25" customHeight="1">
      <c r="A164" s="40">
        <v>44999.0</v>
      </c>
      <c r="B164" s="109">
        <v>2619.0</v>
      </c>
      <c r="C164" s="109"/>
      <c r="D164" s="110" t="s">
        <v>44</v>
      </c>
      <c r="E164" s="110" t="s">
        <v>2141</v>
      </c>
      <c r="F164" s="109">
        <v>50.0</v>
      </c>
      <c r="G164" s="111">
        <v>10751.5</v>
      </c>
      <c r="H164" s="112" t="str">
        <f>IF($J164&lt;&gt;"","FATURADO",IF($K164&lt;&gt;"","GANHOU"," "))</f>
        <v>FATURADO</v>
      </c>
      <c r="I164" s="40">
        <v>45019.0</v>
      </c>
      <c r="J164" s="109">
        <v>2206.0</v>
      </c>
      <c r="K164" s="109">
        <v>4.501705768E9</v>
      </c>
      <c r="L164" s="110"/>
      <c r="M164" s="40"/>
      <c r="N164" s="110"/>
      <c r="O164" s="109"/>
      <c r="P164" s="9"/>
      <c r="Q164" s="9"/>
      <c r="R164" s="40"/>
      <c r="S164" s="40"/>
      <c r="T164" s="113"/>
      <c r="U164" s="114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ht="35.25" customHeight="1">
      <c r="A165" s="40">
        <v>44999.0</v>
      </c>
      <c r="B165" s="109">
        <v>2620.0</v>
      </c>
      <c r="C165" s="109"/>
      <c r="D165" s="110" t="s">
        <v>44</v>
      </c>
      <c r="E165" s="110" t="s">
        <v>2186</v>
      </c>
      <c r="F165" s="109">
        <v>100.0</v>
      </c>
      <c r="G165" s="111">
        <v>2346.67</v>
      </c>
      <c r="H165" s="112" t="s">
        <v>2036</v>
      </c>
      <c r="I165" s="40"/>
      <c r="J165" s="109"/>
      <c r="K165" s="109"/>
      <c r="L165" s="110"/>
      <c r="M165" s="40"/>
      <c r="N165" s="110"/>
      <c r="O165" s="109"/>
      <c r="P165" s="9"/>
      <c r="Q165" s="9"/>
      <c r="R165" s="40"/>
      <c r="S165" s="40"/>
      <c r="T165" s="113"/>
      <c r="U165" s="114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ht="35.25" customHeight="1">
      <c r="A166" s="40">
        <v>44999.0</v>
      </c>
      <c r="B166" s="109">
        <v>2621.0</v>
      </c>
      <c r="C166" s="109"/>
      <c r="D166" s="110" t="s">
        <v>44</v>
      </c>
      <c r="E166" s="110" t="s">
        <v>2187</v>
      </c>
      <c r="F166" s="109">
        <v>2.0</v>
      </c>
      <c r="G166" s="111">
        <v>5564.64</v>
      </c>
      <c r="H166" s="112" t="s">
        <v>2036</v>
      </c>
      <c r="I166" s="40"/>
      <c r="J166" s="109"/>
      <c r="K166" s="109"/>
      <c r="L166" s="110"/>
      <c r="M166" s="40"/>
      <c r="N166" s="110"/>
      <c r="O166" s="109"/>
      <c r="P166" s="9"/>
      <c r="Q166" s="9"/>
      <c r="R166" s="40"/>
      <c r="S166" s="40"/>
      <c r="T166" s="113"/>
      <c r="U166" s="114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ht="35.25" customHeight="1">
      <c r="A167" s="40">
        <v>44999.0</v>
      </c>
      <c r="B167" s="109">
        <v>2622.0</v>
      </c>
      <c r="C167" s="109"/>
      <c r="D167" s="110" t="s">
        <v>44</v>
      </c>
      <c r="E167" s="110" t="s">
        <v>487</v>
      </c>
      <c r="F167" s="109">
        <v>20.0</v>
      </c>
      <c r="G167" s="111">
        <v>764.6</v>
      </c>
      <c r="H167" s="112" t="str">
        <f>IF($J167&lt;&gt;"","FATURADO",IF($K167&lt;&gt;"","GANHOU"," "))</f>
        <v>FATURADO</v>
      </c>
      <c r="I167" s="40">
        <v>45087.0</v>
      </c>
      <c r="J167" s="109">
        <v>2121.0</v>
      </c>
      <c r="K167" s="109">
        <v>4.50171125E9</v>
      </c>
      <c r="L167" s="110"/>
      <c r="M167" s="40"/>
      <c r="N167" s="110"/>
      <c r="O167" s="109"/>
      <c r="P167" s="9"/>
      <c r="Q167" s="9"/>
      <c r="R167" s="40"/>
      <c r="S167" s="40"/>
      <c r="T167" s="113"/>
      <c r="U167" s="114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ht="35.25" customHeight="1">
      <c r="A168" s="40">
        <v>44999.0</v>
      </c>
      <c r="B168" s="109">
        <v>2624.0</v>
      </c>
      <c r="C168" s="109"/>
      <c r="D168" s="110" t="s">
        <v>1850</v>
      </c>
      <c r="E168" s="110" t="s">
        <v>2188</v>
      </c>
      <c r="F168" s="109" t="s">
        <v>165</v>
      </c>
      <c r="G168" s="111">
        <v>5741.88</v>
      </c>
      <c r="H168" s="112" t="s">
        <v>2036</v>
      </c>
      <c r="I168" s="40"/>
      <c r="J168" s="109"/>
      <c r="K168" s="109"/>
      <c r="L168" s="110"/>
      <c r="M168" s="40"/>
      <c r="N168" s="110"/>
      <c r="O168" s="109"/>
      <c r="P168" s="9"/>
      <c r="Q168" s="9"/>
      <c r="R168" s="40"/>
      <c r="S168" s="40"/>
      <c r="T168" s="113"/>
      <c r="U168" s="114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ht="35.25" customHeight="1">
      <c r="A169" s="40">
        <v>45015.0</v>
      </c>
      <c r="B169" s="109">
        <v>2626.0</v>
      </c>
      <c r="C169" s="109"/>
      <c r="D169" s="110" t="s">
        <v>44</v>
      </c>
      <c r="E169" s="110" t="s">
        <v>2185</v>
      </c>
      <c r="F169" s="109">
        <v>3.0</v>
      </c>
      <c r="G169" s="111">
        <v>13473.03</v>
      </c>
      <c r="H169" s="112" t="str">
        <f t="shared" ref="H169:H170" si="7">IF($J169&lt;&gt;"","FATURADO",IF($K169&lt;&gt;"","GANHOU"," "))</f>
        <v>FATURADO</v>
      </c>
      <c r="I169" s="40">
        <v>45141.0</v>
      </c>
      <c r="J169" s="109">
        <v>2201.0</v>
      </c>
      <c r="K169" s="109">
        <v>4.50171083E9</v>
      </c>
      <c r="L169" s="110"/>
      <c r="M169" s="40"/>
      <c r="N169" s="110"/>
      <c r="O169" s="109"/>
      <c r="P169" s="9"/>
      <c r="Q169" s="9"/>
      <c r="R169" s="40"/>
      <c r="S169" s="40"/>
      <c r="T169" s="113"/>
      <c r="U169" s="114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ht="35.25" customHeight="1">
      <c r="A170" s="40">
        <v>45001.0</v>
      </c>
      <c r="B170" s="109">
        <v>2627.0</v>
      </c>
      <c r="C170" s="109"/>
      <c r="D170" s="110" t="s">
        <v>44</v>
      </c>
      <c r="E170" s="110" t="s">
        <v>2189</v>
      </c>
      <c r="F170" s="109">
        <v>1.0</v>
      </c>
      <c r="G170" s="111">
        <v>1122.3</v>
      </c>
      <c r="H170" s="112" t="str">
        <f t="shared" si="7"/>
        <v>FATURADO</v>
      </c>
      <c r="I170" s="40">
        <v>45087.0</v>
      </c>
      <c r="J170" s="109">
        <v>2127.0</v>
      </c>
      <c r="K170" s="109">
        <v>4.50170894E9</v>
      </c>
      <c r="L170" s="110"/>
      <c r="M170" s="40"/>
      <c r="N170" s="110"/>
      <c r="O170" s="109"/>
      <c r="P170" s="9"/>
      <c r="Q170" s="9"/>
      <c r="R170" s="40"/>
      <c r="S170" s="40"/>
      <c r="T170" s="113"/>
      <c r="U170" s="114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ht="35.25" customHeight="1">
      <c r="A171" s="40">
        <v>45001.0</v>
      </c>
      <c r="B171" s="109">
        <v>2628.0</v>
      </c>
      <c r="C171" s="109"/>
      <c r="D171" s="110" t="s">
        <v>44</v>
      </c>
      <c r="E171" s="110" t="s">
        <v>2190</v>
      </c>
      <c r="F171" s="109">
        <v>1.0</v>
      </c>
      <c r="G171" s="111">
        <v>745.07</v>
      </c>
      <c r="H171" s="112" t="s">
        <v>2036</v>
      </c>
      <c r="I171" s="40"/>
      <c r="J171" s="109"/>
      <c r="K171" s="109"/>
      <c r="L171" s="110"/>
      <c r="M171" s="40"/>
      <c r="N171" s="110"/>
      <c r="O171" s="109"/>
      <c r="P171" s="9"/>
      <c r="Q171" s="9"/>
      <c r="R171" s="40"/>
      <c r="S171" s="40"/>
      <c r="T171" s="113"/>
      <c r="U171" s="114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ht="35.25" customHeight="1">
      <c r="A172" s="40">
        <v>45001.0</v>
      </c>
      <c r="B172" s="109">
        <v>2629.0</v>
      </c>
      <c r="C172" s="109"/>
      <c r="D172" s="110" t="s">
        <v>2191</v>
      </c>
      <c r="E172" s="110" t="s">
        <v>2192</v>
      </c>
      <c r="F172" s="109">
        <v>50.0</v>
      </c>
      <c r="G172" s="111">
        <v>1797.0</v>
      </c>
      <c r="H172" s="112" t="s">
        <v>2036</v>
      </c>
      <c r="I172" s="40"/>
      <c r="J172" s="109"/>
      <c r="K172" s="109"/>
      <c r="L172" s="110"/>
      <c r="M172" s="40"/>
      <c r="N172" s="110"/>
      <c r="O172" s="109"/>
      <c r="P172" s="9"/>
      <c r="Q172" s="9"/>
      <c r="R172" s="40"/>
      <c r="S172" s="40"/>
      <c r="T172" s="113"/>
      <c r="U172" s="114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ht="35.25" customHeight="1">
      <c r="A173" s="40">
        <v>45001.0</v>
      </c>
      <c r="B173" s="109">
        <v>2630.0</v>
      </c>
      <c r="C173" s="109"/>
      <c r="D173" s="110" t="s">
        <v>19</v>
      </c>
      <c r="E173" s="110" t="s">
        <v>2193</v>
      </c>
      <c r="F173" s="109">
        <v>29.0</v>
      </c>
      <c r="G173" s="111">
        <v>24590.26</v>
      </c>
      <c r="H173" s="112" t="str">
        <f>IF($J173&lt;&gt;"","FATURADO",IF($K173&lt;&gt;"","GANHOU"," "))</f>
        <v>FATURADO</v>
      </c>
      <c r="I173" s="40">
        <v>45138.0</v>
      </c>
      <c r="J173" s="109">
        <v>2198.0</v>
      </c>
      <c r="K173" s="109">
        <v>4.500428843E9</v>
      </c>
      <c r="L173" s="110"/>
      <c r="M173" s="40"/>
      <c r="N173" s="110"/>
      <c r="O173" s="109"/>
      <c r="P173" s="9"/>
      <c r="Q173" s="9"/>
      <c r="R173" s="40"/>
      <c r="S173" s="40"/>
      <c r="T173" s="113"/>
      <c r="U173" s="114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ht="35.25" customHeight="1">
      <c r="A174" s="40">
        <v>45001.0</v>
      </c>
      <c r="B174" s="109">
        <v>2631.0</v>
      </c>
      <c r="C174" s="109"/>
      <c r="D174" s="110" t="s">
        <v>19</v>
      </c>
      <c r="E174" s="110" t="s">
        <v>2170</v>
      </c>
      <c r="F174" s="109">
        <v>30.0</v>
      </c>
      <c r="G174" s="111">
        <v>705.0</v>
      </c>
      <c r="H174" s="112" t="s">
        <v>2036</v>
      </c>
      <c r="I174" s="40"/>
      <c r="J174" s="109"/>
      <c r="K174" s="109"/>
      <c r="L174" s="110"/>
      <c r="M174" s="40"/>
      <c r="N174" s="110"/>
      <c r="O174" s="109"/>
      <c r="P174" s="9"/>
      <c r="Q174" s="9"/>
      <c r="R174" s="40"/>
      <c r="S174" s="40"/>
      <c r="T174" s="113"/>
      <c r="U174" s="114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ht="35.25" customHeight="1">
      <c r="A175" s="40">
        <v>45001.0</v>
      </c>
      <c r="B175" s="109">
        <v>2633.0</v>
      </c>
      <c r="C175" s="109"/>
      <c r="D175" s="110" t="s">
        <v>222</v>
      </c>
      <c r="E175" s="110" t="s">
        <v>1357</v>
      </c>
      <c r="F175" s="109">
        <v>1.0</v>
      </c>
      <c r="G175" s="111">
        <v>298.35</v>
      </c>
      <c r="H175" s="112" t="str">
        <f>IF($J175&lt;&gt;"","FATURADO",IF($K175&lt;&gt;"","GANHOU"," "))</f>
        <v>FATURADO</v>
      </c>
      <c r="I175" s="40">
        <v>45001.0</v>
      </c>
      <c r="J175" s="109">
        <v>2082.0</v>
      </c>
      <c r="K175" s="109">
        <v>4.503590691E9</v>
      </c>
      <c r="L175" s="110"/>
      <c r="M175" s="40"/>
      <c r="N175" s="110"/>
      <c r="O175" s="109"/>
      <c r="P175" s="9"/>
      <c r="Q175" s="9"/>
      <c r="R175" s="40"/>
      <c r="S175" s="40"/>
      <c r="T175" s="113"/>
      <c r="U175" s="114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ht="35.25" customHeight="1">
      <c r="A176" s="40">
        <v>45002.0</v>
      </c>
      <c r="B176" s="109">
        <v>2634.0</v>
      </c>
      <c r="C176" s="109"/>
      <c r="D176" s="110" t="s">
        <v>53</v>
      </c>
      <c r="E176" s="110" t="s">
        <v>2194</v>
      </c>
      <c r="F176" s="109">
        <v>1.0</v>
      </c>
      <c r="G176" s="111">
        <v>11671.85</v>
      </c>
      <c r="H176" s="112" t="s">
        <v>2036</v>
      </c>
      <c r="I176" s="40"/>
      <c r="J176" s="109"/>
      <c r="K176" s="109"/>
      <c r="L176" s="110"/>
      <c r="M176" s="40"/>
      <c r="N176" s="110"/>
      <c r="O176" s="109"/>
      <c r="P176" s="9"/>
      <c r="Q176" s="9"/>
      <c r="R176" s="40"/>
      <c r="S176" s="40"/>
      <c r="T176" s="113"/>
      <c r="U176" s="114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ht="35.25" customHeight="1">
      <c r="A177" s="40">
        <v>45002.0</v>
      </c>
      <c r="B177" s="109">
        <v>2635.0</v>
      </c>
      <c r="C177" s="109"/>
      <c r="D177" s="110" t="s">
        <v>2195</v>
      </c>
      <c r="E177" s="110" t="s">
        <v>2196</v>
      </c>
      <c r="F177" s="109">
        <v>1.0</v>
      </c>
      <c r="G177" s="111">
        <v>241.37</v>
      </c>
      <c r="H177" s="112" t="s">
        <v>2036</v>
      </c>
      <c r="I177" s="40"/>
      <c r="J177" s="109"/>
      <c r="K177" s="109"/>
      <c r="L177" s="110"/>
      <c r="M177" s="40"/>
      <c r="N177" s="110"/>
      <c r="O177" s="109"/>
      <c r="P177" s="9"/>
      <c r="Q177" s="9"/>
      <c r="R177" s="40"/>
      <c r="S177" s="40"/>
      <c r="T177" s="113"/>
      <c r="U177" s="114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ht="35.25" customHeight="1">
      <c r="A178" s="40">
        <v>45002.0</v>
      </c>
      <c r="B178" s="109">
        <v>2635.0</v>
      </c>
      <c r="C178" s="109"/>
      <c r="D178" s="110" t="s">
        <v>2195</v>
      </c>
      <c r="E178" s="110" t="s">
        <v>2197</v>
      </c>
      <c r="F178" s="109">
        <v>1.0</v>
      </c>
      <c r="G178" s="111">
        <v>8713.82</v>
      </c>
      <c r="H178" s="112" t="s">
        <v>2036</v>
      </c>
      <c r="I178" s="40"/>
      <c r="J178" s="109"/>
      <c r="K178" s="109"/>
      <c r="L178" s="110"/>
      <c r="M178" s="40"/>
      <c r="N178" s="110"/>
      <c r="O178" s="109"/>
      <c r="P178" s="9"/>
      <c r="Q178" s="9"/>
      <c r="R178" s="40"/>
      <c r="S178" s="40"/>
      <c r="T178" s="113"/>
      <c r="U178" s="114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ht="35.25" customHeight="1">
      <c r="A179" s="40">
        <v>45097.0</v>
      </c>
      <c r="B179" s="109">
        <v>2638.0</v>
      </c>
      <c r="C179" s="109"/>
      <c r="D179" s="110" t="s">
        <v>188</v>
      </c>
      <c r="E179" s="110" t="s">
        <v>2198</v>
      </c>
      <c r="F179" s="109">
        <v>1.0</v>
      </c>
      <c r="G179" s="111">
        <v>121278.22</v>
      </c>
      <c r="H179" s="112" t="s">
        <v>2036</v>
      </c>
      <c r="I179" s="40"/>
      <c r="J179" s="109"/>
      <c r="K179" s="109"/>
      <c r="L179" s="110"/>
      <c r="M179" s="40"/>
      <c r="N179" s="110"/>
      <c r="O179" s="109"/>
      <c r="P179" s="9"/>
      <c r="Q179" s="9"/>
      <c r="R179" s="40"/>
      <c r="S179" s="40"/>
      <c r="T179" s="113"/>
      <c r="U179" s="114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ht="35.25" customHeight="1">
      <c r="A180" s="40">
        <v>45006.0</v>
      </c>
      <c r="B180" s="109">
        <v>2640.0</v>
      </c>
      <c r="C180" s="109"/>
      <c r="D180" s="110" t="s">
        <v>2199</v>
      </c>
      <c r="E180" s="110" t="s">
        <v>2200</v>
      </c>
      <c r="F180" s="109">
        <v>1.0</v>
      </c>
      <c r="G180" s="111">
        <v>6945.6</v>
      </c>
      <c r="H180" s="112" t="s">
        <v>2036</v>
      </c>
      <c r="I180" s="40"/>
      <c r="J180" s="109"/>
      <c r="K180" s="109"/>
      <c r="L180" s="110"/>
      <c r="M180" s="40"/>
      <c r="N180" s="110"/>
      <c r="O180" s="109"/>
      <c r="P180" s="9"/>
      <c r="Q180" s="9"/>
      <c r="R180" s="40"/>
      <c r="S180" s="40"/>
      <c r="T180" s="113"/>
      <c r="U180" s="114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ht="35.25" customHeight="1">
      <c r="A181" s="40">
        <v>45008.0</v>
      </c>
      <c r="B181" s="109">
        <v>2646.0</v>
      </c>
      <c r="C181" s="109"/>
      <c r="D181" s="110" t="s">
        <v>2106</v>
      </c>
      <c r="E181" s="110" t="s">
        <v>2201</v>
      </c>
      <c r="F181" s="109">
        <v>50.0</v>
      </c>
      <c r="G181" s="111">
        <v>165.86</v>
      </c>
      <c r="H181" s="112" t="s">
        <v>2036</v>
      </c>
      <c r="I181" s="40"/>
      <c r="J181" s="109"/>
      <c r="K181" s="109"/>
      <c r="L181" s="110"/>
      <c r="M181" s="40"/>
      <c r="N181" s="110"/>
      <c r="O181" s="109"/>
      <c r="P181" s="9"/>
      <c r="Q181" s="9"/>
      <c r="R181" s="40"/>
      <c r="S181" s="40"/>
      <c r="T181" s="113"/>
      <c r="U181" s="114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ht="35.25" customHeight="1">
      <c r="A182" s="40">
        <v>45008.0</v>
      </c>
      <c r="B182" s="109">
        <v>2646.0</v>
      </c>
      <c r="C182" s="109"/>
      <c r="D182" s="110" t="s">
        <v>2106</v>
      </c>
      <c r="E182" s="110" t="s">
        <v>2202</v>
      </c>
      <c r="F182" s="109">
        <v>30.0</v>
      </c>
      <c r="G182" s="111">
        <v>102.3</v>
      </c>
      <c r="H182" s="112" t="s">
        <v>2036</v>
      </c>
      <c r="I182" s="40"/>
      <c r="J182" s="109"/>
      <c r="K182" s="109"/>
      <c r="L182" s="110"/>
      <c r="M182" s="40"/>
      <c r="N182" s="110"/>
      <c r="O182" s="109"/>
      <c r="P182" s="9"/>
      <c r="Q182" s="9"/>
      <c r="R182" s="40"/>
      <c r="S182" s="40"/>
      <c r="T182" s="113"/>
      <c r="U182" s="114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ht="35.25" customHeight="1">
      <c r="A183" s="40">
        <v>45008.0</v>
      </c>
      <c r="B183" s="109">
        <v>2646.0</v>
      </c>
      <c r="C183" s="109"/>
      <c r="D183" s="110" t="s">
        <v>2106</v>
      </c>
      <c r="E183" s="110" t="s">
        <v>2203</v>
      </c>
      <c r="F183" s="109">
        <v>30.0</v>
      </c>
      <c r="G183" s="111">
        <v>102.3</v>
      </c>
      <c r="H183" s="112" t="s">
        <v>2036</v>
      </c>
      <c r="I183" s="40"/>
      <c r="J183" s="109"/>
      <c r="K183" s="109"/>
      <c r="L183" s="110"/>
      <c r="M183" s="40"/>
      <c r="N183" s="110"/>
      <c r="O183" s="109"/>
      <c r="P183" s="9"/>
      <c r="Q183" s="9"/>
      <c r="R183" s="40"/>
      <c r="S183" s="40"/>
      <c r="T183" s="113"/>
      <c r="U183" s="114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ht="35.25" customHeight="1">
      <c r="A184" s="40">
        <v>45009.0</v>
      </c>
      <c r="B184" s="109">
        <v>2647.0</v>
      </c>
      <c r="C184" s="109"/>
      <c r="D184" s="110" t="s">
        <v>2204</v>
      </c>
      <c r="E184" s="110" t="s">
        <v>2205</v>
      </c>
      <c r="F184" s="109">
        <v>1.0</v>
      </c>
      <c r="G184" s="111">
        <v>2925.71</v>
      </c>
      <c r="H184" s="112" t="s">
        <v>2036</v>
      </c>
      <c r="I184" s="40"/>
      <c r="J184" s="109"/>
      <c r="K184" s="109"/>
      <c r="L184" s="110"/>
      <c r="M184" s="40"/>
      <c r="N184" s="110"/>
      <c r="O184" s="109"/>
      <c r="P184" s="9"/>
      <c r="Q184" s="9"/>
      <c r="R184" s="40"/>
      <c r="S184" s="40"/>
      <c r="T184" s="113"/>
      <c r="U184" s="114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ht="35.25" customHeight="1">
      <c r="A185" s="40">
        <v>45009.0</v>
      </c>
      <c r="B185" s="109">
        <v>2648.0</v>
      </c>
      <c r="C185" s="109"/>
      <c r="D185" s="110" t="s">
        <v>123</v>
      </c>
      <c r="E185" s="110" t="s">
        <v>2179</v>
      </c>
      <c r="F185" s="109">
        <v>1.0</v>
      </c>
      <c r="G185" s="111">
        <v>11627.62</v>
      </c>
      <c r="H185" s="112" t="str">
        <f t="shared" ref="H185:H186" si="8">IF($J185&lt;&gt;"","FATURADO",IF($K185&lt;&gt;"","GANHOU"," "))</f>
        <v>FATURADO</v>
      </c>
      <c r="I185" s="40">
        <v>45022.0</v>
      </c>
      <c r="J185" s="109">
        <v>2103.0</v>
      </c>
      <c r="K185" s="109">
        <v>4.500960616E9</v>
      </c>
      <c r="L185" s="110"/>
      <c r="M185" s="40"/>
      <c r="N185" s="110"/>
      <c r="O185" s="109"/>
      <c r="P185" s="9"/>
      <c r="Q185" s="9"/>
      <c r="R185" s="40"/>
      <c r="S185" s="40"/>
      <c r="T185" s="113"/>
      <c r="U185" s="114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ht="35.25" customHeight="1">
      <c r="A186" s="40">
        <v>45009.0</v>
      </c>
      <c r="B186" s="109">
        <v>2649.0</v>
      </c>
      <c r="C186" s="109"/>
      <c r="D186" s="110" t="s">
        <v>44</v>
      </c>
      <c r="E186" s="110" t="s">
        <v>2206</v>
      </c>
      <c r="F186" s="109">
        <v>1.0</v>
      </c>
      <c r="G186" s="111">
        <v>1729.1</v>
      </c>
      <c r="H186" s="112" t="str">
        <f t="shared" si="8"/>
        <v>FATURADO</v>
      </c>
      <c r="I186" s="40">
        <v>45009.0</v>
      </c>
      <c r="J186" s="109">
        <v>2131.0</v>
      </c>
      <c r="K186" s="109">
        <v>4.501726565E9</v>
      </c>
      <c r="L186" s="110"/>
      <c r="M186" s="40"/>
      <c r="N186" s="110"/>
      <c r="O186" s="109"/>
      <c r="P186" s="9"/>
      <c r="Q186" s="9"/>
      <c r="R186" s="40"/>
      <c r="S186" s="40"/>
      <c r="T186" s="113"/>
      <c r="U186" s="114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ht="35.25" customHeight="1">
      <c r="A187" s="40">
        <v>45009.0</v>
      </c>
      <c r="B187" s="109">
        <v>2650.0</v>
      </c>
      <c r="C187" s="109"/>
      <c r="D187" s="110" t="s">
        <v>44</v>
      </c>
      <c r="E187" s="110" t="s">
        <v>2207</v>
      </c>
      <c r="F187" s="109">
        <v>1.0</v>
      </c>
      <c r="G187" s="111">
        <v>2204.36</v>
      </c>
      <c r="H187" s="112" t="s">
        <v>2036</v>
      </c>
      <c r="I187" s="40"/>
      <c r="J187" s="109"/>
      <c r="K187" s="109"/>
      <c r="L187" s="110"/>
      <c r="M187" s="40"/>
      <c r="N187" s="110"/>
      <c r="O187" s="109"/>
      <c r="P187" s="9"/>
      <c r="Q187" s="9"/>
      <c r="R187" s="40"/>
      <c r="S187" s="40"/>
      <c r="T187" s="113"/>
      <c r="U187" s="114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ht="35.25" customHeight="1">
      <c r="A188" s="40">
        <v>45009.0</v>
      </c>
      <c r="B188" s="109">
        <v>2652.0</v>
      </c>
      <c r="C188" s="109"/>
      <c r="D188" s="110" t="s">
        <v>222</v>
      </c>
      <c r="E188" s="110" t="s">
        <v>1357</v>
      </c>
      <c r="F188" s="109">
        <v>4.0</v>
      </c>
      <c r="G188" s="111">
        <v>1193.36</v>
      </c>
      <c r="H188" s="112" t="str">
        <f>IF($J188&lt;&gt;"","FATURADO",IF($K188&lt;&gt;"","GANHOU"," "))</f>
        <v>FATURADO</v>
      </c>
      <c r="I188" s="40">
        <v>45009.0</v>
      </c>
      <c r="J188" s="109">
        <v>2088.0</v>
      </c>
      <c r="K188" s="109">
        <v>4.503605528E9</v>
      </c>
      <c r="L188" s="110"/>
      <c r="M188" s="40"/>
      <c r="N188" s="110"/>
      <c r="O188" s="109"/>
      <c r="P188" s="9"/>
      <c r="Q188" s="9"/>
      <c r="R188" s="40"/>
      <c r="S188" s="40"/>
      <c r="T188" s="113"/>
      <c r="U188" s="114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ht="35.25" customHeight="1">
      <c r="A189" s="40">
        <v>45009.0</v>
      </c>
      <c r="B189" s="109">
        <v>2653.0</v>
      </c>
      <c r="C189" s="109"/>
      <c r="D189" s="110" t="s">
        <v>44</v>
      </c>
      <c r="E189" s="110" t="s">
        <v>2208</v>
      </c>
      <c r="F189" s="109">
        <v>1.0</v>
      </c>
      <c r="G189" s="111">
        <v>18391.63</v>
      </c>
      <c r="H189" s="112" t="s">
        <v>2036</v>
      </c>
      <c r="I189" s="40"/>
      <c r="J189" s="109"/>
      <c r="K189" s="109"/>
      <c r="L189" s="110"/>
      <c r="M189" s="40"/>
      <c r="N189" s="110"/>
      <c r="O189" s="109"/>
      <c r="P189" s="9"/>
      <c r="Q189" s="9"/>
      <c r="R189" s="40"/>
      <c r="S189" s="40"/>
      <c r="T189" s="113"/>
      <c r="U189" s="114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ht="35.25" customHeight="1">
      <c r="A190" s="40">
        <v>45009.0</v>
      </c>
      <c r="B190" s="109">
        <v>2653.0</v>
      </c>
      <c r="C190" s="109"/>
      <c r="D190" s="110" t="s">
        <v>44</v>
      </c>
      <c r="E190" s="110" t="s">
        <v>1094</v>
      </c>
      <c r="F190" s="109">
        <v>1.0</v>
      </c>
      <c r="G190" s="111">
        <v>55056.85</v>
      </c>
      <c r="H190" s="112" t="s">
        <v>2036</v>
      </c>
      <c r="I190" s="40"/>
      <c r="J190" s="109"/>
      <c r="K190" s="109"/>
      <c r="L190" s="110"/>
      <c r="M190" s="40"/>
      <c r="N190" s="110"/>
      <c r="O190" s="109"/>
      <c r="P190" s="9"/>
      <c r="Q190" s="9"/>
      <c r="R190" s="40"/>
      <c r="S190" s="40"/>
      <c r="T190" s="113"/>
      <c r="U190" s="114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ht="35.25" customHeight="1">
      <c r="A191" s="40">
        <v>45013.0</v>
      </c>
      <c r="B191" s="109">
        <v>2655.0</v>
      </c>
      <c r="C191" s="109"/>
      <c r="D191" s="110" t="s">
        <v>44</v>
      </c>
      <c r="E191" s="110" t="s">
        <v>2209</v>
      </c>
      <c r="F191" s="109">
        <v>6.0</v>
      </c>
      <c r="G191" s="111">
        <v>36536.03</v>
      </c>
      <c r="H191" s="112" t="s">
        <v>2036</v>
      </c>
      <c r="I191" s="40"/>
      <c r="J191" s="109"/>
      <c r="K191" s="109"/>
      <c r="L191" s="110"/>
      <c r="M191" s="40"/>
      <c r="N191" s="110"/>
      <c r="O191" s="109"/>
      <c r="P191" s="9"/>
      <c r="Q191" s="9"/>
      <c r="R191" s="40"/>
      <c r="S191" s="40"/>
      <c r="T191" s="113"/>
      <c r="U191" s="114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ht="35.25" customHeight="1">
      <c r="A192" s="40">
        <v>45015.0</v>
      </c>
      <c r="B192" s="109">
        <v>2659.0</v>
      </c>
      <c r="C192" s="109"/>
      <c r="D192" s="110" t="s">
        <v>77</v>
      </c>
      <c r="E192" s="110" t="s">
        <v>2210</v>
      </c>
      <c r="F192" s="109">
        <v>1.0</v>
      </c>
      <c r="G192" s="111">
        <v>26001.61</v>
      </c>
      <c r="H192" s="112" t="s">
        <v>2036</v>
      </c>
      <c r="I192" s="40"/>
      <c r="J192" s="109"/>
      <c r="K192" s="109"/>
      <c r="L192" s="110"/>
      <c r="M192" s="40"/>
      <c r="N192" s="110"/>
      <c r="O192" s="109"/>
      <c r="P192" s="9"/>
      <c r="Q192" s="9"/>
      <c r="R192" s="40"/>
      <c r="S192" s="40"/>
      <c r="T192" s="113"/>
      <c r="U192" s="114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ht="35.25" customHeight="1">
      <c r="A193" s="40">
        <v>45015.0</v>
      </c>
      <c r="B193" s="109">
        <v>2660.0</v>
      </c>
      <c r="C193" s="109"/>
      <c r="D193" s="110" t="s">
        <v>75</v>
      </c>
      <c r="E193" s="110" t="s">
        <v>67</v>
      </c>
      <c r="F193" s="109">
        <v>1.0</v>
      </c>
      <c r="G193" s="111">
        <v>16983.07</v>
      </c>
      <c r="H193" s="112" t="s">
        <v>2036</v>
      </c>
      <c r="I193" s="40"/>
      <c r="J193" s="109"/>
      <c r="K193" s="109"/>
      <c r="L193" s="110"/>
      <c r="M193" s="40"/>
      <c r="N193" s="110"/>
      <c r="O193" s="109"/>
      <c r="P193" s="9"/>
      <c r="Q193" s="9"/>
      <c r="R193" s="40"/>
      <c r="S193" s="40"/>
      <c r="T193" s="113"/>
      <c r="U193" s="114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ht="35.25" customHeight="1">
      <c r="A194" s="40">
        <v>45015.0</v>
      </c>
      <c r="B194" s="109">
        <v>2662.0</v>
      </c>
      <c r="C194" s="109"/>
      <c r="D194" s="110" t="s">
        <v>44</v>
      </c>
      <c r="E194" s="110" t="s">
        <v>67</v>
      </c>
      <c r="F194" s="109">
        <v>1.0</v>
      </c>
      <c r="G194" s="111">
        <v>140113.42</v>
      </c>
      <c r="H194" s="112" t="s">
        <v>2036</v>
      </c>
      <c r="I194" s="40"/>
      <c r="J194" s="109"/>
      <c r="K194" s="109"/>
      <c r="L194" s="110"/>
      <c r="M194" s="40"/>
      <c r="N194" s="110"/>
      <c r="O194" s="109"/>
      <c r="P194" s="9"/>
      <c r="Q194" s="9"/>
      <c r="R194" s="40"/>
      <c r="S194" s="40"/>
      <c r="T194" s="113"/>
      <c r="U194" s="114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ht="35.25" customHeight="1">
      <c r="A195" s="40">
        <v>45016.0</v>
      </c>
      <c r="B195" s="109">
        <v>2663.0</v>
      </c>
      <c r="C195" s="109"/>
      <c r="D195" s="110" t="s">
        <v>44</v>
      </c>
      <c r="E195" s="110" t="s">
        <v>67</v>
      </c>
      <c r="F195" s="109">
        <v>1.0</v>
      </c>
      <c r="G195" s="111">
        <v>86272.12</v>
      </c>
      <c r="H195" s="112" t="s">
        <v>2036</v>
      </c>
      <c r="I195" s="40"/>
      <c r="J195" s="109"/>
      <c r="K195" s="109"/>
      <c r="L195" s="110"/>
      <c r="M195" s="40"/>
      <c r="N195" s="110"/>
      <c r="O195" s="109"/>
      <c r="P195" s="9"/>
      <c r="Q195" s="9"/>
      <c r="R195" s="40"/>
      <c r="S195" s="40"/>
      <c r="T195" s="113"/>
      <c r="U195" s="114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ht="35.25" customHeight="1">
      <c r="A196" s="40">
        <v>45019.0</v>
      </c>
      <c r="B196" s="109">
        <v>2664.0</v>
      </c>
      <c r="C196" s="109"/>
      <c r="D196" s="110" t="s">
        <v>2078</v>
      </c>
      <c r="E196" s="110" t="s">
        <v>67</v>
      </c>
      <c r="F196" s="109">
        <v>1.0</v>
      </c>
      <c r="G196" s="111">
        <v>1123.82</v>
      </c>
      <c r="H196" s="112" t="s">
        <v>180</v>
      </c>
      <c r="I196" s="40">
        <v>45019.0</v>
      </c>
      <c r="J196" s="109">
        <v>2098.0</v>
      </c>
      <c r="K196" s="109"/>
      <c r="L196" s="110"/>
      <c r="M196" s="40"/>
      <c r="N196" s="110"/>
      <c r="O196" s="109"/>
      <c r="P196" s="9"/>
      <c r="Q196" s="9"/>
      <c r="R196" s="40"/>
      <c r="S196" s="40"/>
      <c r="T196" s="113"/>
      <c r="U196" s="114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ht="35.25" customHeight="1">
      <c r="A197" s="40">
        <v>45020.0</v>
      </c>
      <c r="B197" s="109">
        <v>2665.0</v>
      </c>
      <c r="C197" s="109"/>
      <c r="D197" s="110" t="s">
        <v>2211</v>
      </c>
      <c r="E197" s="110" t="s">
        <v>2212</v>
      </c>
      <c r="F197" s="109">
        <v>20.0</v>
      </c>
      <c r="G197" s="111">
        <v>596.0</v>
      </c>
      <c r="H197" s="112" t="str">
        <f>IF($J197&lt;&gt;"","FATURADO",IF($K197&lt;&gt;"","GANHOU"," "))</f>
        <v>FATURADO</v>
      </c>
      <c r="I197" s="40">
        <v>45020.0</v>
      </c>
      <c r="J197" s="109">
        <v>2101.0</v>
      </c>
      <c r="K197" s="109">
        <v>5.2022655E8</v>
      </c>
      <c r="L197" s="110"/>
      <c r="M197" s="40"/>
      <c r="N197" s="110"/>
      <c r="O197" s="109"/>
      <c r="P197" s="9"/>
      <c r="Q197" s="9"/>
      <c r="R197" s="40"/>
      <c r="S197" s="40"/>
      <c r="T197" s="113"/>
      <c r="U197" s="114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ht="35.25" customHeight="1">
      <c r="A198" s="40">
        <v>45020.0</v>
      </c>
      <c r="B198" s="109">
        <v>2666.0</v>
      </c>
      <c r="C198" s="109"/>
      <c r="D198" s="110" t="s">
        <v>2213</v>
      </c>
      <c r="E198" s="110" t="s">
        <v>2214</v>
      </c>
      <c r="F198" s="109">
        <v>1.0</v>
      </c>
      <c r="G198" s="111">
        <v>2829.12</v>
      </c>
      <c r="H198" s="112" t="s">
        <v>180</v>
      </c>
      <c r="I198" s="40">
        <v>45020.0</v>
      </c>
      <c r="J198" s="109">
        <v>2100.0</v>
      </c>
      <c r="K198" s="109">
        <v>62984.0</v>
      </c>
      <c r="L198" s="110"/>
      <c r="M198" s="40"/>
      <c r="N198" s="110"/>
      <c r="O198" s="109"/>
      <c r="P198" s="9"/>
      <c r="Q198" s="9"/>
      <c r="R198" s="40"/>
      <c r="S198" s="40"/>
      <c r="T198" s="113"/>
      <c r="U198" s="114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ht="35.25" customHeight="1">
      <c r="A199" s="40">
        <v>45021.0</v>
      </c>
      <c r="B199" s="109">
        <v>2667.0</v>
      </c>
      <c r="C199" s="109"/>
      <c r="D199" s="110" t="s">
        <v>44</v>
      </c>
      <c r="E199" s="110" t="s">
        <v>2215</v>
      </c>
      <c r="F199" s="109">
        <v>5.0</v>
      </c>
      <c r="G199" s="111">
        <v>2481.34</v>
      </c>
      <c r="H199" s="112" t="str">
        <f>IF($J199&lt;&gt;"","FATURADO",IF($K199&lt;&gt;"","GANHOU"," "))</f>
        <v>FATURADO</v>
      </c>
      <c r="I199" s="40">
        <v>45021.0</v>
      </c>
      <c r="J199" s="109">
        <v>2099.0</v>
      </c>
      <c r="K199" s="109">
        <v>4.501693357E9</v>
      </c>
      <c r="L199" s="110"/>
      <c r="M199" s="40"/>
      <c r="N199" s="110"/>
      <c r="O199" s="109"/>
      <c r="P199" s="9"/>
      <c r="Q199" s="9"/>
      <c r="R199" s="40"/>
      <c r="S199" s="40"/>
      <c r="T199" s="113"/>
      <c r="U199" s="114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ht="35.25" customHeight="1">
      <c r="A200" s="40">
        <v>45022.0</v>
      </c>
      <c r="B200" s="109">
        <v>2671.0</v>
      </c>
      <c r="C200" s="109"/>
      <c r="D200" s="110" t="s">
        <v>44</v>
      </c>
      <c r="E200" s="110" t="s">
        <v>2216</v>
      </c>
      <c r="F200" s="109">
        <v>3.0</v>
      </c>
      <c r="G200" s="111">
        <v>7990.38</v>
      </c>
      <c r="H200" s="112" t="s">
        <v>2036</v>
      </c>
      <c r="I200" s="40"/>
      <c r="J200" s="109"/>
      <c r="K200" s="109"/>
      <c r="L200" s="110"/>
      <c r="M200" s="40"/>
      <c r="N200" s="110"/>
      <c r="O200" s="109"/>
      <c r="P200" s="9"/>
      <c r="Q200" s="9"/>
      <c r="R200" s="40"/>
      <c r="S200" s="40"/>
      <c r="T200" s="113"/>
      <c r="U200" s="114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ht="35.25" customHeight="1">
      <c r="A201" s="40">
        <v>45022.0</v>
      </c>
      <c r="B201" s="109">
        <v>2672.0</v>
      </c>
      <c r="C201" s="109"/>
      <c r="D201" s="110" t="s">
        <v>44</v>
      </c>
      <c r="E201" s="110" t="s">
        <v>2217</v>
      </c>
      <c r="F201" s="109">
        <v>1.0</v>
      </c>
      <c r="G201" s="111">
        <v>1996.58</v>
      </c>
      <c r="H201" s="112" t="s">
        <v>2036</v>
      </c>
      <c r="I201" s="40"/>
      <c r="J201" s="109"/>
      <c r="K201" s="109"/>
      <c r="L201" s="110"/>
      <c r="M201" s="40"/>
      <c r="N201" s="110"/>
      <c r="O201" s="109"/>
      <c r="P201" s="9"/>
      <c r="Q201" s="9"/>
      <c r="R201" s="40"/>
      <c r="S201" s="40"/>
      <c r="T201" s="113"/>
      <c r="U201" s="114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ht="35.25" customHeight="1">
      <c r="A202" s="40">
        <v>45022.0</v>
      </c>
      <c r="B202" s="109">
        <v>2673.0</v>
      </c>
      <c r="C202" s="109"/>
      <c r="D202" s="110" t="s">
        <v>2218</v>
      </c>
      <c r="E202" s="110" t="s">
        <v>67</v>
      </c>
      <c r="F202" s="109">
        <v>1.0</v>
      </c>
      <c r="G202" s="111">
        <v>3608.2</v>
      </c>
      <c r="H202" s="112" t="s">
        <v>2036</v>
      </c>
      <c r="I202" s="40"/>
      <c r="J202" s="109"/>
      <c r="K202" s="109"/>
      <c r="L202" s="110"/>
      <c r="M202" s="40"/>
      <c r="N202" s="110"/>
      <c r="O202" s="109"/>
      <c r="P202" s="9"/>
      <c r="Q202" s="9"/>
      <c r="R202" s="40"/>
      <c r="S202" s="40"/>
      <c r="T202" s="113"/>
      <c r="U202" s="114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ht="35.25" customHeight="1">
      <c r="A203" s="40">
        <v>45026.0</v>
      </c>
      <c r="B203" s="109">
        <v>2676.0</v>
      </c>
      <c r="C203" s="109"/>
      <c r="D203" s="110" t="s">
        <v>2219</v>
      </c>
      <c r="E203" s="110" t="s">
        <v>2220</v>
      </c>
      <c r="F203" s="109">
        <v>1.0</v>
      </c>
      <c r="G203" s="111">
        <v>51234.0</v>
      </c>
      <c r="H203" s="112" t="s">
        <v>2036</v>
      </c>
      <c r="I203" s="40"/>
      <c r="J203" s="109"/>
      <c r="K203" s="109"/>
      <c r="L203" s="110"/>
      <c r="M203" s="40"/>
      <c r="N203" s="110"/>
      <c r="O203" s="109"/>
      <c r="P203" s="9"/>
      <c r="Q203" s="9"/>
      <c r="R203" s="40"/>
      <c r="S203" s="40"/>
      <c r="T203" s="113"/>
      <c r="U203" s="114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ht="35.25" customHeight="1">
      <c r="A204" s="40">
        <v>45026.0</v>
      </c>
      <c r="B204" s="109">
        <v>2679.0</v>
      </c>
      <c r="C204" s="109"/>
      <c r="D204" s="110" t="s">
        <v>2218</v>
      </c>
      <c r="E204" s="110" t="s">
        <v>2221</v>
      </c>
      <c r="F204" s="109">
        <v>1.0</v>
      </c>
      <c r="G204" s="111">
        <v>101.49</v>
      </c>
      <c r="H204" s="112" t="s">
        <v>2036</v>
      </c>
      <c r="I204" s="40"/>
      <c r="J204" s="109"/>
      <c r="K204" s="109"/>
      <c r="L204" s="110"/>
      <c r="M204" s="40"/>
      <c r="N204" s="110"/>
      <c r="O204" s="109"/>
      <c r="P204" s="9"/>
      <c r="Q204" s="9"/>
      <c r="R204" s="40"/>
      <c r="S204" s="40"/>
      <c r="T204" s="113"/>
      <c r="U204" s="114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ht="35.25" customHeight="1">
      <c r="A205" s="40">
        <v>45026.0</v>
      </c>
      <c r="B205" s="109">
        <v>2680.0</v>
      </c>
      <c r="C205" s="109"/>
      <c r="D205" s="110" t="s">
        <v>46</v>
      </c>
      <c r="E205" s="110" t="s">
        <v>67</v>
      </c>
      <c r="F205" s="109">
        <v>1.0</v>
      </c>
      <c r="G205" s="111">
        <v>1003.76</v>
      </c>
      <c r="H205" s="112" t="s">
        <v>2036</v>
      </c>
      <c r="I205" s="40"/>
      <c r="J205" s="109"/>
      <c r="K205" s="109"/>
      <c r="L205" s="110"/>
      <c r="M205" s="40"/>
      <c r="N205" s="110"/>
      <c r="O205" s="109"/>
      <c r="P205" s="9"/>
      <c r="Q205" s="9"/>
      <c r="R205" s="40"/>
      <c r="S205" s="40"/>
      <c r="T205" s="113"/>
      <c r="U205" s="114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ht="35.25" customHeight="1">
      <c r="A206" s="40">
        <v>45027.0</v>
      </c>
      <c r="B206" s="109">
        <v>2683.0</v>
      </c>
      <c r="C206" s="109"/>
      <c r="D206" s="110" t="s">
        <v>685</v>
      </c>
      <c r="E206" s="110" t="s">
        <v>2222</v>
      </c>
      <c r="F206" s="109">
        <v>1.0</v>
      </c>
      <c r="G206" s="111">
        <v>916.81</v>
      </c>
      <c r="H206" s="112" t="s">
        <v>2036</v>
      </c>
      <c r="I206" s="40"/>
      <c r="J206" s="109"/>
      <c r="K206" s="109"/>
      <c r="L206" s="110"/>
      <c r="M206" s="40"/>
      <c r="N206" s="110"/>
      <c r="O206" s="109"/>
      <c r="P206" s="9"/>
      <c r="Q206" s="9"/>
      <c r="R206" s="40"/>
      <c r="S206" s="40"/>
      <c r="T206" s="113"/>
      <c r="U206" s="114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ht="35.25" customHeight="1">
      <c r="A207" s="40">
        <v>45027.0</v>
      </c>
      <c r="B207" s="109">
        <v>2683.0</v>
      </c>
      <c r="C207" s="109"/>
      <c r="D207" s="110" t="s">
        <v>685</v>
      </c>
      <c r="E207" s="110" t="s">
        <v>2223</v>
      </c>
      <c r="F207" s="109">
        <v>1.0</v>
      </c>
      <c r="G207" s="111">
        <v>1202.1</v>
      </c>
      <c r="H207" s="112" t="s">
        <v>2036</v>
      </c>
      <c r="I207" s="40"/>
      <c r="J207" s="109"/>
      <c r="K207" s="109"/>
      <c r="L207" s="110"/>
      <c r="M207" s="40"/>
      <c r="N207" s="110"/>
      <c r="O207" s="109"/>
      <c r="P207" s="9"/>
      <c r="Q207" s="9"/>
      <c r="R207" s="40"/>
      <c r="S207" s="40"/>
      <c r="T207" s="113"/>
      <c r="U207" s="114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ht="35.25" customHeight="1">
      <c r="A208" s="40">
        <v>45027.0</v>
      </c>
      <c r="B208" s="109">
        <v>2684.0</v>
      </c>
      <c r="C208" s="109"/>
      <c r="D208" s="110" t="s">
        <v>44</v>
      </c>
      <c r="E208" s="110" t="s">
        <v>2224</v>
      </c>
      <c r="F208" s="109">
        <v>20.0</v>
      </c>
      <c r="G208" s="111">
        <v>510.6</v>
      </c>
      <c r="H208" s="112" t="s">
        <v>2036</v>
      </c>
      <c r="I208" s="40"/>
      <c r="J208" s="109"/>
      <c r="K208" s="109"/>
      <c r="L208" s="110"/>
      <c r="M208" s="40"/>
      <c r="N208" s="110"/>
      <c r="O208" s="109"/>
      <c r="P208" s="9"/>
      <c r="Q208" s="9"/>
      <c r="R208" s="40"/>
      <c r="S208" s="40"/>
      <c r="T208" s="113"/>
      <c r="U208" s="114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ht="35.25" customHeight="1">
      <c r="A209" s="40">
        <v>45027.0</v>
      </c>
      <c r="B209" s="109">
        <v>2684.0</v>
      </c>
      <c r="C209" s="109"/>
      <c r="D209" s="110" t="s">
        <v>44</v>
      </c>
      <c r="E209" s="110" t="s">
        <v>2225</v>
      </c>
      <c r="F209" s="109">
        <v>20.0</v>
      </c>
      <c r="G209" s="111">
        <v>458.8</v>
      </c>
      <c r="H209" s="112" t="s">
        <v>2036</v>
      </c>
      <c r="I209" s="40"/>
      <c r="J209" s="109"/>
      <c r="K209" s="109"/>
      <c r="L209" s="110"/>
      <c r="M209" s="40"/>
      <c r="N209" s="110"/>
      <c r="O209" s="109"/>
      <c r="P209" s="9"/>
      <c r="Q209" s="9"/>
      <c r="R209" s="40"/>
      <c r="S209" s="40"/>
      <c r="T209" s="113"/>
      <c r="U209" s="114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ht="35.25" customHeight="1">
      <c r="A210" s="40">
        <v>45028.0</v>
      </c>
      <c r="B210" s="109">
        <v>2686.0</v>
      </c>
      <c r="C210" s="109"/>
      <c r="D210" s="110" t="s">
        <v>44</v>
      </c>
      <c r="E210" s="110" t="s">
        <v>2226</v>
      </c>
      <c r="F210" s="109">
        <v>6.0</v>
      </c>
      <c r="G210" s="111">
        <v>105.021</v>
      </c>
      <c r="H210" s="112" t="s">
        <v>2036</v>
      </c>
      <c r="I210" s="40"/>
      <c r="J210" s="109"/>
      <c r="K210" s="109"/>
      <c r="L210" s="110"/>
      <c r="M210" s="40"/>
      <c r="N210" s="110"/>
      <c r="O210" s="109"/>
      <c r="P210" s="9"/>
      <c r="Q210" s="9"/>
      <c r="R210" s="40"/>
      <c r="S210" s="40"/>
      <c r="T210" s="113"/>
      <c r="U210" s="114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ht="35.25" customHeight="1">
      <c r="A211" s="40">
        <v>45028.0</v>
      </c>
      <c r="B211" s="109">
        <v>2686.0</v>
      </c>
      <c r="C211" s="109"/>
      <c r="D211" s="110" t="s">
        <v>44</v>
      </c>
      <c r="E211" s="110" t="s">
        <v>2227</v>
      </c>
      <c r="F211" s="109">
        <v>6.0</v>
      </c>
      <c r="G211" s="111">
        <v>205.197</v>
      </c>
      <c r="H211" s="112" t="s">
        <v>2036</v>
      </c>
      <c r="I211" s="40"/>
      <c r="J211" s="109"/>
      <c r="K211" s="109"/>
      <c r="L211" s="110"/>
      <c r="M211" s="40"/>
      <c r="N211" s="110"/>
      <c r="O211" s="109"/>
      <c r="P211" s="9"/>
      <c r="Q211" s="9"/>
      <c r="R211" s="40"/>
      <c r="S211" s="40"/>
      <c r="T211" s="113"/>
      <c r="U211" s="114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ht="35.25" customHeight="1">
      <c r="A212" s="40">
        <v>45028.0</v>
      </c>
      <c r="B212" s="109">
        <v>2686.0</v>
      </c>
      <c r="C212" s="109"/>
      <c r="D212" s="110" t="s">
        <v>44</v>
      </c>
      <c r="E212" s="110" t="s">
        <v>2228</v>
      </c>
      <c r="F212" s="109">
        <v>6.0</v>
      </c>
      <c r="G212" s="111">
        <v>227.99</v>
      </c>
      <c r="H212" s="112" t="s">
        <v>2036</v>
      </c>
      <c r="I212" s="40"/>
      <c r="J212" s="109"/>
      <c r="K212" s="109"/>
      <c r="L212" s="110"/>
      <c r="M212" s="40"/>
      <c r="N212" s="110"/>
      <c r="O212" s="109"/>
      <c r="P212" s="9"/>
      <c r="Q212" s="9"/>
      <c r="R212" s="40"/>
      <c r="S212" s="40"/>
      <c r="T212" s="113"/>
      <c r="U212" s="114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ht="35.25" customHeight="1">
      <c r="A213" s="40">
        <v>45028.0</v>
      </c>
      <c r="B213" s="109">
        <v>2686.0</v>
      </c>
      <c r="C213" s="109"/>
      <c r="D213" s="110" t="s">
        <v>44</v>
      </c>
      <c r="E213" s="110" t="s">
        <v>2229</v>
      </c>
      <c r="F213" s="109">
        <v>6.0</v>
      </c>
      <c r="G213" s="111">
        <v>281.07</v>
      </c>
      <c r="H213" s="112" t="s">
        <v>2036</v>
      </c>
      <c r="I213" s="40"/>
      <c r="J213" s="109"/>
      <c r="K213" s="109"/>
      <c r="L213" s="110"/>
      <c r="M213" s="40"/>
      <c r="N213" s="110"/>
      <c r="O213" s="109"/>
      <c r="P213" s="9"/>
      <c r="Q213" s="9"/>
      <c r="R213" s="40"/>
      <c r="S213" s="40"/>
      <c r="T213" s="113"/>
      <c r="U213" s="114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ht="35.25" customHeight="1">
      <c r="A214" s="40">
        <v>45028.0</v>
      </c>
      <c r="B214" s="109">
        <v>2686.0</v>
      </c>
      <c r="C214" s="109"/>
      <c r="D214" s="110" t="s">
        <v>44</v>
      </c>
      <c r="E214" s="110" t="s">
        <v>2229</v>
      </c>
      <c r="F214" s="109">
        <v>6.0</v>
      </c>
      <c r="G214" s="111">
        <v>476.65</v>
      </c>
      <c r="H214" s="112" t="s">
        <v>2036</v>
      </c>
      <c r="I214" s="40"/>
      <c r="J214" s="109"/>
      <c r="K214" s="109"/>
      <c r="L214" s="110"/>
      <c r="M214" s="40"/>
      <c r="N214" s="110"/>
      <c r="O214" s="109"/>
      <c r="P214" s="9"/>
      <c r="Q214" s="9"/>
      <c r="R214" s="40"/>
      <c r="S214" s="40"/>
      <c r="T214" s="113"/>
      <c r="U214" s="114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ht="35.25" customHeight="1">
      <c r="A215" s="40">
        <v>45028.0</v>
      </c>
      <c r="B215" s="109">
        <v>2686.0</v>
      </c>
      <c r="C215" s="109"/>
      <c r="D215" s="110" t="s">
        <v>44</v>
      </c>
      <c r="E215" s="110" t="s">
        <v>2230</v>
      </c>
      <c r="F215" s="109">
        <v>6.0</v>
      </c>
      <c r="G215" s="111">
        <v>154.58</v>
      </c>
      <c r="H215" s="112" t="s">
        <v>2036</v>
      </c>
      <c r="I215" s="40"/>
      <c r="J215" s="109"/>
      <c r="K215" s="109"/>
      <c r="L215" s="110"/>
      <c r="M215" s="40"/>
      <c r="N215" s="110"/>
      <c r="O215" s="109"/>
      <c r="P215" s="9"/>
      <c r="Q215" s="9"/>
      <c r="R215" s="40"/>
      <c r="S215" s="40"/>
      <c r="T215" s="113"/>
      <c r="U215" s="114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ht="35.25" customHeight="1">
      <c r="A216" s="40">
        <v>45028.0</v>
      </c>
      <c r="B216" s="109">
        <v>2686.0</v>
      </c>
      <c r="C216" s="109"/>
      <c r="D216" s="110" t="s">
        <v>44</v>
      </c>
      <c r="E216" s="110" t="s">
        <v>2231</v>
      </c>
      <c r="F216" s="109">
        <v>6.0</v>
      </c>
      <c r="G216" s="111">
        <v>241.04</v>
      </c>
      <c r="H216" s="112" t="s">
        <v>2036</v>
      </c>
      <c r="I216" s="40"/>
      <c r="J216" s="109"/>
      <c r="K216" s="109"/>
      <c r="L216" s="110"/>
      <c r="M216" s="40"/>
      <c r="N216" s="110"/>
      <c r="O216" s="109"/>
      <c r="P216" s="9"/>
      <c r="Q216" s="9"/>
      <c r="R216" s="40"/>
      <c r="S216" s="40"/>
      <c r="T216" s="113"/>
      <c r="U216" s="114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ht="35.25" customHeight="1">
      <c r="A217" s="40">
        <v>45028.0</v>
      </c>
      <c r="B217" s="109">
        <v>2686.0</v>
      </c>
      <c r="C217" s="109"/>
      <c r="D217" s="110" t="s">
        <v>44</v>
      </c>
      <c r="E217" s="110" t="s">
        <v>2232</v>
      </c>
      <c r="F217" s="109">
        <v>6.0</v>
      </c>
      <c r="G217" s="111">
        <v>301.13</v>
      </c>
      <c r="H217" s="112" t="s">
        <v>2036</v>
      </c>
      <c r="I217" s="40"/>
      <c r="J217" s="109"/>
      <c r="K217" s="109"/>
      <c r="L217" s="110"/>
      <c r="M217" s="40"/>
      <c r="N217" s="110"/>
      <c r="O217" s="109"/>
      <c r="P217" s="9"/>
      <c r="Q217" s="9"/>
      <c r="R217" s="40"/>
      <c r="S217" s="40"/>
      <c r="T217" s="113"/>
      <c r="U217" s="114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ht="35.25" customHeight="1">
      <c r="A218" s="40">
        <v>45028.0</v>
      </c>
      <c r="B218" s="109">
        <v>2686.0</v>
      </c>
      <c r="C218" s="109"/>
      <c r="D218" s="110" t="s">
        <v>44</v>
      </c>
      <c r="E218" s="110" t="s">
        <v>2233</v>
      </c>
      <c r="F218" s="109">
        <v>6.0</v>
      </c>
      <c r="G218" s="111">
        <v>154.58</v>
      </c>
      <c r="H218" s="112" t="s">
        <v>2036</v>
      </c>
      <c r="I218" s="40"/>
      <c r="J218" s="109"/>
      <c r="K218" s="109"/>
      <c r="L218" s="110"/>
      <c r="M218" s="40"/>
      <c r="N218" s="110"/>
      <c r="O218" s="109"/>
      <c r="P218" s="9"/>
      <c r="Q218" s="9"/>
      <c r="R218" s="40"/>
      <c r="S218" s="40"/>
      <c r="T218" s="113"/>
      <c r="U218" s="114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ht="35.25" customHeight="1">
      <c r="A219" s="40">
        <v>45028.0</v>
      </c>
      <c r="B219" s="109">
        <v>2686.0</v>
      </c>
      <c r="C219" s="109"/>
      <c r="D219" s="110" t="s">
        <v>44</v>
      </c>
      <c r="E219" s="110" t="s">
        <v>2233</v>
      </c>
      <c r="F219" s="109">
        <v>6.0</v>
      </c>
      <c r="G219" s="111">
        <v>241.04</v>
      </c>
      <c r="H219" s="112" t="s">
        <v>2036</v>
      </c>
      <c r="I219" s="40"/>
      <c r="J219" s="109"/>
      <c r="K219" s="109"/>
      <c r="L219" s="110"/>
      <c r="M219" s="40"/>
      <c r="N219" s="110"/>
      <c r="O219" s="109"/>
      <c r="P219" s="9"/>
      <c r="Q219" s="9"/>
      <c r="R219" s="40"/>
      <c r="S219" s="40"/>
      <c r="T219" s="113"/>
      <c r="U219" s="114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ht="35.25" customHeight="1">
      <c r="A220" s="40">
        <v>45028.0</v>
      </c>
      <c r="B220" s="109">
        <v>2686.0</v>
      </c>
      <c r="C220" s="109"/>
      <c r="D220" s="110" t="s">
        <v>44</v>
      </c>
      <c r="E220" s="110" t="s">
        <v>2234</v>
      </c>
      <c r="F220" s="109">
        <v>6.0</v>
      </c>
      <c r="G220" s="111">
        <v>304.84</v>
      </c>
      <c r="H220" s="112" t="s">
        <v>2036</v>
      </c>
      <c r="I220" s="40"/>
      <c r="J220" s="109"/>
      <c r="K220" s="109"/>
      <c r="L220" s="110"/>
      <c r="M220" s="40"/>
      <c r="N220" s="110"/>
      <c r="O220" s="109"/>
      <c r="P220" s="9"/>
      <c r="Q220" s="9"/>
      <c r="R220" s="40"/>
      <c r="S220" s="40"/>
      <c r="T220" s="113"/>
      <c r="U220" s="114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ht="35.25" customHeight="1">
      <c r="A221" s="40">
        <v>45028.0</v>
      </c>
      <c r="B221" s="109">
        <v>2686.0</v>
      </c>
      <c r="C221" s="109"/>
      <c r="D221" s="110" t="s">
        <v>44</v>
      </c>
      <c r="E221" s="110" t="s">
        <v>2235</v>
      </c>
      <c r="F221" s="109">
        <v>10.0</v>
      </c>
      <c r="G221" s="111">
        <v>2065.93</v>
      </c>
      <c r="H221" s="112" t="s">
        <v>2036</v>
      </c>
      <c r="I221" s="40"/>
      <c r="J221" s="109"/>
      <c r="K221" s="109"/>
      <c r="L221" s="110"/>
      <c r="M221" s="40"/>
      <c r="N221" s="110"/>
      <c r="O221" s="109"/>
      <c r="P221" s="9"/>
      <c r="Q221" s="9"/>
      <c r="R221" s="40"/>
      <c r="S221" s="40"/>
      <c r="T221" s="113"/>
      <c r="U221" s="114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ht="35.25" customHeight="1">
      <c r="A222" s="40">
        <v>45028.0</v>
      </c>
      <c r="B222" s="109">
        <v>2686.0</v>
      </c>
      <c r="C222" s="109"/>
      <c r="D222" s="110" t="s">
        <v>44</v>
      </c>
      <c r="E222" s="110" t="s">
        <v>2236</v>
      </c>
      <c r="F222" s="109">
        <v>10.0</v>
      </c>
      <c r="G222" s="111">
        <v>2598.15</v>
      </c>
      <c r="H222" s="112" t="s">
        <v>2036</v>
      </c>
      <c r="I222" s="40"/>
      <c r="J222" s="109"/>
      <c r="K222" s="109"/>
      <c r="L222" s="110"/>
      <c r="M222" s="40"/>
      <c r="N222" s="110"/>
      <c r="O222" s="109"/>
      <c r="P222" s="9"/>
      <c r="Q222" s="9"/>
      <c r="R222" s="40"/>
      <c r="S222" s="40"/>
      <c r="T222" s="113"/>
      <c r="U222" s="114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ht="35.25" customHeight="1">
      <c r="A223" s="40">
        <v>45028.0</v>
      </c>
      <c r="B223" s="109">
        <v>2686.0</v>
      </c>
      <c r="C223" s="109"/>
      <c r="D223" s="110" t="s">
        <v>44</v>
      </c>
      <c r="E223" s="110" t="s">
        <v>2237</v>
      </c>
      <c r="F223" s="109">
        <v>10.0</v>
      </c>
      <c r="G223" s="111">
        <v>2867.12</v>
      </c>
      <c r="H223" s="112" t="s">
        <v>2036</v>
      </c>
      <c r="I223" s="40"/>
      <c r="J223" s="109"/>
      <c r="K223" s="109"/>
      <c r="L223" s="110"/>
      <c r="M223" s="40"/>
      <c r="N223" s="110"/>
      <c r="O223" s="109"/>
      <c r="P223" s="9"/>
      <c r="Q223" s="9"/>
      <c r="R223" s="40"/>
      <c r="S223" s="40"/>
      <c r="T223" s="113"/>
      <c r="U223" s="114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ht="35.25" customHeight="1">
      <c r="A224" s="40">
        <v>45028.0</v>
      </c>
      <c r="B224" s="109">
        <v>2686.0</v>
      </c>
      <c r="C224" s="109"/>
      <c r="D224" s="110" t="s">
        <v>44</v>
      </c>
      <c r="E224" s="110" t="s">
        <v>2238</v>
      </c>
      <c r="F224" s="109">
        <v>5.0</v>
      </c>
      <c r="G224" s="111">
        <v>1774.69</v>
      </c>
      <c r="H224" s="112" t="s">
        <v>2036</v>
      </c>
      <c r="I224" s="40"/>
      <c r="J224" s="109"/>
      <c r="K224" s="109"/>
      <c r="L224" s="110"/>
      <c r="M224" s="40"/>
      <c r="N224" s="110"/>
      <c r="O224" s="109"/>
      <c r="P224" s="9"/>
      <c r="Q224" s="9"/>
      <c r="R224" s="40"/>
      <c r="S224" s="40"/>
      <c r="T224" s="113"/>
      <c r="U224" s="114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ht="35.25" customHeight="1">
      <c r="A225" s="40">
        <v>45028.0</v>
      </c>
      <c r="B225" s="109">
        <v>2686.0</v>
      </c>
      <c r="C225" s="109"/>
      <c r="D225" s="110" t="s">
        <v>44</v>
      </c>
      <c r="E225" s="110" t="s">
        <v>2101</v>
      </c>
      <c r="F225" s="109">
        <v>5.0</v>
      </c>
      <c r="G225" s="111">
        <v>2690.52</v>
      </c>
      <c r="H225" s="112" t="s">
        <v>2036</v>
      </c>
      <c r="I225" s="40"/>
      <c r="J225" s="109"/>
      <c r="K225" s="109"/>
      <c r="L225" s="110"/>
      <c r="M225" s="40"/>
      <c r="N225" s="110"/>
      <c r="O225" s="109"/>
      <c r="P225" s="9"/>
      <c r="Q225" s="9"/>
      <c r="R225" s="40"/>
      <c r="S225" s="40"/>
      <c r="T225" s="113"/>
      <c r="U225" s="114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ht="35.25" customHeight="1">
      <c r="A226" s="40">
        <v>45028.0</v>
      </c>
      <c r="B226" s="109">
        <v>2686.0</v>
      </c>
      <c r="C226" s="109"/>
      <c r="D226" s="110" t="s">
        <v>44</v>
      </c>
      <c r="E226" s="110" t="s">
        <v>2239</v>
      </c>
      <c r="F226" s="109">
        <v>5.0</v>
      </c>
      <c r="G226" s="111">
        <v>3657.44</v>
      </c>
      <c r="H226" s="112" t="s">
        <v>2036</v>
      </c>
      <c r="I226" s="40"/>
      <c r="J226" s="109"/>
      <c r="K226" s="109"/>
      <c r="L226" s="110"/>
      <c r="M226" s="40"/>
      <c r="N226" s="110"/>
      <c r="O226" s="109"/>
      <c r="P226" s="9"/>
      <c r="Q226" s="9"/>
      <c r="R226" s="40"/>
      <c r="S226" s="40"/>
      <c r="T226" s="113"/>
      <c r="U226" s="114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ht="35.25" customHeight="1">
      <c r="A227" s="40">
        <v>45028.0</v>
      </c>
      <c r="B227" s="109">
        <v>2686.0</v>
      </c>
      <c r="C227" s="109"/>
      <c r="D227" s="110" t="s">
        <v>44</v>
      </c>
      <c r="E227" s="110" t="s">
        <v>2240</v>
      </c>
      <c r="F227" s="109">
        <v>5.0</v>
      </c>
      <c r="G227" s="111">
        <v>4822.26</v>
      </c>
      <c r="H227" s="112" t="s">
        <v>2036</v>
      </c>
      <c r="I227" s="40"/>
      <c r="J227" s="109"/>
      <c r="K227" s="109"/>
      <c r="L227" s="110"/>
      <c r="M227" s="40"/>
      <c r="N227" s="110"/>
      <c r="O227" s="109"/>
      <c r="P227" s="9"/>
      <c r="Q227" s="9"/>
      <c r="R227" s="40"/>
      <c r="S227" s="40"/>
      <c r="T227" s="113"/>
      <c r="U227" s="114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ht="35.25" customHeight="1">
      <c r="A228" s="40">
        <v>45028.0</v>
      </c>
      <c r="B228" s="109">
        <v>2686.0</v>
      </c>
      <c r="C228" s="109"/>
      <c r="D228" s="110" t="s">
        <v>44</v>
      </c>
      <c r="E228" s="110" t="s">
        <v>2241</v>
      </c>
      <c r="F228" s="109">
        <v>5.0</v>
      </c>
      <c r="G228" s="111">
        <v>113.59</v>
      </c>
      <c r="H228" s="112" t="s">
        <v>2036</v>
      </c>
      <c r="I228" s="40"/>
      <c r="J228" s="109"/>
      <c r="K228" s="109"/>
      <c r="L228" s="110"/>
      <c r="M228" s="40"/>
      <c r="N228" s="110"/>
      <c r="O228" s="109"/>
      <c r="P228" s="9"/>
      <c r="Q228" s="9"/>
      <c r="R228" s="40"/>
      <c r="S228" s="40"/>
      <c r="T228" s="113"/>
      <c r="U228" s="114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ht="35.25" customHeight="1">
      <c r="A229" s="40">
        <v>45028.0</v>
      </c>
      <c r="B229" s="109">
        <v>2686.0</v>
      </c>
      <c r="C229" s="109"/>
      <c r="D229" s="110" t="s">
        <v>44</v>
      </c>
      <c r="E229" s="110" t="s">
        <v>2242</v>
      </c>
      <c r="F229" s="109">
        <v>5.0</v>
      </c>
      <c r="G229" s="111">
        <v>119.6</v>
      </c>
      <c r="H229" s="112" t="s">
        <v>2036</v>
      </c>
      <c r="I229" s="40"/>
      <c r="J229" s="109"/>
      <c r="K229" s="109"/>
      <c r="L229" s="110"/>
      <c r="M229" s="40"/>
      <c r="N229" s="110"/>
      <c r="O229" s="109"/>
      <c r="P229" s="9"/>
      <c r="Q229" s="9"/>
      <c r="R229" s="40"/>
      <c r="S229" s="40"/>
      <c r="T229" s="113"/>
      <c r="U229" s="114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ht="35.25" customHeight="1">
      <c r="A230" s="40">
        <v>45028.0</v>
      </c>
      <c r="B230" s="109">
        <v>2686.0</v>
      </c>
      <c r="C230" s="109"/>
      <c r="D230" s="110" t="s">
        <v>44</v>
      </c>
      <c r="E230" s="110" t="s">
        <v>2243</v>
      </c>
      <c r="F230" s="109">
        <v>5.0</v>
      </c>
      <c r="G230" s="111">
        <v>127.33</v>
      </c>
      <c r="H230" s="112" t="s">
        <v>2036</v>
      </c>
      <c r="I230" s="40"/>
      <c r="J230" s="109"/>
      <c r="K230" s="109"/>
      <c r="L230" s="110"/>
      <c r="M230" s="40"/>
      <c r="N230" s="110"/>
      <c r="O230" s="109"/>
      <c r="P230" s="9"/>
      <c r="Q230" s="9"/>
      <c r="R230" s="40"/>
      <c r="S230" s="40"/>
      <c r="T230" s="113"/>
      <c r="U230" s="114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ht="35.25" customHeight="1">
      <c r="A231" s="40">
        <v>45028.0</v>
      </c>
      <c r="B231" s="109">
        <v>2686.0</v>
      </c>
      <c r="C231" s="109"/>
      <c r="D231" s="110" t="s">
        <v>44</v>
      </c>
      <c r="E231" s="110" t="s">
        <v>2244</v>
      </c>
      <c r="F231" s="109">
        <v>5.0</v>
      </c>
      <c r="G231" s="111">
        <v>143.35</v>
      </c>
      <c r="H231" s="112" t="s">
        <v>2036</v>
      </c>
      <c r="I231" s="40"/>
      <c r="J231" s="109"/>
      <c r="K231" s="109"/>
      <c r="L231" s="110"/>
      <c r="M231" s="40"/>
      <c r="N231" s="110"/>
      <c r="O231" s="109"/>
      <c r="P231" s="9"/>
      <c r="Q231" s="9"/>
      <c r="R231" s="40"/>
      <c r="S231" s="40"/>
      <c r="T231" s="113"/>
      <c r="U231" s="114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ht="35.25" customHeight="1">
      <c r="A232" s="40">
        <v>45028.0</v>
      </c>
      <c r="B232" s="109">
        <v>2686.0</v>
      </c>
      <c r="C232" s="109"/>
      <c r="D232" s="110" t="s">
        <v>44</v>
      </c>
      <c r="E232" s="110" t="s">
        <v>67</v>
      </c>
      <c r="F232" s="109" t="s">
        <v>165</v>
      </c>
      <c r="G232" s="111">
        <v>114807.3</v>
      </c>
      <c r="H232" s="112" t="s">
        <v>2036</v>
      </c>
      <c r="I232" s="40"/>
      <c r="J232" s="109"/>
      <c r="K232" s="109"/>
      <c r="L232" s="110"/>
      <c r="M232" s="40"/>
      <c r="N232" s="110"/>
      <c r="O232" s="109"/>
      <c r="P232" s="9"/>
      <c r="Q232" s="9"/>
      <c r="R232" s="40"/>
      <c r="S232" s="40"/>
      <c r="T232" s="113"/>
      <c r="U232" s="114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ht="35.25" customHeight="1">
      <c r="A233" s="40">
        <v>45028.0</v>
      </c>
      <c r="B233" s="109">
        <v>2687.0</v>
      </c>
      <c r="C233" s="109"/>
      <c r="D233" s="110" t="s">
        <v>2218</v>
      </c>
      <c r="E233" s="110" t="s">
        <v>2245</v>
      </c>
      <c r="F233" s="109">
        <v>5.0</v>
      </c>
      <c r="G233" s="111">
        <v>1466.37</v>
      </c>
      <c r="H233" s="112" t="s">
        <v>2036</v>
      </c>
      <c r="I233" s="40"/>
      <c r="J233" s="118"/>
      <c r="K233" s="109"/>
      <c r="L233" s="110"/>
      <c r="M233" s="40"/>
      <c r="N233" s="110"/>
      <c r="O233" s="109"/>
      <c r="P233" s="9"/>
      <c r="Q233" s="9"/>
      <c r="R233" s="40"/>
      <c r="S233" s="40"/>
      <c r="T233" s="113"/>
      <c r="U233" s="114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ht="35.25" customHeight="1">
      <c r="A234" s="40">
        <v>45028.0</v>
      </c>
      <c r="B234" s="109">
        <v>2687.0</v>
      </c>
      <c r="C234" s="109"/>
      <c r="D234" s="110" t="s">
        <v>2218</v>
      </c>
      <c r="E234" s="110" t="s">
        <v>2246</v>
      </c>
      <c r="F234" s="109">
        <v>5.0</v>
      </c>
      <c r="G234" s="111">
        <v>1087.16</v>
      </c>
      <c r="H234" s="112" t="s">
        <v>2036</v>
      </c>
      <c r="I234" s="40"/>
      <c r="J234" s="109"/>
      <c r="K234" s="109"/>
      <c r="L234" s="110"/>
      <c r="M234" s="40"/>
      <c r="N234" s="110"/>
      <c r="O234" s="109"/>
      <c r="P234" s="9"/>
      <c r="Q234" s="9"/>
      <c r="R234" s="40"/>
      <c r="S234" s="40"/>
      <c r="T234" s="113"/>
      <c r="U234" s="114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ht="35.25" customHeight="1">
      <c r="A235" s="40">
        <v>45028.0</v>
      </c>
      <c r="B235" s="109">
        <v>2688.0</v>
      </c>
      <c r="C235" s="109"/>
      <c r="D235" s="110" t="s">
        <v>1409</v>
      </c>
      <c r="E235" s="110" t="s">
        <v>2247</v>
      </c>
      <c r="F235" s="109">
        <v>1.0</v>
      </c>
      <c r="G235" s="111">
        <v>20282.04</v>
      </c>
      <c r="H235" s="112" t="s">
        <v>2036</v>
      </c>
      <c r="I235" s="40"/>
      <c r="J235" s="109"/>
      <c r="K235" s="109"/>
      <c r="L235" s="110"/>
      <c r="M235" s="40"/>
      <c r="N235" s="110"/>
      <c r="O235" s="109"/>
      <c r="P235" s="9"/>
      <c r="Q235" s="9"/>
      <c r="R235" s="40"/>
      <c r="S235" s="40"/>
      <c r="T235" s="113"/>
      <c r="U235" s="114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ht="35.25" customHeight="1">
      <c r="A236" s="40">
        <v>45030.0</v>
      </c>
      <c r="B236" s="109">
        <v>2689.0</v>
      </c>
      <c r="C236" s="109"/>
      <c r="D236" s="110" t="s">
        <v>44</v>
      </c>
      <c r="E236" s="110" t="s">
        <v>2248</v>
      </c>
      <c r="F236" s="109">
        <v>3.0</v>
      </c>
      <c r="G236" s="111">
        <v>4245.48</v>
      </c>
      <c r="H236" s="112" t="s">
        <v>2036</v>
      </c>
      <c r="I236" s="40"/>
      <c r="J236" s="109"/>
      <c r="K236" s="109"/>
      <c r="L236" s="110"/>
      <c r="M236" s="40"/>
      <c r="N236" s="110"/>
      <c r="O236" s="109"/>
      <c r="P236" s="9"/>
      <c r="Q236" s="9"/>
      <c r="R236" s="40"/>
      <c r="S236" s="40"/>
      <c r="T236" s="113"/>
      <c r="U236" s="114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ht="35.25" customHeight="1">
      <c r="A237" s="40">
        <v>45030.0</v>
      </c>
      <c r="B237" s="109">
        <v>2690.0</v>
      </c>
      <c r="C237" s="109"/>
      <c r="D237" s="110" t="s">
        <v>2249</v>
      </c>
      <c r="E237" s="110" t="s">
        <v>2250</v>
      </c>
      <c r="F237" s="109">
        <v>1.0</v>
      </c>
      <c r="G237" s="111">
        <v>3458.04</v>
      </c>
      <c r="H237" s="112" t="s">
        <v>2036</v>
      </c>
      <c r="I237" s="40"/>
      <c r="J237" s="109"/>
      <c r="K237" s="109"/>
      <c r="L237" s="110"/>
      <c r="M237" s="40"/>
      <c r="N237" s="110"/>
      <c r="O237" s="109"/>
      <c r="P237" s="9"/>
      <c r="Q237" s="9"/>
      <c r="R237" s="40"/>
      <c r="S237" s="40"/>
      <c r="T237" s="113"/>
      <c r="U237" s="114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ht="35.25" customHeight="1">
      <c r="A238" s="40">
        <v>45030.0</v>
      </c>
      <c r="B238" s="109">
        <v>2691.0</v>
      </c>
      <c r="C238" s="109"/>
      <c r="D238" s="110" t="s">
        <v>2251</v>
      </c>
      <c r="E238" s="110" t="s">
        <v>2252</v>
      </c>
      <c r="F238" s="109">
        <v>1.0</v>
      </c>
      <c r="G238" s="111">
        <v>66.81</v>
      </c>
      <c r="H238" s="112" t="str">
        <f t="shared" ref="H238:H240" si="9">IF($J238&lt;&gt;"","FATURADO",IF($K238&lt;&gt;"","GANHOU"," "))</f>
        <v>FATURADO</v>
      </c>
      <c r="I238" s="40">
        <v>45030.0</v>
      </c>
      <c r="J238" s="109">
        <v>2111.0</v>
      </c>
      <c r="K238" s="109"/>
      <c r="L238" s="110"/>
      <c r="M238" s="40"/>
      <c r="N238" s="110"/>
      <c r="O238" s="109"/>
      <c r="P238" s="9"/>
      <c r="Q238" s="9"/>
      <c r="R238" s="40"/>
      <c r="S238" s="40"/>
      <c r="T238" s="113"/>
      <c r="U238" s="114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ht="35.25" customHeight="1">
      <c r="A239" s="40">
        <v>45030.0</v>
      </c>
      <c r="B239" s="109">
        <v>2691.0</v>
      </c>
      <c r="C239" s="109"/>
      <c r="D239" s="110" t="s">
        <v>2251</v>
      </c>
      <c r="E239" s="110" t="s">
        <v>2253</v>
      </c>
      <c r="F239" s="109">
        <v>1.0</v>
      </c>
      <c r="G239" s="111">
        <v>58.05</v>
      </c>
      <c r="H239" s="112" t="str">
        <f t="shared" si="9"/>
        <v>FATURADO</v>
      </c>
      <c r="I239" s="40">
        <v>45030.0</v>
      </c>
      <c r="J239" s="109">
        <v>2111.0</v>
      </c>
      <c r="K239" s="109"/>
      <c r="L239" s="110"/>
      <c r="M239" s="40"/>
      <c r="N239" s="110"/>
      <c r="O239" s="109"/>
      <c r="P239" s="9"/>
      <c r="Q239" s="9"/>
      <c r="R239" s="40"/>
      <c r="S239" s="40"/>
      <c r="T239" s="113"/>
      <c r="U239" s="114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ht="35.25" customHeight="1">
      <c r="A240" s="40">
        <v>45030.0</v>
      </c>
      <c r="B240" s="109">
        <v>2691.0</v>
      </c>
      <c r="C240" s="109"/>
      <c r="D240" s="110" t="s">
        <v>2251</v>
      </c>
      <c r="E240" s="110" t="s">
        <v>2254</v>
      </c>
      <c r="F240" s="109">
        <v>1.0</v>
      </c>
      <c r="G240" s="111">
        <v>229.4</v>
      </c>
      <c r="H240" s="112" t="str">
        <f t="shared" si="9"/>
        <v>FATURADO</v>
      </c>
      <c r="I240" s="40">
        <v>45030.0</v>
      </c>
      <c r="J240" s="109">
        <v>2111.0</v>
      </c>
      <c r="K240" s="109"/>
      <c r="L240" s="110"/>
      <c r="M240" s="40"/>
      <c r="N240" s="110"/>
      <c r="O240" s="109"/>
      <c r="P240" s="9"/>
      <c r="Q240" s="9"/>
      <c r="R240" s="40"/>
      <c r="S240" s="40"/>
      <c r="T240" s="113"/>
      <c r="U240" s="114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ht="35.25" customHeight="1">
      <c r="A241" s="40">
        <v>45036.0</v>
      </c>
      <c r="B241" s="109">
        <v>2699.0</v>
      </c>
      <c r="C241" s="109"/>
      <c r="D241" s="110" t="s">
        <v>44</v>
      </c>
      <c r="E241" s="110" t="s">
        <v>2255</v>
      </c>
      <c r="F241" s="109">
        <v>1.0</v>
      </c>
      <c r="G241" s="111">
        <v>1622.35</v>
      </c>
      <c r="H241" s="112" t="s">
        <v>2036</v>
      </c>
      <c r="I241" s="40"/>
      <c r="J241" s="109"/>
      <c r="K241" s="109"/>
      <c r="L241" s="110"/>
      <c r="M241" s="40"/>
      <c r="N241" s="110"/>
      <c r="O241" s="109"/>
      <c r="P241" s="9"/>
      <c r="Q241" s="9"/>
      <c r="R241" s="40"/>
      <c r="S241" s="40"/>
      <c r="T241" s="113"/>
      <c r="U241" s="114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ht="35.25" customHeight="1">
      <c r="A242" s="40">
        <v>45036.0</v>
      </c>
      <c r="B242" s="109">
        <v>2700.0</v>
      </c>
      <c r="C242" s="109"/>
      <c r="D242" s="110" t="s">
        <v>44</v>
      </c>
      <c r="E242" s="110" t="s">
        <v>2256</v>
      </c>
      <c r="F242" s="109">
        <v>15.0</v>
      </c>
      <c r="G242" s="111">
        <v>67859.09</v>
      </c>
      <c r="H242" s="112" t="s">
        <v>2036</v>
      </c>
      <c r="I242" s="40"/>
      <c r="J242" s="109"/>
      <c r="K242" s="109"/>
      <c r="L242" s="110"/>
      <c r="M242" s="40"/>
      <c r="N242" s="110"/>
      <c r="O242" s="109"/>
      <c r="P242" s="9"/>
      <c r="Q242" s="9"/>
      <c r="R242" s="40"/>
      <c r="S242" s="40"/>
      <c r="T242" s="113"/>
      <c r="U242" s="114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ht="35.25" customHeight="1">
      <c r="A243" s="40">
        <v>45036.0</v>
      </c>
      <c r="B243" s="109">
        <v>2701.0</v>
      </c>
      <c r="C243" s="109"/>
      <c r="D243" s="110" t="s">
        <v>44</v>
      </c>
      <c r="E243" s="110" t="s">
        <v>2257</v>
      </c>
      <c r="F243" s="109">
        <v>1.0</v>
      </c>
      <c r="G243" s="111">
        <v>6420.79</v>
      </c>
      <c r="H243" s="112" t="s">
        <v>2036</v>
      </c>
      <c r="I243" s="40"/>
      <c r="J243" s="109"/>
      <c r="K243" s="109"/>
      <c r="L243" s="110"/>
      <c r="M243" s="40"/>
      <c r="N243" s="110"/>
      <c r="O243" s="109"/>
      <c r="P243" s="9"/>
      <c r="Q243" s="9"/>
      <c r="R243" s="40"/>
      <c r="S243" s="40"/>
      <c r="T243" s="113"/>
      <c r="U243" s="114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ht="35.25" customHeight="1">
      <c r="A244" s="40">
        <v>45036.0</v>
      </c>
      <c r="B244" s="109">
        <v>2701.0</v>
      </c>
      <c r="C244" s="109"/>
      <c r="D244" s="110" t="s">
        <v>44</v>
      </c>
      <c r="E244" s="110" t="s">
        <v>2258</v>
      </c>
      <c r="F244" s="109">
        <v>2.0</v>
      </c>
      <c r="G244" s="111">
        <v>30382.36</v>
      </c>
      <c r="H244" s="112" t="s">
        <v>2036</v>
      </c>
      <c r="I244" s="40"/>
      <c r="J244" s="109"/>
      <c r="K244" s="109"/>
      <c r="L244" s="110"/>
      <c r="M244" s="40"/>
      <c r="N244" s="110"/>
      <c r="O244" s="109"/>
      <c r="P244" s="9"/>
      <c r="Q244" s="9"/>
      <c r="R244" s="40"/>
      <c r="S244" s="40"/>
      <c r="T244" s="113"/>
      <c r="U244" s="114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ht="35.25" customHeight="1">
      <c r="A245" s="40">
        <v>45036.0</v>
      </c>
      <c r="B245" s="109">
        <v>2702.0</v>
      </c>
      <c r="C245" s="109"/>
      <c r="D245" s="110" t="s">
        <v>44</v>
      </c>
      <c r="E245" s="110" t="s">
        <v>2259</v>
      </c>
      <c r="F245" s="109">
        <v>51.0</v>
      </c>
      <c r="G245" s="111">
        <v>3448.88</v>
      </c>
      <c r="H245" s="112" t="str">
        <f>IF($J245&lt;&gt;"","FATURADO",IF($K245&lt;&gt;"","GANHOU"," "))</f>
        <v>GANHOU</v>
      </c>
      <c r="I245" s="40"/>
      <c r="J245" s="109"/>
      <c r="K245" s="109">
        <v>4.501729133E9</v>
      </c>
      <c r="L245" s="110"/>
      <c r="M245" s="40"/>
      <c r="N245" s="110"/>
      <c r="O245" s="109"/>
      <c r="P245" s="9"/>
      <c r="Q245" s="9"/>
      <c r="R245" s="40"/>
      <c r="S245" s="40"/>
      <c r="T245" s="113"/>
      <c r="U245" s="114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ht="35.25" customHeight="1">
      <c r="A246" s="40">
        <v>45036.0</v>
      </c>
      <c r="B246" s="109">
        <v>2703.0</v>
      </c>
      <c r="C246" s="109"/>
      <c r="D246" s="110" t="s">
        <v>77</v>
      </c>
      <c r="E246" s="110" t="s">
        <v>2259</v>
      </c>
      <c r="F246" s="109">
        <v>51.0</v>
      </c>
      <c r="G246" s="111">
        <v>3220.87</v>
      </c>
      <c r="H246" s="112" t="s">
        <v>2036</v>
      </c>
      <c r="I246" s="40"/>
      <c r="J246" s="109"/>
      <c r="K246" s="109"/>
      <c r="L246" s="110"/>
      <c r="M246" s="40"/>
      <c r="N246" s="110"/>
      <c r="O246" s="109"/>
      <c r="P246" s="9"/>
      <c r="Q246" s="9"/>
      <c r="R246" s="40"/>
      <c r="S246" s="40"/>
      <c r="T246" s="113"/>
      <c r="U246" s="114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ht="35.25" customHeight="1">
      <c r="A247" s="40">
        <v>45040.0</v>
      </c>
      <c r="B247" s="109">
        <v>2704.0</v>
      </c>
      <c r="C247" s="109"/>
      <c r="D247" s="110" t="s">
        <v>44</v>
      </c>
      <c r="E247" s="110" t="s">
        <v>67</v>
      </c>
      <c r="F247" s="109" t="s">
        <v>165</v>
      </c>
      <c r="G247" s="111">
        <v>30929.73</v>
      </c>
      <c r="H247" s="112" t="s">
        <v>2036</v>
      </c>
      <c r="I247" s="40"/>
      <c r="J247" s="109"/>
      <c r="K247" s="109"/>
      <c r="L247" s="110"/>
      <c r="M247" s="40"/>
      <c r="N247" s="110"/>
      <c r="O247" s="109"/>
      <c r="P247" s="9"/>
      <c r="Q247" s="9"/>
      <c r="R247" s="40"/>
      <c r="S247" s="40"/>
      <c r="T247" s="113"/>
      <c r="U247" s="114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ht="35.25" customHeight="1">
      <c r="A248" s="40">
        <v>45040.0</v>
      </c>
      <c r="B248" s="109">
        <v>2705.0</v>
      </c>
      <c r="C248" s="109"/>
      <c r="D248" s="110" t="s">
        <v>188</v>
      </c>
      <c r="E248" s="110" t="s">
        <v>2260</v>
      </c>
      <c r="F248" s="109">
        <v>30.0</v>
      </c>
      <c r="G248" s="129">
        <v>327.0</v>
      </c>
      <c r="H248" s="112" t="str">
        <f>IF($J248&lt;&gt;"","FATURADO",IF($K248&lt;&gt;"","GANHOU"," "))</f>
        <v>FATURADO</v>
      </c>
      <c r="I248" s="40">
        <v>45090.0</v>
      </c>
      <c r="J248" s="109">
        <v>2168.0</v>
      </c>
      <c r="K248" s="109">
        <v>4.40060014E9</v>
      </c>
      <c r="L248" s="110"/>
      <c r="M248" s="40"/>
      <c r="N248" s="110"/>
      <c r="O248" s="109"/>
      <c r="P248" s="9"/>
      <c r="Q248" s="9"/>
      <c r="R248" s="40"/>
      <c r="S248" s="40"/>
      <c r="T248" s="113"/>
      <c r="U248" s="114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ht="35.25" customHeight="1">
      <c r="A249" s="40">
        <v>45041.0</v>
      </c>
      <c r="B249" s="109">
        <v>2706.0</v>
      </c>
      <c r="C249" s="109"/>
      <c r="D249" s="110" t="s">
        <v>44</v>
      </c>
      <c r="E249" s="110" t="s">
        <v>2261</v>
      </c>
      <c r="F249" s="109">
        <v>3.0</v>
      </c>
      <c r="G249" s="129">
        <v>2427.36</v>
      </c>
      <c r="H249" s="112" t="s">
        <v>2036</v>
      </c>
      <c r="I249" s="40"/>
      <c r="J249" s="109"/>
      <c r="K249" s="109"/>
      <c r="L249" s="110"/>
      <c r="M249" s="40"/>
      <c r="N249" s="110"/>
      <c r="O249" s="109"/>
      <c r="P249" s="9"/>
      <c r="Q249" s="9"/>
      <c r="R249" s="40"/>
      <c r="S249" s="40"/>
      <c r="T249" s="113"/>
      <c r="U249" s="114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ht="35.25" customHeight="1">
      <c r="A250" s="40">
        <v>45042.0</v>
      </c>
      <c r="B250" s="109">
        <v>2707.0</v>
      </c>
      <c r="C250" s="109"/>
      <c r="D250" s="110" t="s">
        <v>77</v>
      </c>
      <c r="E250" s="110" t="s">
        <v>67</v>
      </c>
      <c r="F250" s="109" t="s">
        <v>165</v>
      </c>
      <c r="G250" s="129">
        <v>3955.91</v>
      </c>
      <c r="H250" s="112" t="s">
        <v>2036</v>
      </c>
      <c r="I250" s="40"/>
      <c r="J250" s="109"/>
      <c r="K250" s="109"/>
      <c r="L250" s="110"/>
      <c r="M250" s="40"/>
      <c r="N250" s="110"/>
      <c r="O250" s="109"/>
      <c r="P250" s="9"/>
      <c r="Q250" s="9"/>
      <c r="R250" s="40"/>
      <c r="S250" s="40"/>
      <c r="T250" s="113"/>
      <c r="U250" s="114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ht="35.25" customHeight="1">
      <c r="A251" s="40">
        <v>45042.0</v>
      </c>
      <c r="B251" s="109">
        <v>2708.0</v>
      </c>
      <c r="C251" s="109"/>
      <c r="D251" s="110" t="s">
        <v>44</v>
      </c>
      <c r="E251" s="110" t="s">
        <v>2262</v>
      </c>
      <c r="F251" s="109">
        <v>1.0</v>
      </c>
      <c r="G251" s="129">
        <v>2114.25</v>
      </c>
      <c r="H251" s="112" t="s">
        <v>2036</v>
      </c>
      <c r="I251" s="40"/>
      <c r="J251" s="109"/>
      <c r="K251" s="109"/>
      <c r="L251" s="110"/>
      <c r="M251" s="40"/>
      <c r="N251" s="110"/>
      <c r="O251" s="109"/>
      <c r="P251" s="9"/>
      <c r="Q251" s="9"/>
      <c r="R251" s="40"/>
      <c r="S251" s="40"/>
      <c r="T251" s="113"/>
      <c r="U251" s="114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ht="35.25" customHeight="1">
      <c r="A252" s="40">
        <v>45042.0</v>
      </c>
      <c r="B252" s="109">
        <v>2709.0</v>
      </c>
      <c r="C252" s="109"/>
      <c r="D252" s="110" t="s">
        <v>44</v>
      </c>
      <c r="E252" s="110" t="s">
        <v>2099</v>
      </c>
      <c r="F252" s="109">
        <v>1.0</v>
      </c>
      <c r="G252" s="129">
        <v>2889.43</v>
      </c>
      <c r="H252" s="112" t="s">
        <v>2036</v>
      </c>
      <c r="I252" s="40"/>
      <c r="J252" s="109"/>
      <c r="K252" s="109"/>
      <c r="L252" s="110"/>
      <c r="M252" s="40"/>
      <c r="N252" s="110"/>
      <c r="O252" s="109"/>
      <c r="P252" s="9"/>
      <c r="Q252" s="9"/>
      <c r="R252" s="40"/>
      <c r="S252" s="40"/>
      <c r="T252" s="113"/>
      <c r="U252" s="114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ht="35.25" customHeight="1">
      <c r="A253" s="40">
        <v>45042.0</v>
      </c>
      <c r="B253" s="109">
        <v>2710.0</v>
      </c>
      <c r="C253" s="109"/>
      <c r="D253" s="110" t="s">
        <v>44</v>
      </c>
      <c r="E253" s="110" t="s">
        <v>2261</v>
      </c>
      <c r="F253" s="109">
        <v>3.0</v>
      </c>
      <c r="G253" s="129">
        <v>2427.36</v>
      </c>
      <c r="H253" s="112" t="s">
        <v>2036</v>
      </c>
      <c r="I253" s="40"/>
      <c r="J253" s="109"/>
      <c r="K253" s="109"/>
      <c r="L253" s="110"/>
      <c r="M253" s="40"/>
      <c r="N253" s="110"/>
      <c r="O253" s="109"/>
      <c r="P253" s="9"/>
      <c r="Q253" s="9"/>
      <c r="R253" s="40"/>
      <c r="S253" s="40"/>
      <c r="T253" s="113"/>
      <c r="U253" s="114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ht="35.25" customHeight="1">
      <c r="A254" s="40">
        <v>45044.0</v>
      </c>
      <c r="B254" s="109">
        <v>2713.0</v>
      </c>
      <c r="C254" s="109"/>
      <c r="D254" s="110" t="s">
        <v>19</v>
      </c>
      <c r="E254" s="110" t="s">
        <v>2263</v>
      </c>
      <c r="F254" s="109">
        <v>100.0</v>
      </c>
      <c r="G254" s="129">
        <v>572.91</v>
      </c>
      <c r="H254" s="112" t="str">
        <f>IF($J254&lt;&gt;"","FATURADO",IF($K254&lt;&gt;"","GANHOU"," "))</f>
        <v>FATURADO</v>
      </c>
      <c r="I254" s="40">
        <v>44967.0</v>
      </c>
      <c r="J254" s="109">
        <v>2129.0</v>
      </c>
      <c r="K254" s="109">
        <v>4.500433544E9</v>
      </c>
      <c r="L254" s="110"/>
      <c r="M254" s="40"/>
      <c r="N254" s="110"/>
      <c r="O254" s="109"/>
      <c r="P254" s="9"/>
      <c r="Q254" s="9"/>
      <c r="R254" s="40"/>
      <c r="S254" s="40"/>
      <c r="T254" s="113"/>
      <c r="U254" s="114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ht="35.25" customHeight="1">
      <c r="A255" s="40">
        <v>45044.0</v>
      </c>
      <c r="B255" s="109">
        <v>2714.0</v>
      </c>
      <c r="C255" s="109"/>
      <c r="D255" s="110" t="s">
        <v>44</v>
      </c>
      <c r="E255" s="110" t="s">
        <v>2264</v>
      </c>
      <c r="F255" s="109">
        <v>100.0</v>
      </c>
      <c r="G255" s="129">
        <v>1343.39</v>
      </c>
      <c r="H255" s="112" t="s">
        <v>2036</v>
      </c>
      <c r="I255" s="40"/>
      <c r="J255" s="109"/>
      <c r="K255" s="109"/>
      <c r="L255" s="110"/>
      <c r="M255" s="40"/>
      <c r="N255" s="110"/>
      <c r="O255" s="109"/>
      <c r="P255" s="9"/>
      <c r="Q255" s="9"/>
      <c r="R255" s="40"/>
      <c r="S255" s="40"/>
      <c r="T255" s="113"/>
      <c r="U255" s="114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ht="35.25" customHeight="1">
      <c r="A256" s="40">
        <v>45044.0</v>
      </c>
      <c r="B256" s="109">
        <v>2714.0</v>
      </c>
      <c r="C256" s="109"/>
      <c r="D256" s="110" t="s">
        <v>44</v>
      </c>
      <c r="E256" s="110" t="s">
        <v>2265</v>
      </c>
      <c r="F256" s="109">
        <v>100.0</v>
      </c>
      <c r="G256" s="129">
        <v>2878.44</v>
      </c>
      <c r="H256" s="112" t="s">
        <v>2036</v>
      </c>
      <c r="I256" s="40"/>
      <c r="J256" s="109"/>
      <c r="K256" s="109"/>
      <c r="L256" s="110"/>
      <c r="M256" s="40"/>
      <c r="N256" s="110"/>
      <c r="O256" s="109"/>
      <c r="P256" s="9"/>
      <c r="Q256" s="9"/>
      <c r="R256" s="40"/>
      <c r="S256" s="40"/>
      <c r="T256" s="113"/>
      <c r="U256" s="114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ht="35.25" customHeight="1">
      <c r="A257" s="40">
        <v>45044.0</v>
      </c>
      <c r="B257" s="109">
        <v>2714.0</v>
      </c>
      <c r="C257" s="109"/>
      <c r="D257" s="110" t="s">
        <v>44</v>
      </c>
      <c r="E257" s="110" t="s">
        <v>2043</v>
      </c>
      <c r="F257" s="109">
        <v>50.0</v>
      </c>
      <c r="G257" s="129">
        <v>1667.26</v>
      </c>
      <c r="H257" s="112" t="s">
        <v>2036</v>
      </c>
      <c r="I257" s="40"/>
      <c r="J257" s="109"/>
      <c r="K257" s="109"/>
      <c r="L257" s="110"/>
      <c r="M257" s="40"/>
      <c r="N257" s="110"/>
      <c r="O257" s="109"/>
      <c r="P257" s="9"/>
      <c r="Q257" s="9"/>
      <c r="R257" s="40"/>
      <c r="S257" s="40"/>
      <c r="T257" s="113"/>
      <c r="U257" s="114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ht="35.25" customHeight="1">
      <c r="A258" s="40">
        <v>45044.0</v>
      </c>
      <c r="B258" s="109">
        <v>2715.0</v>
      </c>
      <c r="C258" s="109"/>
      <c r="D258" s="110" t="s">
        <v>2266</v>
      </c>
      <c r="E258" s="110" t="s">
        <v>2267</v>
      </c>
      <c r="F258" s="109">
        <v>1.0</v>
      </c>
      <c r="G258" s="111">
        <v>19994.34</v>
      </c>
      <c r="H258" s="112" t="s">
        <v>2036</v>
      </c>
      <c r="I258" s="40"/>
      <c r="J258" s="109"/>
      <c r="K258" s="109"/>
      <c r="L258" s="110"/>
      <c r="M258" s="40"/>
      <c r="N258" s="110"/>
      <c r="O258" s="109"/>
      <c r="P258" s="9"/>
      <c r="Q258" s="9"/>
      <c r="R258" s="40"/>
      <c r="S258" s="40"/>
      <c r="T258" s="113"/>
      <c r="U258" s="114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ht="35.25" customHeight="1">
      <c r="A259" s="40">
        <v>45044.0</v>
      </c>
      <c r="B259" s="109">
        <v>2715.0</v>
      </c>
      <c r="C259" s="109"/>
      <c r="D259" s="110" t="s">
        <v>2266</v>
      </c>
      <c r="E259" s="110" t="s">
        <v>2268</v>
      </c>
      <c r="F259" s="109">
        <v>1.0</v>
      </c>
      <c r="G259" s="111">
        <v>3645.79</v>
      </c>
      <c r="H259" s="112" t="s">
        <v>2036</v>
      </c>
      <c r="I259" s="40"/>
      <c r="J259" s="109"/>
      <c r="K259" s="109"/>
      <c r="L259" s="110"/>
      <c r="M259" s="40"/>
      <c r="N259" s="110"/>
      <c r="O259" s="109"/>
      <c r="P259" s="9"/>
      <c r="Q259" s="9"/>
      <c r="R259" s="40"/>
      <c r="S259" s="40"/>
      <c r="T259" s="113"/>
      <c r="U259" s="114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ht="35.25" customHeight="1">
      <c r="A260" s="40">
        <v>45044.0</v>
      </c>
      <c r="B260" s="109">
        <v>2715.0</v>
      </c>
      <c r="C260" s="109"/>
      <c r="D260" s="110" t="s">
        <v>2266</v>
      </c>
      <c r="E260" s="110" t="s">
        <v>2269</v>
      </c>
      <c r="F260" s="109">
        <v>1.0</v>
      </c>
      <c r="G260" s="111">
        <v>0.0</v>
      </c>
      <c r="H260" s="112" t="s">
        <v>2036</v>
      </c>
      <c r="I260" s="40"/>
      <c r="J260" s="109"/>
      <c r="K260" s="109"/>
      <c r="L260" s="110"/>
      <c r="M260" s="40"/>
      <c r="N260" s="110"/>
      <c r="O260" s="109"/>
      <c r="P260" s="9"/>
      <c r="Q260" s="9"/>
      <c r="R260" s="40"/>
      <c r="S260" s="40"/>
      <c r="T260" s="113"/>
      <c r="U260" s="114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ht="35.25" customHeight="1">
      <c r="A261" s="40">
        <v>45044.0</v>
      </c>
      <c r="B261" s="109">
        <v>2715.0</v>
      </c>
      <c r="C261" s="109"/>
      <c r="D261" s="110" t="s">
        <v>2266</v>
      </c>
      <c r="E261" s="110" t="s">
        <v>2270</v>
      </c>
      <c r="F261" s="109">
        <v>1.0</v>
      </c>
      <c r="G261" s="111">
        <v>0.0</v>
      </c>
      <c r="H261" s="112" t="s">
        <v>2036</v>
      </c>
      <c r="I261" s="40"/>
      <c r="J261" s="109"/>
      <c r="K261" s="109"/>
      <c r="L261" s="110"/>
      <c r="M261" s="40"/>
      <c r="N261" s="110"/>
      <c r="O261" s="109"/>
      <c r="P261" s="9"/>
      <c r="Q261" s="9"/>
      <c r="R261" s="40"/>
      <c r="S261" s="40"/>
      <c r="T261" s="113"/>
      <c r="U261" s="114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ht="35.25" customHeight="1">
      <c r="A262" s="40">
        <v>45044.0</v>
      </c>
      <c r="B262" s="109">
        <v>2715.0</v>
      </c>
      <c r="C262" s="109"/>
      <c r="D262" s="110" t="s">
        <v>2266</v>
      </c>
      <c r="E262" s="110" t="s">
        <v>2271</v>
      </c>
      <c r="F262" s="109">
        <v>1.0</v>
      </c>
      <c r="G262" s="111">
        <v>4360.98</v>
      </c>
      <c r="H262" s="112" t="s">
        <v>2036</v>
      </c>
      <c r="I262" s="40"/>
      <c r="J262" s="109"/>
      <c r="K262" s="109"/>
      <c r="L262" s="110"/>
      <c r="M262" s="40"/>
      <c r="N262" s="110"/>
      <c r="O262" s="109"/>
      <c r="P262" s="9"/>
      <c r="Q262" s="9"/>
      <c r="R262" s="40"/>
      <c r="S262" s="40"/>
      <c r="T262" s="113"/>
      <c r="U262" s="114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ht="35.25" customHeight="1">
      <c r="A263" s="40">
        <v>45044.0</v>
      </c>
      <c r="B263" s="109">
        <v>2716.0</v>
      </c>
      <c r="C263" s="109"/>
      <c r="D263" s="110" t="s">
        <v>2272</v>
      </c>
      <c r="E263" s="110" t="s">
        <v>2273</v>
      </c>
      <c r="F263" s="109">
        <v>1.0</v>
      </c>
      <c r="G263" s="111">
        <v>0.0</v>
      </c>
      <c r="H263" s="112" t="s">
        <v>2036</v>
      </c>
      <c r="I263" s="40"/>
      <c r="J263" s="109"/>
      <c r="K263" s="109"/>
      <c r="L263" s="110"/>
      <c r="M263" s="40"/>
      <c r="N263" s="110"/>
      <c r="O263" s="109"/>
      <c r="P263" s="9"/>
      <c r="Q263" s="9"/>
      <c r="R263" s="40"/>
      <c r="S263" s="40"/>
      <c r="T263" s="113"/>
      <c r="U263" s="114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ht="35.25" customHeight="1">
      <c r="A264" s="40">
        <v>45048.0</v>
      </c>
      <c r="B264" s="109">
        <v>2717.0</v>
      </c>
      <c r="C264" s="109"/>
      <c r="D264" s="110" t="s">
        <v>188</v>
      </c>
      <c r="E264" s="110" t="s">
        <v>2274</v>
      </c>
      <c r="F264" s="109">
        <v>1.0</v>
      </c>
      <c r="G264" s="111">
        <v>470.69</v>
      </c>
      <c r="H264" s="112" t="s">
        <v>2036</v>
      </c>
      <c r="I264" s="40"/>
      <c r="J264" s="109"/>
      <c r="K264" s="109"/>
      <c r="L264" s="110"/>
      <c r="M264" s="40"/>
      <c r="N264" s="110"/>
      <c r="O264" s="109"/>
      <c r="P264" s="9"/>
      <c r="Q264" s="9"/>
      <c r="R264" s="40"/>
      <c r="S264" s="40"/>
      <c r="T264" s="113"/>
      <c r="U264" s="114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ht="35.25" customHeight="1">
      <c r="A265" s="40">
        <v>45048.0</v>
      </c>
      <c r="B265" s="109">
        <v>2718.0</v>
      </c>
      <c r="C265" s="109"/>
      <c r="D265" s="110" t="s">
        <v>188</v>
      </c>
      <c r="E265" s="110" t="s">
        <v>2138</v>
      </c>
      <c r="F265" s="109">
        <v>1.0</v>
      </c>
      <c r="G265" s="111">
        <v>19.5</v>
      </c>
      <c r="H265" s="112" t="s">
        <v>2036</v>
      </c>
      <c r="I265" s="40"/>
      <c r="J265" s="109"/>
      <c r="K265" s="109"/>
      <c r="L265" s="110"/>
      <c r="M265" s="40"/>
      <c r="N265" s="110"/>
      <c r="O265" s="109"/>
      <c r="P265" s="9"/>
      <c r="Q265" s="9"/>
      <c r="R265" s="40"/>
      <c r="S265" s="40"/>
      <c r="T265" s="113"/>
      <c r="U265" s="114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ht="35.25" customHeight="1">
      <c r="A266" s="40">
        <v>45048.0</v>
      </c>
      <c r="B266" s="109">
        <v>2719.0</v>
      </c>
      <c r="C266" s="109"/>
      <c r="D266" s="110" t="s">
        <v>19</v>
      </c>
      <c r="E266" s="110" t="s">
        <v>2275</v>
      </c>
      <c r="F266" s="109">
        <v>10.0</v>
      </c>
      <c r="G266" s="129">
        <v>269.0</v>
      </c>
      <c r="H266" s="112" t="str">
        <f t="shared" ref="H266:H267" si="10">IF($J266&lt;&gt;"","FATURADO",IF($K266&lt;&gt;"","GANHOU"," "))</f>
        <v>FATURADO</v>
      </c>
      <c r="I266" s="40">
        <v>45048.0</v>
      </c>
      <c r="J266" s="109">
        <v>2161.0</v>
      </c>
      <c r="K266" s="109">
        <v>4.500433814E9</v>
      </c>
      <c r="L266" s="110"/>
      <c r="M266" s="40"/>
      <c r="N266" s="110"/>
      <c r="O266" s="109"/>
      <c r="P266" s="9"/>
      <c r="Q266" s="9"/>
      <c r="R266" s="40"/>
      <c r="S266" s="40"/>
      <c r="T266" s="113"/>
      <c r="U266" s="114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ht="35.25" customHeight="1">
      <c r="A267" s="40">
        <v>45048.0</v>
      </c>
      <c r="B267" s="109">
        <v>2720.0</v>
      </c>
      <c r="C267" s="109"/>
      <c r="D267" s="110" t="s">
        <v>2054</v>
      </c>
      <c r="E267" s="110" t="s">
        <v>2276</v>
      </c>
      <c r="F267" s="109">
        <v>1.0</v>
      </c>
      <c r="G267" s="111">
        <v>9603.47</v>
      </c>
      <c r="H267" s="112" t="str">
        <f t="shared" si="10"/>
        <v>FATURADO</v>
      </c>
      <c r="I267" s="40">
        <v>45048.0</v>
      </c>
      <c r="J267" s="109">
        <v>2119.0</v>
      </c>
      <c r="K267" s="109">
        <v>4.50265345E9</v>
      </c>
      <c r="L267" s="110"/>
      <c r="M267" s="40"/>
      <c r="N267" s="110"/>
      <c r="O267" s="109"/>
      <c r="P267" s="9"/>
      <c r="Q267" s="9"/>
      <c r="R267" s="40"/>
      <c r="S267" s="40"/>
      <c r="T267" s="113"/>
      <c r="U267" s="114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ht="35.25" customHeight="1">
      <c r="A268" s="40">
        <v>45049.0</v>
      </c>
      <c r="B268" s="109">
        <v>2721.0</v>
      </c>
      <c r="C268" s="109"/>
      <c r="D268" s="110" t="s">
        <v>44</v>
      </c>
      <c r="E268" s="110" t="s">
        <v>1094</v>
      </c>
      <c r="F268" s="109">
        <v>10.0</v>
      </c>
      <c r="G268" s="111">
        <v>1500.0</v>
      </c>
      <c r="H268" s="112" t="s">
        <v>2036</v>
      </c>
      <c r="I268" s="40"/>
      <c r="J268" s="109"/>
      <c r="K268" s="109"/>
      <c r="L268" s="110"/>
      <c r="M268" s="40"/>
      <c r="N268" s="110"/>
      <c r="O268" s="109"/>
      <c r="P268" s="9"/>
      <c r="Q268" s="9"/>
      <c r="R268" s="40"/>
      <c r="S268" s="40"/>
      <c r="T268" s="113"/>
      <c r="U268" s="114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ht="35.25" customHeight="1">
      <c r="A269" s="40">
        <v>45049.0</v>
      </c>
      <c r="B269" s="109">
        <v>2721.0</v>
      </c>
      <c r="C269" s="109"/>
      <c r="D269" s="110" t="s">
        <v>44</v>
      </c>
      <c r="E269" s="110" t="s">
        <v>2277</v>
      </c>
      <c r="F269" s="109">
        <v>10.0</v>
      </c>
      <c r="G269" s="111">
        <v>1000.0</v>
      </c>
      <c r="H269" s="112" t="s">
        <v>2036</v>
      </c>
      <c r="I269" s="40"/>
      <c r="J269" s="109"/>
      <c r="K269" s="109"/>
      <c r="L269" s="110"/>
      <c r="M269" s="40"/>
      <c r="N269" s="110"/>
      <c r="O269" s="109"/>
      <c r="P269" s="9"/>
      <c r="Q269" s="9"/>
      <c r="R269" s="40"/>
      <c r="S269" s="40"/>
      <c r="T269" s="113"/>
      <c r="U269" s="114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ht="35.25" customHeight="1">
      <c r="A270" s="40">
        <v>45049.0</v>
      </c>
      <c r="B270" s="109">
        <v>2721.0</v>
      </c>
      <c r="C270" s="109"/>
      <c r="D270" s="110" t="s">
        <v>44</v>
      </c>
      <c r="E270" s="110" t="s">
        <v>2278</v>
      </c>
      <c r="F270" s="109">
        <v>2.0</v>
      </c>
      <c r="G270" s="111">
        <v>1700.0</v>
      </c>
      <c r="H270" s="112" t="s">
        <v>2036</v>
      </c>
      <c r="I270" s="40"/>
      <c r="J270" s="109"/>
      <c r="K270" s="109"/>
      <c r="L270" s="110"/>
      <c r="M270" s="40"/>
      <c r="N270" s="110"/>
      <c r="O270" s="109"/>
      <c r="P270" s="9"/>
      <c r="Q270" s="9"/>
      <c r="R270" s="40"/>
      <c r="S270" s="40"/>
      <c r="T270" s="113"/>
      <c r="U270" s="114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ht="35.25" customHeight="1">
      <c r="A271" s="40">
        <v>45049.0</v>
      </c>
      <c r="B271" s="109">
        <v>2721.0</v>
      </c>
      <c r="C271" s="109"/>
      <c r="D271" s="110" t="s">
        <v>44</v>
      </c>
      <c r="E271" s="110" t="s">
        <v>2279</v>
      </c>
      <c r="F271" s="109">
        <v>1.0</v>
      </c>
      <c r="G271" s="111">
        <v>327.96</v>
      </c>
      <c r="H271" s="112" t="s">
        <v>2036</v>
      </c>
      <c r="I271" s="40"/>
      <c r="J271" s="109"/>
      <c r="K271" s="109"/>
      <c r="L271" s="110"/>
      <c r="M271" s="40"/>
      <c r="N271" s="110"/>
      <c r="O271" s="109"/>
      <c r="P271" s="9"/>
      <c r="Q271" s="9"/>
      <c r="R271" s="40"/>
      <c r="S271" s="40"/>
      <c r="T271" s="113"/>
      <c r="U271" s="114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ht="35.25" customHeight="1">
      <c r="A272" s="40">
        <v>45049.0</v>
      </c>
      <c r="B272" s="109">
        <v>2721.0</v>
      </c>
      <c r="C272" s="109"/>
      <c r="D272" s="110" t="s">
        <v>44</v>
      </c>
      <c r="E272" s="110" t="s">
        <v>2280</v>
      </c>
      <c r="F272" s="109">
        <v>1.0</v>
      </c>
      <c r="G272" s="111">
        <v>327.96</v>
      </c>
      <c r="H272" s="112" t="s">
        <v>2036</v>
      </c>
      <c r="I272" s="40"/>
      <c r="J272" s="109"/>
      <c r="K272" s="109"/>
      <c r="L272" s="110"/>
      <c r="M272" s="40"/>
      <c r="N272" s="110"/>
      <c r="O272" s="109"/>
      <c r="P272" s="9"/>
      <c r="Q272" s="9"/>
      <c r="R272" s="40"/>
      <c r="S272" s="40"/>
      <c r="T272" s="113"/>
      <c r="U272" s="114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ht="35.25" customHeight="1">
      <c r="A273" s="40">
        <v>45049.0</v>
      </c>
      <c r="B273" s="109">
        <v>2722.0</v>
      </c>
      <c r="C273" s="109"/>
      <c r="D273" s="110" t="s">
        <v>2281</v>
      </c>
      <c r="E273" s="110" t="s">
        <v>2282</v>
      </c>
      <c r="F273" s="109">
        <v>1985.0</v>
      </c>
      <c r="G273" s="111">
        <v>415817.8</v>
      </c>
      <c r="H273" s="112" t="s">
        <v>2036</v>
      </c>
      <c r="I273" s="40"/>
      <c r="J273" s="109"/>
      <c r="K273" s="109"/>
      <c r="L273" s="110"/>
      <c r="M273" s="40"/>
      <c r="N273" s="110"/>
      <c r="O273" s="109"/>
      <c r="P273" s="9"/>
      <c r="Q273" s="9"/>
      <c r="R273" s="40"/>
      <c r="S273" s="40"/>
      <c r="T273" s="113"/>
      <c r="U273" s="114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ht="35.25" customHeight="1">
      <c r="A274" s="40">
        <v>45051.0</v>
      </c>
      <c r="B274" s="109">
        <v>2724.0</v>
      </c>
      <c r="C274" s="109"/>
      <c r="D274" s="110" t="s">
        <v>1041</v>
      </c>
      <c r="E274" s="110" t="s">
        <v>2283</v>
      </c>
      <c r="F274" s="109">
        <v>60.0</v>
      </c>
      <c r="G274" s="111">
        <v>6759.6</v>
      </c>
      <c r="H274" s="112" t="s">
        <v>2036</v>
      </c>
      <c r="I274" s="40"/>
      <c r="J274" s="109"/>
      <c r="K274" s="109"/>
      <c r="L274" s="110"/>
      <c r="M274" s="40"/>
      <c r="N274" s="110"/>
      <c r="O274" s="109"/>
      <c r="P274" s="9"/>
      <c r="Q274" s="9"/>
      <c r="R274" s="40"/>
      <c r="S274" s="40"/>
      <c r="T274" s="113"/>
      <c r="U274" s="114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ht="35.25" customHeight="1">
      <c r="A275" s="40">
        <v>45054.0</v>
      </c>
      <c r="B275" s="109">
        <v>2725.0</v>
      </c>
      <c r="C275" s="109"/>
      <c r="D275" s="110" t="s">
        <v>77</v>
      </c>
      <c r="E275" s="110" t="s">
        <v>2085</v>
      </c>
      <c r="F275" s="109">
        <v>2.0</v>
      </c>
      <c r="G275" s="111">
        <v>3093.3</v>
      </c>
      <c r="H275" s="112" t="str">
        <f>IF($J275&lt;&gt;"","FATURADO",IF(E278&lt;&gt;"","GANHOU"," "))</f>
        <v>FATURADO</v>
      </c>
      <c r="I275" s="40">
        <v>45132.0</v>
      </c>
      <c r="J275" s="109">
        <v>2195.0</v>
      </c>
      <c r="K275" s="109">
        <v>173768.0</v>
      </c>
      <c r="L275" s="110"/>
      <c r="M275" s="40"/>
      <c r="N275" s="110"/>
      <c r="O275" s="109"/>
      <c r="P275" s="9"/>
      <c r="Q275" s="9"/>
      <c r="R275" s="40"/>
      <c r="S275" s="40"/>
      <c r="T275" s="113"/>
      <c r="U275" s="114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ht="35.25" customHeight="1">
      <c r="A276" s="40">
        <v>45054.0</v>
      </c>
      <c r="B276" s="109">
        <v>2726.0</v>
      </c>
      <c r="C276" s="109"/>
      <c r="D276" s="110" t="s">
        <v>2284</v>
      </c>
      <c r="E276" s="110" t="s">
        <v>2285</v>
      </c>
      <c r="F276" s="109">
        <v>10.0</v>
      </c>
      <c r="G276" s="111">
        <v>86470.5</v>
      </c>
      <c r="H276" s="112" t="s">
        <v>167</v>
      </c>
      <c r="I276" s="40"/>
      <c r="J276" s="109"/>
      <c r="K276" s="109">
        <v>173768.0</v>
      </c>
      <c r="L276" s="110"/>
      <c r="M276" s="40"/>
      <c r="N276" s="110"/>
      <c r="O276" s="109"/>
      <c r="P276" s="9"/>
      <c r="Q276" s="9"/>
      <c r="R276" s="40"/>
      <c r="S276" s="40"/>
      <c r="T276" s="113"/>
      <c r="U276" s="114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ht="35.25" customHeight="1">
      <c r="A277" s="40">
        <v>45055.0</v>
      </c>
      <c r="B277" s="109">
        <v>2730.0</v>
      </c>
      <c r="C277" s="109"/>
      <c r="D277" s="110" t="s">
        <v>2054</v>
      </c>
      <c r="E277" s="110" t="s">
        <v>2286</v>
      </c>
      <c r="F277" s="109">
        <v>40.0</v>
      </c>
      <c r="G277" s="111">
        <v>1384.4</v>
      </c>
      <c r="H277" s="112" t="s">
        <v>180</v>
      </c>
      <c r="I277" s="40">
        <v>45055.0</v>
      </c>
      <c r="J277" s="109">
        <v>2133.0</v>
      </c>
      <c r="K277" s="109">
        <v>4.502660612E9</v>
      </c>
      <c r="L277" s="110"/>
      <c r="M277" s="40"/>
      <c r="N277" s="110"/>
      <c r="O277" s="109"/>
      <c r="P277" s="9"/>
      <c r="Q277" s="9"/>
      <c r="R277" s="40"/>
      <c r="S277" s="40"/>
      <c r="T277" s="113"/>
      <c r="U277" s="114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ht="35.25" customHeight="1">
      <c r="A278" s="40">
        <v>45056.0</v>
      </c>
      <c r="B278" s="109">
        <v>2732.0</v>
      </c>
      <c r="C278" s="109"/>
      <c r="D278" s="110" t="s">
        <v>2054</v>
      </c>
      <c r="E278" s="110" t="s">
        <v>2287</v>
      </c>
      <c r="F278" s="109">
        <v>50.0</v>
      </c>
      <c r="G278" s="111">
        <v>2437.0</v>
      </c>
      <c r="H278" s="112" t="str">
        <f>IF($J278&lt;&gt;"","FATURADO",IF(E281&lt;&gt;"","GANHOU"," "))</f>
        <v>FATURADO</v>
      </c>
      <c r="I278" s="40">
        <v>45058.0</v>
      </c>
      <c r="J278" s="109">
        <v>2134.0</v>
      </c>
      <c r="K278" s="109">
        <v>4.502660362E9</v>
      </c>
      <c r="L278" s="110"/>
      <c r="M278" s="40"/>
      <c r="N278" s="110"/>
      <c r="O278" s="109"/>
      <c r="P278" s="9"/>
      <c r="Q278" s="9"/>
      <c r="R278" s="40"/>
      <c r="S278" s="40"/>
      <c r="T278" s="113"/>
      <c r="U278" s="114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ht="35.25" customHeight="1">
      <c r="A279" s="40">
        <v>45056.0</v>
      </c>
      <c r="B279" s="109">
        <v>2732.0</v>
      </c>
      <c r="C279" s="109"/>
      <c r="D279" s="110" t="s">
        <v>2054</v>
      </c>
      <c r="E279" s="110" t="s">
        <v>2288</v>
      </c>
      <c r="F279" s="109">
        <v>25.0</v>
      </c>
      <c r="G279" s="111">
        <v>1106.0</v>
      </c>
      <c r="H279" s="112" t="s">
        <v>180</v>
      </c>
      <c r="I279" s="40">
        <v>45058.0</v>
      </c>
      <c r="J279" s="109">
        <v>2134.0</v>
      </c>
      <c r="K279" s="109">
        <v>4.502660362E9</v>
      </c>
      <c r="L279" s="110"/>
      <c r="M279" s="40"/>
      <c r="N279" s="110"/>
      <c r="O279" s="109"/>
      <c r="P279" s="9"/>
      <c r="Q279" s="9"/>
      <c r="R279" s="40"/>
      <c r="S279" s="40"/>
      <c r="T279" s="113"/>
      <c r="U279" s="114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ht="35.25" customHeight="1">
      <c r="A280" s="40">
        <v>45056.0</v>
      </c>
      <c r="B280" s="109">
        <v>2732.0</v>
      </c>
      <c r="C280" s="109"/>
      <c r="D280" s="110" t="s">
        <v>2054</v>
      </c>
      <c r="E280" s="110" t="s">
        <v>2289</v>
      </c>
      <c r="F280" s="109">
        <v>50.0</v>
      </c>
      <c r="G280" s="111">
        <v>960.5</v>
      </c>
      <c r="H280" s="112" t="s">
        <v>180</v>
      </c>
      <c r="I280" s="40">
        <v>45056.0</v>
      </c>
      <c r="J280" s="109">
        <v>2134.0</v>
      </c>
      <c r="K280" s="109">
        <v>4.502660362E9</v>
      </c>
      <c r="L280" s="110"/>
      <c r="M280" s="40"/>
      <c r="N280" s="110"/>
      <c r="O280" s="109"/>
      <c r="P280" s="9"/>
      <c r="Q280" s="9"/>
      <c r="R280" s="40"/>
      <c r="S280" s="40"/>
      <c r="T280" s="113"/>
      <c r="U280" s="114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ht="35.25" customHeight="1">
      <c r="A281" s="40">
        <v>45056.0</v>
      </c>
      <c r="B281" s="109">
        <v>2732.0</v>
      </c>
      <c r="C281" s="109"/>
      <c r="D281" s="110" t="s">
        <v>2054</v>
      </c>
      <c r="E281" s="110" t="s">
        <v>2290</v>
      </c>
      <c r="F281" s="109">
        <v>90.0</v>
      </c>
      <c r="G281" s="111">
        <v>2394.0</v>
      </c>
      <c r="H281" s="112" t="s">
        <v>180</v>
      </c>
      <c r="I281" s="40">
        <v>45056.0</v>
      </c>
      <c r="J281" s="109">
        <v>2134.0</v>
      </c>
      <c r="K281" s="109">
        <v>4.502660362E9</v>
      </c>
      <c r="L281" s="110"/>
      <c r="M281" s="40"/>
      <c r="N281" s="110"/>
      <c r="O281" s="109"/>
      <c r="P281" s="9"/>
      <c r="Q281" s="9"/>
      <c r="R281" s="40"/>
      <c r="S281" s="40"/>
      <c r="T281" s="113"/>
      <c r="U281" s="114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ht="35.25" customHeight="1">
      <c r="A282" s="40">
        <v>45056.0</v>
      </c>
      <c r="B282" s="109">
        <v>2732.0</v>
      </c>
      <c r="C282" s="109"/>
      <c r="D282" s="110" t="s">
        <v>2054</v>
      </c>
      <c r="E282" s="110" t="s">
        <v>2291</v>
      </c>
      <c r="F282" s="109">
        <v>50.0</v>
      </c>
      <c r="G282" s="111">
        <v>1280.0</v>
      </c>
      <c r="H282" s="112" t="s">
        <v>180</v>
      </c>
      <c r="I282" s="40">
        <v>45056.0</v>
      </c>
      <c r="J282" s="109">
        <v>2134.0</v>
      </c>
      <c r="K282" s="109">
        <v>4.502660362E9</v>
      </c>
      <c r="L282" s="110"/>
      <c r="M282" s="40"/>
      <c r="N282" s="110"/>
      <c r="O282" s="109"/>
      <c r="P282" s="9"/>
      <c r="Q282" s="9"/>
      <c r="R282" s="40"/>
      <c r="S282" s="40"/>
      <c r="T282" s="113"/>
      <c r="U282" s="114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ht="35.25" customHeight="1">
      <c r="A283" s="40">
        <v>45056.0</v>
      </c>
      <c r="B283" s="109">
        <v>2733.0</v>
      </c>
      <c r="C283" s="109"/>
      <c r="D283" s="110" t="s">
        <v>75</v>
      </c>
      <c r="E283" s="110" t="s">
        <v>67</v>
      </c>
      <c r="F283" s="109">
        <v>1.0</v>
      </c>
      <c r="G283" s="111">
        <v>11709.06</v>
      </c>
      <c r="H283" s="112" t="s">
        <v>2036</v>
      </c>
      <c r="I283" s="40"/>
      <c r="J283" s="109"/>
      <c r="K283" s="109"/>
      <c r="L283" s="110"/>
      <c r="M283" s="40"/>
      <c r="N283" s="110"/>
      <c r="O283" s="109"/>
      <c r="P283" s="9"/>
      <c r="Q283" s="9"/>
      <c r="R283" s="40"/>
      <c r="S283" s="40"/>
      <c r="T283" s="113"/>
      <c r="U283" s="114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ht="35.25" customHeight="1">
      <c r="A284" s="40">
        <v>45056.0</v>
      </c>
      <c r="B284" s="109">
        <v>2734.0</v>
      </c>
      <c r="C284" s="109"/>
      <c r="D284" s="110" t="s">
        <v>790</v>
      </c>
      <c r="E284" s="110" t="s">
        <v>2292</v>
      </c>
      <c r="F284" s="109">
        <v>1.0</v>
      </c>
      <c r="G284" s="111">
        <v>0.0</v>
      </c>
      <c r="H284" s="112" t="s">
        <v>2036</v>
      </c>
      <c r="I284" s="40"/>
      <c r="J284" s="109"/>
      <c r="K284" s="109"/>
      <c r="L284" s="110"/>
      <c r="M284" s="40"/>
      <c r="N284" s="110"/>
      <c r="O284" s="109"/>
      <c r="P284" s="9"/>
      <c r="Q284" s="9"/>
      <c r="R284" s="40"/>
      <c r="S284" s="40"/>
      <c r="T284" s="113"/>
      <c r="U284" s="114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ht="35.25" customHeight="1">
      <c r="A285" s="40">
        <v>45056.0</v>
      </c>
      <c r="B285" s="109">
        <v>2735.0</v>
      </c>
      <c r="C285" s="109"/>
      <c r="D285" s="110" t="s">
        <v>44</v>
      </c>
      <c r="E285" s="110" t="s">
        <v>2201</v>
      </c>
      <c r="F285" s="109">
        <v>80.0</v>
      </c>
      <c r="G285" s="111">
        <v>260.26</v>
      </c>
      <c r="H285" s="112" t="s">
        <v>180</v>
      </c>
      <c r="I285" s="40">
        <v>45056.0</v>
      </c>
      <c r="J285" s="109">
        <v>2130.0</v>
      </c>
      <c r="K285" s="109">
        <v>4.501440489E9</v>
      </c>
      <c r="L285" s="110"/>
      <c r="M285" s="40"/>
      <c r="N285" s="110"/>
      <c r="O285" s="109"/>
      <c r="P285" s="9"/>
      <c r="Q285" s="9"/>
      <c r="R285" s="40"/>
      <c r="S285" s="40"/>
      <c r="T285" s="113"/>
      <c r="U285" s="114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ht="35.25" customHeight="1">
      <c r="A286" s="40">
        <v>45056.0</v>
      </c>
      <c r="B286" s="109">
        <v>2736.0</v>
      </c>
      <c r="C286" s="109"/>
      <c r="D286" s="110" t="s">
        <v>44</v>
      </c>
      <c r="E286" s="110" t="s">
        <v>2293</v>
      </c>
      <c r="F286" s="109">
        <v>1.0</v>
      </c>
      <c r="G286" s="111">
        <v>4250.6</v>
      </c>
      <c r="H286" s="112" t="s">
        <v>2036</v>
      </c>
      <c r="I286" s="40"/>
      <c r="J286" s="109"/>
      <c r="K286" s="109"/>
      <c r="L286" s="110"/>
      <c r="M286" s="40"/>
      <c r="N286" s="110"/>
      <c r="O286" s="109"/>
      <c r="P286" s="9"/>
      <c r="Q286" s="9"/>
      <c r="R286" s="40"/>
      <c r="S286" s="40"/>
      <c r="T286" s="113"/>
      <c r="U286" s="114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ht="35.25" customHeight="1">
      <c r="A287" s="40">
        <v>45056.0</v>
      </c>
      <c r="B287" s="109">
        <v>2737.0</v>
      </c>
      <c r="C287" s="109"/>
      <c r="D287" s="110" t="s">
        <v>44</v>
      </c>
      <c r="E287" s="110" t="s">
        <v>2294</v>
      </c>
      <c r="F287" s="109">
        <v>1.0</v>
      </c>
      <c r="G287" s="111">
        <v>5766.54</v>
      </c>
      <c r="H287" s="112" t="s">
        <v>2036</v>
      </c>
      <c r="I287" s="40"/>
      <c r="J287" s="109"/>
      <c r="K287" s="109"/>
      <c r="L287" s="110"/>
      <c r="M287" s="40"/>
      <c r="N287" s="110"/>
      <c r="O287" s="109"/>
      <c r="P287" s="9"/>
      <c r="Q287" s="9"/>
      <c r="R287" s="40"/>
      <c r="S287" s="40"/>
      <c r="T287" s="113"/>
      <c r="U287" s="114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ht="35.25" customHeight="1">
      <c r="A288" s="40">
        <v>45057.0</v>
      </c>
      <c r="B288" s="109">
        <v>2738.0</v>
      </c>
      <c r="C288" s="109"/>
      <c r="D288" s="110" t="s">
        <v>44</v>
      </c>
      <c r="E288" s="110" t="s">
        <v>2262</v>
      </c>
      <c r="F288" s="109">
        <v>3.0</v>
      </c>
      <c r="G288" s="111">
        <v>4056.72</v>
      </c>
      <c r="H288" s="112" t="s">
        <v>2036</v>
      </c>
      <c r="I288" s="40"/>
      <c r="J288" s="109"/>
      <c r="K288" s="109"/>
      <c r="L288" s="110"/>
      <c r="M288" s="40"/>
      <c r="N288" s="110"/>
      <c r="O288" s="109"/>
      <c r="P288" s="9"/>
      <c r="Q288" s="9"/>
      <c r="R288" s="40"/>
      <c r="S288" s="40"/>
      <c r="T288" s="113"/>
      <c r="U288" s="114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ht="35.25" customHeight="1">
      <c r="A289" s="40">
        <v>45057.0</v>
      </c>
      <c r="B289" s="109">
        <v>2739.0</v>
      </c>
      <c r="C289" s="109"/>
      <c r="D289" s="110" t="s">
        <v>123</v>
      </c>
      <c r="E289" s="110" t="s">
        <v>67</v>
      </c>
      <c r="F289" s="109" t="s">
        <v>165</v>
      </c>
      <c r="G289" s="111">
        <v>49500.25</v>
      </c>
      <c r="H289" s="112" t="s">
        <v>2036</v>
      </c>
      <c r="I289" s="40"/>
      <c r="J289" s="109"/>
      <c r="K289" s="109"/>
      <c r="L289" s="110"/>
      <c r="M289" s="40"/>
      <c r="N289" s="110"/>
      <c r="O289" s="109"/>
      <c r="P289" s="9"/>
      <c r="Q289" s="9"/>
      <c r="R289" s="40"/>
      <c r="S289" s="40"/>
      <c r="T289" s="113"/>
      <c r="U289" s="114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ht="35.25" customHeight="1">
      <c r="A290" s="40">
        <v>45057.0</v>
      </c>
      <c r="B290" s="109">
        <v>2741.0</v>
      </c>
      <c r="C290" s="109"/>
      <c r="D290" s="110" t="s">
        <v>77</v>
      </c>
      <c r="E290" s="110" t="s">
        <v>2295</v>
      </c>
      <c r="F290" s="109">
        <v>1.0</v>
      </c>
      <c r="G290" s="111">
        <v>11.07</v>
      </c>
      <c r="H290" s="112" t="s">
        <v>2036</v>
      </c>
      <c r="I290" s="120"/>
      <c r="J290" s="109"/>
      <c r="K290" s="109"/>
      <c r="L290" s="110"/>
      <c r="M290" s="40"/>
      <c r="N290" s="110"/>
      <c r="O290" s="109"/>
      <c r="P290" s="9"/>
      <c r="Q290" s="9"/>
      <c r="R290" s="40"/>
      <c r="S290" s="40"/>
      <c r="T290" s="113"/>
      <c r="U290" s="114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ht="35.25" customHeight="1">
      <c r="A291" s="40">
        <v>45057.0</v>
      </c>
      <c r="B291" s="109">
        <v>2741.0</v>
      </c>
      <c r="C291" s="109"/>
      <c r="D291" s="110" t="s">
        <v>77</v>
      </c>
      <c r="E291" s="110" t="s">
        <v>2296</v>
      </c>
      <c r="F291" s="109">
        <v>1.0</v>
      </c>
      <c r="G291" s="111">
        <v>1357.71</v>
      </c>
      <c r="H291" s="112" t="s">
        <v>2036</v>
      </c>
      <c r="I291" s="40"/>
      <c r="J291" s="109"/>
      <c r="K291" s="109"/>
      <c r="L291" s="110"/>
      <c r="M291" s="40"/>
      <c r="N291" s="110"/>
      <c r="O291" s="109"/>
      <c r="P291" s="9"/>
      <c r="Q291" s="9"/>
      <c r="R291" s="40"/>
      <c r="S291" s="40"/>
      <c r="T291" s="113"/>
      <c r="U291" s="114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ht="35.25" customHeight="1">
      <c r="A292" s="40">
        <v>45058.0</v>
      </c>
      <c r="B292" s="109">
        <v>2742.0</v>
      </c>
      <c r="C292" s="109"/>
      <c r="D292" s="110" t="s">
        <v>44</v>
      </c>
      <c r="E292" s="110" t="s">
        <v>2259</v>
      </c>
      <c r="F292" s="109">
        <v>51.0</v>
      </c>
      <c r="G292" s="111">
        <v>3448.88</v>
      </c>
      <c r="H292" s="112" t="s">
        <v>180</v>
      </c>
      <c r="I292" s="40">
        <v>45058.0</v>
      </c>
      <c r="J292" s="109">
        <v>2226.0</v>
      </c>
      <c r="K292" s="109">
        <v>4.501729133E9</v>
      </c>
      <c r="L292" s="110"/>
      <c r="M292" s="40"/>
      <c r="N292" s="110"/>
      <c r="O292" s="109"/>
      <c r="P292" s="9"/>
      <c r="Q292" s="9"/>
      <c r="R292" s="40"/>
      <c r="S292" s="40"/>
      <c r="T292" s="113"/>
      <c r="U292" s="114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ht="35.25" customHeight="1">
      <c r="A293" s="40">
        <v>45058.0</v>
      </c>
      <c r="B293" s="109">
        <v>2744.0</v>
      </c>
      <c r="C293" s="109"/>
      <c r="D293" s="110" t="s">
        <v>2054</v>
      </c>
      <c r="E293" s="110" t="s">
        <v>2297</v>
      </c>
      <c r="F293" s="109">
        <v>1.0</v>
      </c>
      <c r="G293" s="111">
        <v>56844.98</v>
      </c>
      <c r="H293" s="112" t="s">
        <v>2036</v>
      </c>
      <c r="I293" s="40"/>
      <c r="J293" s="109"/>
      <c r="K293" s="109"/>
      <c r="L293" s="110"/>
      <c r="M293" s="40"/>
      <c r="N293" s="110"/>
      <c r="O293" s="109"/>
      <c r="P293" s="9"/>
      <c r="Q293" s="9"/>
      <c r="R293" s="40"/>
      <c r="S293" s="40"/>
      <c r="T293" s="113"/>
      <c r="U293" s="114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ht="35.25" customHeight="1">
      <c r="A294" s="40">
        <v>45062.0</v>
      </c>
      <c r="B294" s="109">
        <v>2749.0</v>
      </c>
      <c r="C294" s="109"/>
      <c r="D294" s="110" t="s">
        <v>1060</v>
      </c>
      <c r="E294" s="110" t="s">
        <v>2298</v>
      </c>
      <c r="F294" s="109">
        <v>4.0</v>
      </c>
      <c r="G294" s="111">
        <v>17868.4</v>
      </c>
      <c r="H294" s="112" t="s">
        <v>2036</v>
      </c>
      <c r="I294" s="40"/>
      <c r="J294" s="109"/>
      <c r="K294" s="109"/>
      <c r="L294" s="110"/>
      <c r="M294" s="40"/>
      <c r="N294" s="110"/>
      <c r="O294" s="109"/>
      <c r="P294" s="9"/>
      <c r="Q294" s="9"/>
      <c r="R294" s="40"/>
      <c r="S294" s="40"/>
      <c r="T294" s="113"/>
      <c r="U294" s="114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ht="35.25" customHeight="1">
      <c r="A295" s="40">
        <v>45062.0</v>
      </c>
      <c r="B295" s="109">
        <v>2750.0</v>
      </c>
      <c r="C295" s="109"/>
      <c r="D295" s="110" t="s">
        <v>2299</v>
      </c>
      <c r="E295" s="110" t="s">
        <v>2300</v>
      </c>
      <c r="F295" s="109">
        <v>1.0</v>
      </c>
      <c r="G295" s="111">
        <v>0.0</v>
      </c>
      <c r="H295" s="112" t="s">
        <v>2036</v>
      </c>
      <c r="I295" s="40"/>
      <c r="J295" s="109"/>
      <c r="K295" s="109"/>
      <c r="L295" s="110"/>
      <c r="M295" s="40"/>
      <c r="N295" s="110"/>
      <c r="O295" s="109"/>
      <c r="P295" s="9"/>
      <c r="Q295" s="9"/>
      <c r="R295" s="40"/>
      <c r="S295" s="40"/>
      <c r="T295" s="113"/>
      <c r="U295" s="114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ht="35.25" customHeight="1">
      <c r="A296" s="40">
        <v>45062.0</v>
      </c>
      <c r="B296" s="109">
        <v>2751.0</v>
      </c>
      <c r="C296" s="109"/>
      <c r="D296" s="110" t="s">
        <v>44</v>
      </c>
      <c r="E296" s="110" t="s">
        <v>2301</v>
      </c>
      <c r="F296" s="109">
        <v>1.0</v>
      </c>
      <c r="G296" s="111">
        <v>2113.32</v>
      </c>
      <c r="H296" s="112" t="s">
        <v>2036</v>
      </c>
      <c r="I296" s="40"/>
      <c r="J296" s="109"/>
      <c r="K296" s="109"/>
      <c r="L296" s="110"/>
      <c r="M296" s="40"/>
      <c r="N296" s="110"/>
      <c r="O296" s="109"/>
      <c r="P296" s="9"/>
      <c r="Q296" s="9"/>
      <c r="R296" s="40"/>
      <c r="S296" s="40"/>
      <c r="T296" s="113"/>
      <c r="U296" s="114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ht="35.25" customHeight="1">
      <c r="A297" s="40">
        <v>45062.0</v>
      </c>
      <c r="B297" s="109">
        <v>2752.0</v>
      </c>
      <c r="C297" s="109"/>
      <c r="D297" s="110" t="s">
        <v>790</v>
      </c>
      <c r="E297" s="110" t="s">
        <v>2302</v>
      </c>
      <c r="F297" s="109">
        <v>1.0</v>
      </c>
      <c r="G297" s="111">
        <v>0.0</v>
      </c>
      <c r="H297" s="112" t="s">
        <v>2036</v>
      </c>
      <c r="I297" s="40"/>
      <c r="J297" s="109"/>
      <c r="K297" s="109"/>
      <c r="L297" s="110"/>
      <c r="M297" s="40"/>
      <c r="N297" s="110"/>
      <c r="O297" s="109"/>
      <c r="P297" s="9"/>
      <c r="Q297" s="9"/>
      <c r="R297" s="40"/>
      <c r="S297" s="40"/>
      <c r="T297" s="113"/>
      <c r="U297" s="114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ht="35.25" customHeight="1">
      <c r="A298" s="40">
        <v>45063.0</v>
      </c>
      <c r="B298" s="109">
        <v>2753.0</v>
      </c>
      <c r="C298" s="109"/>
      <c r="D298" s="110" t="s">
        <v>2303</v>
      </c>
      <c r="E298" s="110" t="s">
        <v>2304</v>
      </c>
      <c r="F298" s="109">
        <v>1.0</v>
      </c>
      <c r="G298" s="111">
        <v>1680.3</v>
      </c>
      <c r="H298" s="112" t="s">
        <v>2036</v>
      </c>
      <c r="I298" s="40"/>
      <c r="J298" s="109"/>
      <c r="K298" s="109"/>
      <c r="L298" s="110"/>
      <c r="M298" s="40"/>
      <c r="N298" s="110"/>
      <c r="O298" s="109"/>
      <c r="P298" s="9"/>
      <c r="Q298" s="9"/>
      <c r="R298" s="40"/>
      <c r="S298" s="40"/>
      <c r="T298" s="113"/>
      <c r="U298" s="114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ht="35.25" customHeight="1">
      <c r="A299" s="40">
        <v>45063.0</v>
      </c>
      <c r="B299" s="109">
        <v>2753.0</v>
      </c>
      <c r="C299" s="109"/>
      <c r="D299" s="110" t="s">
        <v>2303</v>
      </c>
      <c r="E299" s="110" t="s">
        <v>2305</v>
      </c>
      <c r="F299" s="109">
        <v>1.0</v>
      </c>
      <c r="G299" s="111">
        <v>2276.5</v>
      </c>
      <c r="H299" s="112" t="s">
        <v>2036</v>
      </c>
      <c r="I299" s="40"/>
      <c r="J299" s="109"/>
      <c r="K299" s="109"/>
      <c r="L299" s="110"/>
      <c r="M299" s="40"/>
      <c r="N299" s="110"/>
      <c r="O299" s="109"/>
      <c r="P299" s="9"/>
      <c r="Q299" s="9"/>
      <c r="R299" s="40"/>
      <c r="S299" s="40"/>
      <c r="T299" s="113"/>
      <c r="U299" s="114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ht="35.25" customHeight="1">
      <c r="A300" s="40">
        <v>45063.0</v>
      </c>
      <c r="B300" s="109">
        <v>2753.0</v>
      </c>
      <c r="C300" s="109"/>
      <c r="D300" s="110" t="s">
        <v>2303</v>
      </c>
      <c r="E300" s="110" t="s">
        <v>2306</v>
      </c>
      <c r="F300" s="109">
        <v>1.0</v>
      </c>
      <c r="G300" s="111">
        <v>6635.45</v>
      </c>
      <c r="H300" s="112" t="s">
        <v>2036</v>
      </c>
      <c r="I300" s="40"/>
      <c r="J300" s="109"/>
      <c r="K300" s="109"/>
      <c r="L300" s="110"/>
      <c r="M300" s="40"/>
      <c r="N300" s="110"/>
      <c r="O300" s="109"/>
      <c r="P300" s="9"/>
      <c r="Q300" s="9"/>
      <c r="R300" s="40"/>
      <c r="S300" s="40"/>
      <c r="T300" s="113"/>
      <c r="U300" s="114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ht="35.25" customHeight="1">
      <c r="A301" s="40">
        <v>45063.0</v>
      </c>
      <c r="B301" s="109">
        <v>2755.0</v>
      </c>
      <c r="C301" s="109"/>
      <c r="D301" s="110" t="s">
        <v>77</v>
      </c>
      <c r="E301" s="110" t="s">
        <v>2301</v>
      </c>
      <c r="F301" s="109">
        <v>1.0</v>
      </c>
      <c r="G301" s="111">
        <v>3757.01</v>
      </c>
      <c r="H301" s="112" t="s">
        <v>2036</v>
      </c>
      <c r="I301" s="40"/>
      <c r="J301" s="109"/>
      <c r="K301" s="109"/>
      <c r="L301" s="110"/>
      <c r="M301" s="40"/>
      <c r="N301" s="110"/>
      <c r="O301" s="109"/>
      <c r="P301" s="9"/>
      <c r="Q301" s="9"/>
      <c r="R301" s="40"/>
      <c r="S301" s="40"/>
      <c r="T301" s="113"/>
      <c r="U301" s="114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ht="35.25" customHeight="1">
      <c r="A302" s="40">
        <v>45064.0</v>
      </c>
      <c r="B302" s="109">
        <v>2756.0</v>
      </c>
      <c r="C302" s="109"/>
      <c r="D302" s="110" t="s">
        <v>222</v>
      </c>
      <c r="E302" s="110" t="s">
        <v>2307</v>
      </c>
      <c r="F302" s="109">
        <v>4.0</v>
      </c>
      <c r="G302" s="111">
        <v>1006.08</v>
      </c>
      <c r="H302" s="112" t="str">
        <f>IF($J292&lt;&gt;"","FATURADO",IF($K292&lt;&gt;"","GANHOU"," "))</f>
        <v>FATURADO</v>
      </c>
      <c r="I302" s="40">
        <v>1140426.0</v>
      </c>
      <c r="J302" s="109">
        <v>2137.0</v>
      </c>
      <c r="K302" s="109">
        <v>4.503605528E9</v>
      </c>
      <c r="L302" s="110"/>
      <c r="M302" s="40"/>
      <c r="N302" s="110"/>
      <c r="O302" s="109"/>
      <c r="P302" s="9"/>
      <c r="Q302" s="9"/>
      <c r="R302" s="40"/>
      <c r="S302" s="40"/>
      <c r="T302" s="113"/>
      <c r="U302" s="114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ht="35.25" customHeight="1">
      <c r="A303" s="40">
        <v>45064.0</v>
      </c>
      <c r="B303" s="109">
        <v>2757.0</v>
      </c>
      <c r="C303" s="109"/>
      <c r="D303" s="110" t="s">
        <v>2054</v>
      </c>
      <c r="E303" s="110" t="s">
        <v>2308</v>
      </c>
      <c r="F303" s="109">
        <v>50.0</v>
      </c>
      <c r="G303" s="111">
        <v>1436.0</v>
      </c>
      <c r="H303" s="112" t="s">
        <v>180</v>
      </c>
      <c r="I303" s="40">
        <v>45064.0</v>
      </c>
      <c r="J303" s="109">
        <v>2151.0</v>
      </c>
      <c r="K303" s="109">
        <v>4.502666405E9</v>
      </c>
      <c r="L303" s="110"/>
      <c r="M303" s="40"/>
      <c r="N303" s="110"/>
      <c r="O303" s="109"/>
      <c r="P303" s="9"/>
      <c r="Q303" s="9"/>
      <c r="R303" s="40"/>
      <c r="S303" s="40"/>
      <c r="T303" s="113"/>
      <c r="U303" s="114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ht="35.25" customHeight="1">
      <c r="A304" s="40">
        <v>45064.0</v>
      </c>
      <c r="B304" s="109">
        <v>2757.0</v>
      </c>
      <c r="C304" s="109"/>
      <c r="D304" s="110" t="s">
        <v>2054</v>
      </c>
      <c r="E304" s="110" t="s">
        <v>2286</v>
      </c>
      <c r="F304" s="109">
        <v>50.0</v>
      </c>
      <c r="G304" s="111">
        <v>1730.05</v>
      </c>
      <c r="H304" s="112" t="s">
        <v>180</v>
      </c>
      <c r="I304" s="40">
        <v>45064.0</v>
      </c>
      <c r="J304" s="109">
        <v>2151.0</v>
      </c>
      <c r="K304" s="109">
        <v>4.502666405E9</v>
      </c>
      <c r="L304" s="110"/>
      <c r="M304" s="40"/>
      <c r="N304" s="110"/>
      <c r="O304" s="109"/>
      <c r="P304" s="9"/>
      <c r="Q304" s="9"/>
      <c r="R304" s="40"/>
      <c r="S304" s="40"/>
      <c r="T304" s="113"/>
      <c r="U304" s="114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ht="35.25" customHeight="1">
      <c r="A305" s="40">
        <v>45064.0</v>
      </c>
      <c r="B305" s="109">
        <v>2757.0</v>
      </c>
      <c r="C305" s="109"/>
      <c r="D305" s="110" t="s">
        <v>2054</v>
      </c>
      <c r="E305" s="110" t="s">
        <v>2309</v>
      </c>
      <c r="F305" s="109">
        <v>50.0</v>
      </c>
      <c r="G305" s="111">
        <v>718.0</v>
      </c>
      <c r="H305" s="112" t="s">
        <v>180</v>
      </c>
      <c r="I305" s="40">
        <v>45064.0</v>
      </c>
      <c r="J305" s="109">
        <v>2151.0</v>
      </c>
      <c r="K305" s="109">
        <v>4.502666405E9</v>
      </c>
      <c r="L305" s="110"/>
      <c r="M305" s="40"/>
      <c r="N305" s="110"/>
      <c r="O305" s="109"/>
      <c r="P305" s="9"/>
      <c r="Q305" s="9"/>
      <c r="R305" s="40"/>
      <c r="S305" s="40"/>
      <c r="T305" s="113"/>
      <c r="U305" s="114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ht="35.25" customHeight="1">
      <c r="A306" s="40">
        <v>45064.0</v>
      </c>
      <c r="B306" s="109">
        <v>2758.0</v>
      </c>
      <c r="C306" s="109"/>
      <c r="D306" s="110" t="s">
        <v>2054</v>
      </c>
      <c r="E306" s="110" t="s">
        <v>2310</v>
      </c>
      <c r="F306" s="109">
        <v>25.0</v>
      </c>
      <c r="G306" s="111">
        <v>1106.0</v>
      </c>
      <c r="H306" s="112" t="s">
        <v>180</v>
      </c>
      <c r="I306" s="40">
        <v>45064.0</v>
      </c>
      <c r="J306" s="109">
        <v>2150.0</v>
      </c>
      <c r="K306" s="109">
        <v>4.502666209E9</v>
      </c>
      <c r="L306" s="110"/>
      <c r="M306" s="40"/>
      <c r="N306" s="110"/>
      <c r="O306" s="109"/>
      <c r="P306" s="9"/>
      <c r="Q306" s="9"/>
      <c r="R306" s="40"/>
      <c r="S306" s="40"/>
      <c r="T306" s="113"/>
      <c r="U306" s="114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ht="35.25" customHeight="1">
      <c r="A307" s="40">
        <v>45064.0</v>
      </c>
      <c r="B307" s="109">
        <v>2758.0</v>
      </c>
      <c r="C307" s="109"/>
      <c r="D307" s="110" t="s">
        <v>2054</v>
      </c>
      <c r="E307" s="110" t="s">
        <v>2311</v>
      </c>
      <c r="F307" s="109">
        <v>50.0</v>
      </c>
      <c r="G307" s="111">
        <v>718.0</v>
      </c>
      <c r="H307" s="112" t="s">
        <v>180</v>
      </c>
      <c r="I307" s="40">
        <v>45064.0</v>
      </c>
      <c r="J307" s="109">
        <v>2150.0</v>
      </c>
      <c r="K307" s="109">
        <v>4.502666209E9</v>
      </c>
      <c r="L307" s="110"/>
      <c r="M307" s="40"/>
      <c r="N307" s="110"/>
      <c r="O307" s="109"/>
      <c r="P307" s="9"/>
      <c r="Q307" s="9"/>
      <c r="R307" s="40"/>
      <c r="S307" s="40"/>
      <c r="T307" s="113"/>
      <c r="U307" s="114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ht="35.25" customHeight="1">
      <c r="A308" s="40">
        <v>45064.0</v>
      </c>
      <c r="B308" s="109">
        <v>2758.0</v>
      </c>
      <c r="C308" s="109"/>
      <c r="D308" s="110" t="s">
        <v>2054</v>
      </c>
      <c r="E308" s="110" t="s">
        <v>2312</v>
      </c>
      <c r="F308" s="109">
        <v>50.0</v>
      </c>
      <c r="G308" s="111">
        <v>1280.0</v>
      </c>
      <c r="H308" s="112" t="s">
        <v>180</v>
      </c>
      <c r="I308" s="40">
        <v>45064.0</v>
      </c>
      <c r="J308" s="109">
        <v>2150.0</v>
      </c>
      <c r="K308" s="109">
        <v>4.502666209E9</v>
      </c>
      <c r="L308" s="110"/>
      <c r="M308" s="40"/>
      <c r="N308" s="110"/>
      <c r="O308" s="109"/>
      <c r="P308" s="9"/>
      <c r="Q308" s="9"/>
      <c r="R308" s="40"/>
      <c r="S308" s="40"/>
      <c r="T308" s="113"/>
      <c r="U308" s="114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ht="35.25" customHeight="1">
      <c r="A309" s="40">
        <v>45064.0</v>
      </c>
      <c r="B309" s="109">
        <v>2759.0</v>
      </c>
      <c r="C309" s="109"/>
      <c r="D309" s="110" t="s">
        <v>2313</v>
      </c>
      <c r="E309" s="110" t="s">
        <v>2314</v>
      </c>
      <c r="F309" s="109">
        <v>2.0</v>
      </c>
      <c r="G309" s="111">
        <v>682.88</v>
      </c>
      <c r="H309" s="112" t="s">
        <v>2036</v>
      </c>
      <c r="I309" s="40"/>
      <c r="J309" s="109"/>
      <c r="K309" s="109"/>
      <c r="L309" s="110"/>
      <c r="M309" s="40"/>
      <c r="N309" s="110"/>
      <c r="O309" s="109"/>
      <c r="P309" s="9"/>
      <c r="Q309" s="9"/>
      <c r="R309" s="40"/>
      <c r="S309" s="40"/>
      <c r="T309" s="113"/>
      <c r="U309" s="114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ht="35.25" customHeight="1">
      <c r="A310" s="40">
        <v>45064.0</v>
      </c>
      <c r="B310" s="109">
        <v>2761.0</v>
      </c>
      <c r="C310" s="109"/>
      <c r="D310" s="110" t="s">
        <v>77</v>
      </c>
      <c r="E310" s="110" t="s">
        <v>2306</v>
      </c>
      <c r="F310" s="109">
        <v>1.0</v>
      </c>
      <c r="G310" s="111">
        <v>5105.39</v>
      </c>
      <c r="H310" s="112" t="s">
        <v>2036</v>
      </c>
      <c r="I310" s="40"/>
      <c r="J310" s="109"/>
      <c r="K310" s="109"/>
      <c r="L310" s="110"/>
      <c r="M310" s="40"/>
      <c r="N310" s="110"/>
      <c r="O310" s="109"/>
      <c r="P310" s="9"/>
      <c r="Q310" s="9"/>
      <c r="R310" s="40"/>
      <c r="S310" s="40"/>
      <c r="T310" s="113"/>
      <c r="U310" s="114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ht="35.25" customHeight="1">
      <c r="A311" s="40">
        <v>45065.0</v>
      </c>
      <c r="B311" s="109">
        <v>2762.0</v>
      </c>
      <c r="C311" s="109"/>
      <c r="D311" s="110" t="s">
        <v>2218</v>
      </c>
      <c r="E311" s="110" t="s">
        <v>2315</v>
      </c>
      <c r="F311" s="109">
        <v>1.0</v>
      </c>
      <c r="G311" s="111">
        <v>1814.72</v>
      </c>
      <c r="H311" s="112" t="s">
        <v>2036</v>
      </c>
      <c r="I311" s="40"/>
      <c r="J311" s="109"/>
      <c r="K311" s="109"/>
      <c r="L311" s="110"/>
      <c r="M311" s="40"/>
      <c r="N311" s="110"/>
      <c r="O311" s="109"/>
      <c r="P311" s="9"/>
      <c r="Q311" s="9"/>
      <c r="R311" s="40"/>
      <c r="S311" s="40"/>
      <c r="T311" s="113"/>
      <c r="U311" s="114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ht="35.25" customHeight="1">
      <c r="A312" s="40">
        <v>45065.0</v>
      </c>
      <c r="B312" s="109">
        <v>2762.0</v>
      </c>
      <c r="C312" s="109"/>
      <c r="D312" s="110" t="s">
        <v>2218</v>
      </c>
      <c r="E312" s="110" t="s">
        <v>2316</v>
      </c>
      <c r="F312" s="109">
        <v>1.0</v>
      </c>
      <c r="G312" s="111">
        <v>22390.78</v>
      </c>
      <c r="H312" s="112" t="s">
        <v>2036</v>
      </c>
      <c r="I312" s="40"/>
      <c r="J312" s="109"/>
      <c r="K312" s="109"/>
      <c r="L312" s="110"/>
      <c r="M312" s="40"/>
      <c r="N312" s="110"/>
      <c r="O312" s="109"/>
      <c r="P312" s="9"/>
      <c r="Q312" s="9"/>
      <c r="R312" s="40"/>
      <c r="S312" s="40"/>
      <c r="T312" s="113"/>
      <c r="U312" s="114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ht="35.25" customHeight="1">
      <c r="A313" s="40">
        <v>45068.0</v>
      </c>
      <c r="B313" s="109">
        <v>2766.0</v>
      </c>
      <c r="C313" s="109"/>
      <c r="D313" s="110" t="s">
        <v>44</v>
      </c>
      <c r="E313" s="110" t="s">
        <v>2317</v>
      </c>
      <c r="F313" s="109">
        <v>2.0</v>
      </c>
      <c r="G313" s="111">
        <v>3903.7</v>
      </c>
      <c r="H313" s="112" t="s">
        <v>180</v>
      </c>
      <c r="I313" s="40">
        <v>45068.0</v>
      </c>
      <c r="J313" s="109">
        <v>2163.0</v>
      </c>
      <c r="K313" s="109">
        <v>4.501741042E9</v>
      </c>
      <c r="L313" s="110"/>
      <c r="M313" s="40"/>
      <c r="N313" s="110"/>
      <c r="O313" s="109"/>
      <c r="P313" s="9"/>
      <c r="Q313" s="9"/>
      <c r="R313" s="40"/>
      <c r="S313" s="40"/>
      <c r="T313" s="113"/>
      <c r="U313" s="114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ht="35.25" customHeight="1">
      <c r="A314" s="40">
        <v>45068.0</v>
      </c>
      <c r="B314" s="109">
        <v>2767.0</v>
      </c>
      <c r="C314" s="109"/>
      <c r="D314" s="110" t="s">
        <v>188</v>
      </c>
      <c r="E314" s="110" t="s">
        <v>2318</v>
      </c>
      <c r="F314" s="109">
        <v>3.0</v>
      </c>
      <c r="G314" s="111">
        <v>9111.6</v>
      </c>
      <c r="H314" s="112" t="s">
        <v>2036</v>
      </c>
      <c r="I314" s="40"/>
      <c r="J314" s="109"/>
      <c r="K314" s="109"/>
      <c r="L314" s="110"/>
      <c r="M314" s="40"/>
      <c r="N314" s="110"/>
      <c r="O314" s="109"/>
      <c r="P314" s="9"/>
      <c r="Q314" s="9"/>
      <c r="R314" s="40"/>
      <c r="S314" s="40"/>
      <c r="T314" s="113"/>
      <c r="U314" s="114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ht="35.25" customHeight="1">
      <c r="A315" s="40">
        <v>45068.0</v>
      </c>
      <c r="B315" s="109">
        <v>2769.0</v>
      </c>
      <c r="C315" s="109"/>
      <c r="D315" s="110" t="s">
        <v>2319</v>
      </c>
      <c r="E315" s="110" t="s">
        <v>2320</v>
      </c>
      <c r="F315" s="109">
        <v>1093.0</v>
      </c>
      <c r="G315" s="111">
        <v>127432.87</v>
      </c>
      <c r="H315" s="112" t="s">
        <v>2036</v>
      </c>
      <c r="I315" s="40"/>
      <c r="J315" s="109"/>
      <c r="K315" s="109"/>
      <c r="L315" s="110"/>
      <c r="M315" s="40"/>
      <c r="N315" s="110"/>
      <c r="O315" s="109"/>
      <c r="P315" s="9"/>
      <c r="Q315" s="9"/>
      <c r="R315" s="40"/>
      <c r="S315" s="40"/>
      <c r="T315" s="113"/>
      <c r="U315" s="114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ht="35.25" customHeight="1">
      <c r="A316" s="40">
        <v>45068.0</v>
      </c>
      <c r="B316" s="109">
        <v>2769.0</v>
      </c>
      <c r="C316" s="109"/>
      <c r="D316" s="110" t="s">
        <v>2319</v>
      </c>
      <c r="E316" s="110" t="s">
        <v>2321</v>
      </c>
      <c r="F316" s="109">
        <v>10.0</v>
      </c>
      <c r="G316" s="111">
        <v>268988.4</v>
      </c>
      <c r="H316" s="112" t="s">
        <v>2036</v>
      </c>
      <c r="I316" s="40"/>
      <c r="J316" s="109"/>
      <c r="K316" s="109"/>
      <c r="L316" s="110"/>
      <c r="M316" s="40"/>
      <c r="N316" s="110"/>
      <c r="O316" s="109"/>
      <c r="P316" s="9"/>
      <c r="Q316" s="9"/>
      <c r="R316" s="40"/>
      <c r="S316" s="40"/>
      <c r="T316" s="113"/>
      <c r="U316" s="114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ht="35.25" customHeight="1">
      <c r="A317" s="40">
        <v>45068.0</v>
      </c>
      <c r="B317" s="109">
        <v>2769.0</v>
      </c>
      <c r="C317" s="109"/>
      <c r="D317" s="110" t="s">
        <v>2319</v>
      </c>
      <c r="E317" s="110" t="s">
        <v>2322</v>
      </c>
      <c r="F317" s="109">
        <v>9.0</v>
      </c>
      <c r="G317" s="111">
        <v>1745.57</v>
      </c>
      <c r="H317" s="112" t="s">
        <v>2036</v>
      </c>
      <c r="I317" s="40"/>
      <c r="J317" s="109"/>
      <c r="K317" s="109"/>
      <c r="L317" s="110"/>
      <c r="M317" s="40"/>
      <c r="N317" s="110"/>
      <c r="O317" s="109"/>
      <c r="P317" s="9"/>
      <c r="Q317" s="9"/>
      <c r="R317" s="40"/>
      <c r="S317" s="40"/>
      <c r="T317" s="113"/>
      <c r="U317" s="114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ht="35.25" customHeight="1">
      <c r="A318" s="40">
        <v>45069.0</v>
      </c>
      <c r="B318" s="109">
        <v>2770.0</v>
      </c>
      <c r="C318" s="109"/>
      <c r="D318" s="110" t="s">
        <v>77</v>
      </c>
      <c r="E318" s="110" t="s">
        <v>2323</v>
      </c>
      <c r="F318" s="109">
        <v>1.0</v>
      </c>
      <c r="G318" s="111">
        <v>20.12</v>
      </c>
      <c r="H318" s="112" t="s">
        <v>2036</v>
      </c>
      <c r="I318" s="40"/>
      <c r="J318" s="109"/>
      <c r="K318" s="109"/>
      <c r="L318" s="110"/>
      <c r="M318" s="40"/>
      <c r="N318" s="110"/>
      <c r="O318" s="109"/>
      <c r="P318" s="9"/>
      <c r="Q318" s="9"/>
      <c r="R318" s="40"/>
      <c r="S318" s="40"/>
      <c r="T318" s="113"/>
      <c r="U318" s="114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ht="35.25" customHeight="1">
      <c r="A319" s="40">
        <v>45069.0</v>
      </c>
      <c r="B319" s="109">
        <v>2770.0</v>
      </c>
      <c r="C319" s="109"/>
      <c r="D319" s="110" t="s">
        <v>77</v>
      </c>
      <c r="E319" s="110" t="s">
        <v>2296</v>
      </c>
      <c r="F319" s="109">
        <v>1.0</v>
      </c>
      <c r="G319" s="111">
        <v>1840.88</v>
      </c>
      <c r="H319" s="112" t="s">
        <v>2036</v>
      </c>
      <c r="I319" s="40"/>
      <c r="J319" s="109"/>
      <c r="K319" s="109"/>
      <c r="L319" s="110"/>
      <c r="M319" s="40"/>
      <c r="N319" s="110"/>
      <c r="O319" s="109"/>
      <c r="P319" s="9"/>
      <c r="Q319" s="9"/>
      <c r="R319" s="40"/>
      <c r="S319" s="40"/>
      <c r="T319" s="113"/>
      <c r="U319" s="114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ht="35.25" customHeight="1">
      <c r="A320" s="40">
        <v>45069.0</v>
      </c>
      <c r="B320" s="109">
        <v>2770.0</v>
      </c>
      <c r="C320" s="109"/>
      <c r="D320" s="110" t="s">
        <v>77</v>
      </c>
      <c r="E320" s="110" t="s">
        <v>2324</v>
      </c>
      <c r="F320" s="109">
        <v>1.0</v>
      </c>
      <c r="G320" s="111">
        <v>83.72</v>
      </c>
      <c r="H320" s="112" t="s">
        <v>2036</v>
      </c>
      <c r="I320" s="40"/>
      <c r="J320" s="109"/>
      <c r="K320" s="109"/>
      <c r="L320" s="110"/>
      <c r="M320" s="40"/>
      <c r="N320" s="110"/>
      <c r="O320" s="109"/>
      <c r="P320" s="9"/>
      <c r="Q320" s="9"/>
      <c r="R320" s="40"/>
      <c r="S320" s="40"/>
      <c r="T320" s="113"/>
      <c r="U320" s="114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ht="35.25" customHeight="1">
      <c r="A321" s="40">
        <v>45070.0</v>
      </c>
      <c r="B321" s="109">
        <v>2771.0</v>
      </c>
      <c r="C321" s="109"/>
      <c r="D321" s="110" t="s">
        <v>123</v>
      </c>
      <c r="E321" s="110" t="s">
        <v>67</v>
      </c>
      <c r="F321" s="109">
        <v>1.0</v>
      </c>
      <c r="G321" s="111">
        <v>1284.2</v>
      </c>
      <c r="H321" s="112" t="s">
        <v>2036</v>
      </c>
      <c r="I321" s="40"/>
      <c r="J321" s="109"/>
      <c r="K321" s="109"/>
      <c r="L321" s="110"/>
      <c r="M321" s="40"/>
      <c r="N321" s="110"/>
      <c r="O321" s="109"/>
      <c r="P321" s="9"/>
      <c r="Q321" s="9"/>
      <c r="R321" s="40"/>
      <c r="S321" s="40"/>
      <c r="T321" s="113"/>
      <c r="U321" s="114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ht="35.25" customHeight="1">
      <c r="A322" s="40">
        <v>45070.0</v>
      </c>
      <c r="B322" s="109">
        <v>2772.0</v>
      </c>
      <c r="C322" s="109"/>
      <c r="D322" s="110" t="s">
        <v>70</v>
      </c>
      <c r="E322" s="110" t="s">
        <v>2325</v>
      </c>
      <c r="F322" s="109">
        <v>1.0</v>
      </c>
      <c r="G322" s="111">
        <v>2149.45</v>
      </c>
      <c r="H322" s="112" t="s">
        <v>2036</v>
      </c>
      <c r="I322" s="40"/>
      <c r="J322" s="109"/>
      <c r="K322" s="109"/>
      <c r="L322" s="110"/>
      <c r="M322" s="40"/>
      <c r="N322" s="110"/>
      <c r="O322" s="109"/>
      <c r="P322" s="9"/>
      <c r="Q322" s="9"/>
      <c r="R322" s="40"/>
      <c r="S322" s="40"/>
      <c r="T322" s="113"/>
      <c r="U322" s="114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ht="35.25" customHeight="1">
      <c r="A323" s="40">
        <v>45071.0</v>
      </c>
      <c r="B323" s="109">
        <v>2773.0</v>
      </c>
      <c r="C323" s="109"/>
      <c r="D323" s="110" t="s">
        <v>2251</v>
      </c>
      <c r="E323" s="110" t="s">
        <v>2326</v>
      </c>
      <c r="F323" s="109">
        <v>1.0</v>
      </c>
      <c r="G323" s="111">
        <v>178.84</v>
      </c>
      <c r="H323" s="112" t="s">
        <v>180</v>
      </c>
      <c r="I323" s="40">
        <v>45071.0</v>
      </c>
      <c r="J323" s="109">
        <v>2146.0</v>
      </c>
      <c r="K323" s="109"/>
      <c r="L323" s="110"/>
      <c r="M323" s="40"/>
      <c r="N323" s="110"/>
      <c r="O323" s="109"/>
      <c r="P323" s="9"/>
      <c r="Q323" s="9"/>
      <c r="R323" s="40"/>
      <c r="S323" s="40"/>
      <c r="T323" s="113"/>
      <c r="U323" s="114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ht="35.25" customHeight="1">
      <c r="A324" s="40">
        <v>45071.0</v>
      </c>
      <c r="B324" s="109">
        <v>2774.0</v>
      </c>
      <c r="C324" s="109"/>
      <c r="D324" s="110" t="s">
        <v>2327</v>
      </c>
      <c r="E324" s="110" t="s">
        <v>2328</v>
      </c>
      <c r="F324" s="109">
        <v>1.0</v>
      </c>
      <c r="G324" s="111">
        <v>334.05</v>
      </c>
      <c r="H324" s="112" t="s">
        <v>2036</v>
      </c>
      <c r="I324" s="40"/>
      <c r="J324" s="109"/>
      <c r="K324" s="109"/>
      <c r="L324" s="110"/>
      <c r="M324" s="40"/>
      <c r="N324" s="110"/>
      <c r="O324" s="109"/>
      <c r="P324" s="9"/>
      <c r="Q324" s="9"/>
      <c r="R324" s="40"/>
      <c r="S324" s="40"/>
      <c r="T324" s="113"/>
      <c r="U324" s="114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ht="35.25" customHeight="1">
      <c r="A325" s="40">
        <v>45072.0</v>
      </c>
      <c r="B325" s="109">
        <v>2777.0</v>
      </c>
      <c r="C325" s="109"/>
      <c r="D325" s="110" t="s">
        <v>188</v>
      </c>
      <c r="E325" s="110" t="s">
        <v>2329</v>
      </c>
      <c r="F325" s="109">
        <v>26.0</v>
      </c>
      <c r="G325" s="111">
        <v>1164.02</v>
      </c>
      <c r="H325" s="112" t="s">
        <v>180</v>
      </c>
      <c r="I325" s="40">
        <v>45072.0</v>
      </c>
      <c r="J325" s="109">
        <v>2148.0</v>
      </c>
      <c r="K325" s="109">
        <v>5.800026426E9</v>
      </c>
      <c r="L325" s="110"/>
      <c r="M325" s="40"/>
      <c r="N325" s="110"/>
      <c r="O325" s="109"/>
      <c r="P325" s="9"/>
      <c r="Q325" s="9"/>
      <c r="R325" s="40"/>
      <c r="S325" s="40"/>
      <c r="T325" s="113"/>
      <c r="U325" s="114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ht="35.25" customHeight="1">
      <c r="A326" s="40">
        <v>45072.0</v>
      </c>
      <c r="B326" s="109">
        <v>2777.0</v>
      </c>
      <c r="C326" s="109"/>
      <c r="D326" s="110" t="s">
        <v>188</v>
      </c>
      <c r="E326" s="110" t="s">
        <v>2330</v>
      </c>
      <c r="F326" s="109">
        <v>10.0</v>
      </c>
      <c r="G326" s="111">
        <v>493.35</v>
      </c>
      <c r="H326" s="112" t="s">
        <v>180</v>
      </c>
      <c r="I326" s="40">
        <v>45072.0</v>
      </c>
      <c r="J326" s="109">
        <v>2148.0</v>
      </c>
      <c r="K326" s="109">
        <v>5.800026426E9</v>
      </c>
      <c r="L326" s="110"/>
      <c r="M326" s="40"/>
      <c r="N326" s="110"/>
      <c r="O326" s="109"/>
      <c r="P326" s="9"/>
      <c r="Q326" s="9"/>
      <c r="R326" s="40"/>
      <c r="S326" s="40"/>
      <c r="T326" s="113"/>
      <c r="U326" s="114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ht="35.25" customHeight="1">
      <c r="A327" s="40">
        <v>45072.0</v>
      </c>
      <c r="B327" s="109">
        <v>2777.0</v>
      </c>
      <c r="C327" s="109"/>
      <c r="D327" s="110" t="s">
        <v>188</v>
      </c>
      <c r="E327" s="110" t="s">
        <v>2228</v>
      </c>
      <c r="F327" s="109">
        <v>108.0</v>
      </c>
      <c r="G327" s="111">
        <v>7493.04</v>
      </c>
      <c r="H327" s="112" t="s">
        <v>180</v>
      </c>
      <c r="I327" s="40">
        <v>45072.0</v>
      </c>
      <c r="J327" s="109">
        <v>2148.0</v>
      </c>
      <c r="K327" s="109">
        <v>5.800026426E9</v>
      </c>
      <c r="L327" s="110"/>
      <c r="M327" s="40"/>
      <c r="N327" s="110"/>
      <c r="O327" s="109"/>
      <c r="P327" s="9"/>
      <c r="Q327" s="9"/>
      <c r="R327" s="40"/>
      <c r="S327" s="40"/>
      <c r="T327" s="113"/>
      <c r="U327" s="114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ht="35.25" customHeight="1">
      <c r="A328" s="40">
        <v>45072.0</v>
      </c>
      <c r="B328" s="109">
        <v>2777.0</v>
      </c>
      <c r="C328" s="109"/>
      <c r="D328" s="110" t="s">
        <v>188</v>
      </c>
      <c r="E328" s="110" t="s">
        <v>2229</v>
      </c>
      <c r="F328" s="109">
        <v>30.0</v>
      </c>
      <c r="G328" s="111">
        <v>2138.4</v>
      </c>
      <c r="H328" s="112" t="s">
        <v>180</v>
      </c>
      <c r="I328" s="40">
        <v>45072.0</v>
      </c>
      <c r="J328" s="109">
        <v>2148.0</v>
      </c>
      <c r="K328" s="109">
        <v>5.800026426E9</v>
      </c>
      <c r="L328" s="110"/>
      <c r="M328" s="40"/>
      <c r="N328" s="110"/>
      <c r="O328" s="109"/>
      <c r="P328" s="9"/>
      <c r="Q328" s="9"/>
      <c r="R328" s="40"/>
      <c r="S328" s="40"/>
      <c r="T328" s="113"/>
      <c r="U328" s="114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ht="35.25" customHeight="1">
      <c r="A329" s="40">
        <v>45072.0</v>
      </c>
      <c r="B329" s="109">
        <v>2777.0</v>
      </c>
      <c r="C329" s="109"/>
      <c r="D329" s="110" t="s">
        <v>188</v>
      </c>
      <c r="E329" s="110" t="s">
        <v>2331</v>
      </c>
      <c r="F329" s="109">
        <v>62.0</v>
      </c>
      <c r="G329" s="111">
        <v>6155.98</v>
      </c>
      <c r="H329" s="112" t="s">
        <v>180</v>
      </c>
      <c r="I329" s="40">
        <v>45072.0</v>
      </c>
      <c r="J329" s="109">
        <v>2148.0</v>
      </c>
      <c r="K329" s="109">
        <v>5.800026426E9</v>
      </c>
      <c r="L329" s="110"/>
      <c r="M329" s="40"/>
      <c r="N329" s="110"/>
      <c r="O329" s="109"/>
      <c r="P329" s="9"/>
      <c r="Q329" s="9"/>
      <c r="R329" s="40"/>
      <c r="S329" s="40"/>
      <c r="T329" s="113"/>
      <c r="U329" s="114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ht="35.25" customHeight="1">
      <c r="A330" s="40">
        <v>45072.0</v>
      </c>
      <c r="B330" s="109">
        <v>2777.0</v>
      </c>
      <c r="C330" s="109"/>
      <c r="D330" s="110" t="s">
        <v>188</v>
      </c>
      <c r="E330" s="110" t="s">
        <v>2332</v>
      </c>
      <c r="F330" s="109">
        <v>62.0</v>
      </c>
      <c r="G330" s="111">
        <v>4625.2</v>
      </c>
      <c r="H330" s="112" t="s">
        <v>180</v>
      </c>
      <c r="I330" s="40">
        <v>45072.0</v>
      </c>
      <c r="J330" s="109">
        <v>2148.0</v>
      </c>
      <c r="K330" s="109">
        <v>5.800026426E9</v>
      </c>
      <c r="L330" s="110"/>
      <c r="M330" s="40"/>
      <c r="N330" s="110"/>
      <c r="O330" s="109"/>
      <c r="P330" s="9"/>
      <c r="Q330" s="9"/>
      <c r="R330" s="40"/>
      <c r="S330" s="40"/>
      <c r="T330" s="113"/>
      <c r="U330" s="114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ht="35.25" customHeight="1">
      <c r="A331" s="40">
        <v>45072.0</v>
      </c>
      <c r="B331" s="109">
        <v>2777.0</v>
      </c>
      <c r="C331" s="109"/>
      <c r="D331" s="110" t="s">
        <v>188</v>
      </c>
      <c r="E331" s="110" t="s">
        <v>2333</v>
      </c>
      <c r="F331" s="109">
        <v>62.0</v>
      </c>
      <c r="G331" s="111">
        <v>8733.94</v>
      </c>
      <c r="H331" s="112" t="s">
        <v>180</v>
      </c>
      <c r="I331" s="40">
        <v>45072.0</v>
      </c>
      <c r="J331" s="109">
        <v>2148.0</v>
      </c>
      <c r="K331" s="109">
        <v>5.800026426E9</v>
      </c>
      <c r="L331" s="110"/>
      <c r="M331" s="40"/>
      <c r="N331" s="110"/>
      <c r="O331" s="109"/>
      <c r="P331" s="9"/>
      <c r="Q331" s="9"/>
      <c r="R331" s="40"/>
      <c r="S331" s="40"/>
      <c r="T331" s="113"/>
      <c r="U331" s="114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ht="35.25" customHeight="1">
      <c r="A332" s="40">
        <v>45072.0</v>
      </c>
      <c r="B332" s="109">
        <v>2777.0</v>
      </c>
      <c r="C332" s="109"/>
      <c r="D332" s="110" t="s">
        <v>188</v>
      </c>
      <c r="E332" s="110" t="s">
        <v>2334</v>
      </c>
      <c r="F332" s="109">
        <v>13.0</v>
      </c>
      <c r="G332" s="111">
        <v>1322.49</v>
      </c>
      <c r="H332" s="112" t="s">
        <v>180</v>
      </c>
      <c r="I332" s="40">
        <v>45072.0</v>
      </c>
      <c r="J332" s="109">
        <v>2148.0</v>
      </c>
      <c r="K332" s="109">
        <v>5.800026426E9</v>
      </c>
      <c r="L332" s="110"/>
      <c r="M332" s="40"/>
      <c r="N332" s="110"/>
      <c r="O332" s="109"/>
      <c r="P332" s="9"/>
      <c r="Q332" s="9"/>
      <c r="R332" s="40"/>
      <c r="S332" s="40"/>
      <c r="T332" s="113"/>
      <c r="U332" s="114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ht="35.25" customHeight="1">
      <c r="A333" s="40">
        <v>45072.0</v>
      </c>
      <c r="B333" s="109">
        <v>2778.0</v>
      </c>
      <c r="C333" s="109"/>
      <c r="D333" s="110" t="s">
        <v>188</v>
      </c>
      <c r="E333" s="110" t="s">
        <v>2335</v>
      </c>
      <c r="F333" s="109">
        <v>8.0</v>
      </c>
      <c r="G333" s="111">
        <v>302.77</v>
      </c>
      <c r="H333" s="112" t="s">
        <v>180</v>
      </c>
      <c r="I333" s="40">
        <v>45072.0</v>
      </c>
      <c r="J333" s="109">
        <v>2149.0</v>
      </c>
      <c r="K333" s="109">
        <v>5.800026426E9</v>
      </c>
      <c r="L333" s="110"/>
      <c r="M333" s="40"/>
      <c r="N333" s="110"/>
      <c r="O333" s="109"/>
      <c r="P333" s="9"/>
      <c r="Q333" s="9"/>
      <c r="R333" s="40"/>
      <c r="S333" s="40"/>
      <c r="T333" s="113"/>
      <c r="U333" s="114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ht="35.25" customHeight="1">
      <c r="A334" s="40">
        <v>45072.0</v>
      </c>
      <c r="B334" s="109">
        <v>2778.0</v>
      </c>
      <c r="C334" s="109"/>
      <c r="D334" s="110" t="s">
        <v>188</v>
      </c>
      <c r="E334" s="110" t="s">
        <v>2336</v>
      </c>
      <c r="F334" s="109">
        <v>42.0</v>
      </c>
      <c r="G334" s="111">
        <v>11180.07</v>
      </c>
      <c r="H334" s="112" t="s">
        <v>180</v>
      </c>
      <c r="I334" s="40">
        <v>45072.0</v>
      </c>
      <c r="J334" s="109">
        <v>2149.0</v>
      </c>
      <c r="K334" s="109">
        <v>5.800026426E9</v>
      </c>
      <c r="L334" s="110"/>
      <c r="M334" s="40"/>
      <c r="N334" s="110"/>
      <c r="O334" s="109"/>
      <c r="P334" s="9"/>
      <c r="Q334" s="9"/>
      <c r="R334" s="40"/>
      <c r="S334" s="40"/>
      <c r="T334" s="113"/>
      <c r="U334" s="114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ht="35.25" customHeight="1">
      <c r="A335" s="40">
        <v>45072.0</v>
      </c>
      <c r="B335" s="109">
        <v>2778.0</v>
      </c>
      <c r="C335" s="109"/>
      <c r="D335" s="110" t="s">
        <v>188</v>
      </c>
      <c r="E335" s="110" t="s">
        <v>2337</v>
      </c>
      <c r="F335" s="109">
        <v>7.0</v>
      </c>
      <c r="G335" s="111">
        <v>2349.27</v>
      </c>
      <c r="H335" s="112" t="s">
        <v>180</v>
      </c>
      <c r="I335" s="40">
        <v>45072.0</v>
      </c>
      <c r="J335" s="109">
        <v>2149.0</v>
      </c>
      <c r="K335" s="109">
        <v>5.800026426E9</v>
      </c>
      <c r="L335" s="110"/>
      <c r="M335" s="40"/>
      <c r="N335" s="110"/>
      <c r="O335" s="109"/>
      <c r="P335" s="9"/>
      <c r="Q335" s="9"/>
      <c r="R335" s="40"/>
      <c r="S335" s="40"/>
      <c r="T335" s="113"/>
      <c r="U335" s="114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ht="35.25" customHeight="1">
      <c r="A336" s="40">
        <v>45072.0</v>
      </c>
      <c r="B336" s="109">
        <v>2778.0</v>
      </c>
      <c r="C336" s="109"/>
      <c r="D336" s="110" t="s">
        <v>188</v>
      </c>
      <c r="E336" s="110" t="s">
        <v>2338</v>
      </c>
      <c r="F336" s="109">
        <v>4.0</v>
      </c>
      <c r="G336" s="111">
        <v>2502.48</v>
      </c>
      <c r="H336" s="112" t="s">
        <v>180</v>
      </c>
      <c r="I336" s="40">
        <v>45072.0</v>
      </c>
      <c r="J336" s="109">
        <v>2149.0</v>
      </c>
      <c r="K336" s="109">
        <v>5.800026426E9</v>
      </c>
      <c r="L336" s="110"/>
      <c r="M336" s="40"/>
      <c r="N336" s="110"/>
      <c r="O336" s="109"/>
      <c r="P336" s="9"/>
      <c r="Q336" s="9"/>
      <c r="R336" s="40"/>
      <c r="S336" s="40"/>
      <c r="T336" s="113"/>
      <c r="U336" s="114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ht="35.25" customHeight="1">
      <c r="A337" s="40">
        <v>45072.0</v>
      </c>
      <c r="B337" s="109">
        <v>2778.0</v>
      </c>
      <c r="C337" s="109"/>
      <c r="D337" s="110" t="s">
        <v>188</v>
      </c>
      <c r="E337" s="110" t="s">
        <v>2339</v>
      </c>
      <c r="F337" s="109">
        <v>6.0</v>
      </c>
      <c r="G337" s="111">
        <v>4348.48</v>
      </c>
      <c r="H337" s="112" t="s">
        <v>180</v>
      </c>
      <c r="I337" s="40">
        <v>45072.0</v>
      </c>
      <c r="J337" s="109">
        <v>2149.0</v>
      </c>
      <c r="K337" s="109">
        <v>5.800026426E9</v>
      </c>
      <c r="L337" s="110"/>
      <c r="M337" s="40"/>
      <c r="N337" s="110"/>
      <c r="O337" s="109"/>
      <c r="P337" s="9"/>
      <c r="Q337" s="9"/>
      <c r="R337" s="40"/>
      <c r="S337" s="40"/>
      <c r="T337" s="113"/>
      <c r="U337" s="114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ht="35.25" customHeight="1">
      <c r="A338" s="40">
        <v>45075.0</v>
      </c>
      <c r="B338" s="109">
        <v>2780.0</v>
      </c>
      <c r="C338" s="109"/>
      <c r="D338" s="110" t="s">
        <v>44</v>
      </c>
      <c r="E338" s="110" t="s">
        <v>2340</v>
      </c>
      <c r="F338" s="109">
        <v>1.0</v>
      </c>
      <c r="G338" s="111">
        <v>0.0</v>
      </c>
      <c r="H338" s="112" t="s">
        <v>2036</v>
      </c>
      <c r="I338" s="40"/>
      <c r="J338" s="109"/>
      <c r="K338" s="109"/>
      <c r="L338" s="110"/>
      <c r="M338" s="40"/>
      <c r="N338" s="110"/>
      <c r="O338" s="109"/>
      <c r="P338" s="9"/>
      <c r="Q338" s="9"/>
      <c r="R338" s="40"/>
      <c r="S338" s="40"/>
      <c r="T338" s="113"/>
      <c r="U338" s="114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ht="35.25" customHeight="1">
      <c r="A339" s="40">
        <v>45078.0</v>
      </c>
      <c r="B339" s="109">
        <v>2786.0</v>
      </c>
      <c r="C339" s="109"/>
      <c r="D339" s="110" t="s">
        <v>2341</v>
      </c>
      <c r="E339" s="110" t="s">
        <v>2342</v>
      </c>
      <c r="F339" s="109">
        <v>10.0</v>
      </c>
      <c r="G339" s="111">
        <v>2686.62</v>
      </c>
      <c r="H339" s="112" t="s">
        <v>2036</v>
      </c>
      <c r="I339" s="40"/>
      <c r="J339" s="109"/>
      <c r="K339" s="109"/>
      <c r="L339" s="110"/>
      <c r="M339" s="40"/>
      <c r="N339" s="110"/>
      <c r="O339" s="109"/>
      <c r="P339" s="9"/>
      <c r="Q339" s="9"/>
      <c r="R339" s="40"/>
      <c r="S339" s="40"/>
      <c r="T339" s="113"/>
      <c r="U339" s="114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ht="35.25" customHeight="1">
      <c r="A340" s="40">
        <v>45078.0</v>
      </c>
      <c r="B340" s="109">
        <v>2790.0</v>
      </c>
      <c r="C340" s="109"/>
      <c r="D340" s="110" t="s">
        <v>19</v>
      </c>
      <c r="E340" s="110" t="s">
        <v>2343</v>
      </c>
      <c r="F340" s="109">
        <v>2.0</v>
      </c>
      <c r="G340" s="111">
        <v>476.93</v>
      </c>
      <c r="H340" s="112" t="s">
        <v>2036</v>
      </c>
      <c r="I340" s="40"/>
      <c r="J340" s="109"/>
      <c r="K340" s="109"/>
      <c r="L340" s="110"/>
      <c r="M340" s="40"/>
      <c r="N340" s="110"/>
      <c r="O340" s="109"/>
      <c r="P340" s="9"/>
      <c r="Q340" s="9"/>
      <c r="R340" s="40"/>
      <c r="S340" s="40"/>
      <c r="T340" s="113"/>
      <c r="U340" s="114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ht="35.25" customHeight="1">
      <c r="A341" s="40">
        <v>45078.0</v>
      </c>
      <c r="B341" s="109">
        <v>2790.0</v>
      </c>
      <c r="C341" s="109"/>
      <c r="D341" s="110" t="s">
        <v>19</v>
      </c>
      <c r="E341" s="110" t="s">
        <v>2344</v>
      </c>
      <c r="F341" s="109">
        <v>6.0</v>
      </c>
      <c r="G341" s="111">
        <v>631.49</v>
      </c>
      <c r="H341" s="112" t="s">
        <v>2036</v>
      </c>
      <c r="I341" s="40"/>
      <c r="J341" s="109"/>
      <c r="K341" s="109"/>
      <c r="L341" s="110"/>
      <c r="M341" s="40"/>
      <c r="N341" s="110"/>
      <c r="O341" s="109"/>
      <c r="P341" s="9"/>
      <c r="Q341" s="9"/>
      <c r="R341" s="40"/>
      <c r="S341" s="40"/>
      <c r="T341" s="113"/>
      <c r="U341" s="114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ht="35.25" customHeight="1">
      <c r="A342" s="40">
        <v>45078.0</v>
      </c>
      <c r="B342" s="109">
        <v>2790.0</v>
      </c>
      <c r="C342" s="109"/>
      <c r="D342" s="110" t="s">
        <v>19</v>
      </c>
      <c r="E342" s="110" t="s">
        <v>2345</v>
      </c>
      <c r="F342" s="109">
        <v>2.0</v>
      </c>
      <c r="G342" s="111">
        <v>515.89</v>
      </c>
      <c r="H342" s="112" t="s">
        <v>2036</v>
      </c>
      <c r="I342" s="40"/>
      <c r="J342" s="109"/>
      <c r="K342" s="109"/>
      <c r="L342" s="110"/>
      <c r="M342" s="40"/>
      <c r="N342" s="110"/>
      <c r="O342" s="109"/>
      <c r="P342" s="9"/>
      <c r="Q342" s="9"/>
      <c r="R342" s="40"/>
      <c r="S342" s="40"/>
      <c r="T342" s="113"/>
      <c r="U342" s="114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ht="35.25" customHeight="1">
      <c r="A343" s="40">
        <v>45078.0</v>
      </c>
      <c r="B343" s="109">
        <v>2790.0</v>
      </c>
      <c r="C343" s="109"/>
      <c r="D343" s="110" t="s">
        <v>19</v>
      </c>
      <c r="E343" s="110" t="s">
        <v>2346</v>
      </c>
      <c r="F343" s="109">
        <v>100.0</v>
      </c>
      <c r="G343" s="111">
        <v>1175.61</v>
      </c>
      <c r="H343" s="112" t="s">
        <v>2036</v>
      </c>
      <c r="I343" s="40"/>
      <c r="J343" s="109"/>
      <c r="K343" s="109"/>
      <c r="L343" s="110"/>
      <c r="M343" s="40"/>
      <c r="N343" s="110"/>
      <c r="O343" s="109"/>
      <c r="P343" s="9"/>
      <c r="Q343" s="9"/>
      <c r="R343" s="40"/>
      <c r="S343" s="40"/>
      <c r="T343" s="113"/>
      <c r="U343" s="114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ht="35.25" customHeight="1">
      <c r="A344" s="40">
        <v>45079.0</v>
      </c>
      <c r="B344" s="109">
        <v>2791.0</v>
      </c>
      <c r="C344" s="109"/>
      <c r="D344" s="110" t="s">
        <v>2347</v>
      </c>
      <c r="E344" s="110" t="s">
        <v>2348</v>
      </c>
      <c r="F344" s="109">
        <v>2.0</v>
      </c>
      <c r="G344" s="111">
        <v>7742.41</v>
      </c>
      <c r="H344" s="112" t="s">
        <v>2036</v>
      </c>
      <c r="I344" s="40"/>
      <c r="J344" s="109"/>
      <c r="K344" s="109"/>
      <c r="L344" s="110"/>
      <c r="M344" s="40"/>
      <c r="N344" s="110"/>
      <c r="O344" s="109"/>
      <c r="P344" s="9"/>
      <c r="Q344" s="9"/>
      <c r="R344" s="40"/>
      <c r="S344" s="40"/>
      <c r="T344" s="113"/>
      <c r="U344" s="114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ht="35.25" customHeight="1">
      <c r="A345" s="40">
        <v>45079.0</v>
      </c>
      <c r="B345" s="109">
        <v>2791.0</v>
      </c>
      <c r="C345" s="109"/>
      <c r="D345" s="110" t="s">
        <v>2347</v>
      </c>
      <c r="E345" s="110" t="s">
        <v>2349</v>
      </c>
      <c r="F345" s="109">
        <v>1.0</v>
      </c>
      <c r="G345" s="111">
        <v>7243.48</v>
      </c>
      <c r="H345" s="112" t="s">
        <v>2036</v>
      </c>
      <c r="I345" s="40"/>
      <c r="J345" s="109"/>
      <c r="K345" s="109"/>
      <c r="L345" s="110"/>
      <c r="M345" s="40"/>
      <c r="N345" s="110"/>
      <c r="O345" s="109"/>
      <c r="P345" s="9"/>
      <c r="Q345" s="9"/>
      <c r="R345" s="40"/>
      <c r="S345" s="40"/>
      <c r="T345" s="113"/>
      <c r="U345" s="114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ht="35.25" customHeight="1">
      <c r="A346" s="40">
        <v>45079.0</v>
      </c>
      <c r="B346" s="109">
        <v>2791.0</v>
      </c>
      <c r="C346" s="109"/>
      <c r="D346" s="110" t="s">
        <v>2347</v>
      </c>
      <c r="E346" s="110" t="s">
        <v>2350</v>
      </c>
      <c r="F346" s="109">
        <v>1.0</v>
      </c>
      <c r="G346" s="111">
        <v>4344.11</v>
      </c>
      <c r="H346" s="112" t="s">
        <v>2036</v>
      </c>
      <c r="I346" s="40"/>
      <c r="J346" s="109"/>
      <c r="K346" s="109"/>
      <c r="L346" s="110"/>
      <c r="M346" s="40"/>
      <c r="N346" s="110"/>
      <c r="O346" s="109"/>
      <c r="P346" s="9"/>
      <c r="Q346" s="9"/>
      <c r="R346" s="40"/>
      <c r="S346" s="40"/>
      <c r="T346" s="113"/>
      <c r="U346" s="114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ht="35.25" customHeight="1">
      <c r="A347" s="40">
        <v>45079.0</v>
      </c>
      <c r="B347" s="109">
        <v>2791.0</v>
      </c>
      <c r="C347" s="109"/>
      <c r="D347" s="110" t="s">
        <v>2347</v>
      </c>
      <c r="E347" s="110" t="s">
        <v>2351</v>
      </c>
      <c r="F347" s="109">
        <v>1.0</v>
      </c>
      <c r="G347" s="111">
        <v>6820.52</v>
      </c>
      <c r="H347" s="112" t="s">
        <v>2036</v>
      </c>
      <c r="I347" s="40"/>
      <c r="J347" s="109"/>
      <c r="K347" s="109"/>
      <c r="L347" s="110"/>
      <c r="M347" s="40"/>
      <c r="N347" s="110"/>
      <c r="O347" s="109"/>
      <c r="P347" s="9"/>
      <c r="Q347" s="9"/>
      <c r="R347" s="40"/>
      <c r="S347" s="40"/>
      <c r="T347" s="113"/>
      <c r="U347" s="114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ht="35.25" customHeight="1">
      <c r="A348" s="40">
        <v>45079.0</v>
      </c>
      <c r="B348" s="109">
        <v>2791.0</v>
      </c>
      <c r="C348" s="109"/>
      <c r="D348" s="110" t="s">
        <v>2347</v>
      </c>
      <c r="E348" s="110" t="s">
        <v>2352</v>
      </c>
      <c r="F348" s="109">
        <v>1.0</v>
      </c>
      <c r="G348" s="111">
        <v>3520.71</v>
      </c>
      <c r="H348" s="112" t="s">
        <v>2036</v>
      </c>
      <c r="I348" s="40"/>
      <c r="J348" s="109"/>
      <c r="K348" s="109"/>
      <c r="L348" s="110"/>
      <c r="M348" s="40"/>
      <c r="N348" s="110"/>
      <c r="O348" s="109"/>
      <c r="P348" s="9"/>
      <c r="Q348" s="9"/>
      <c r="R348" s="40"/>
      <c r="S348" s="40"/>
      <c r="T348" s="113"/>
      <c r="U348" s="114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ht="35.25" customHeight="1">
      <c r="A349" s="40">
        <v>45079.0</v>
      </c>
      <c r="B349" s="109">
        <v>2791.0</v>
      </c>
      <c r="C349" s="109"/>
      <c r="D349" s="110" t="s">
        <v>2347</v>
      </c>
      <c r="E349" s="110" t="s">
        <v>2353</v>
      </c>
      <c r="F349" s="109">
        <v>1.0</v>
      </c>
      <c r="G349" s="111">
        <v>4184.48</v>
      </c>
      <c r="H349" s="112" t="s">
        <v>2036</v>
      </c>
      <c r="I349" s="40"/>
      <c r="J349" s="109"/>
      <c r="K349" s="109"/>
      <c r="L349" s="110"/>
      <c r="M349" s="40"/>
      <c r="N349" s="110"/>
      <c r="O349" s="109"/>
      <c r="P349" s="9"/>
      <c r="Q349" s="9"/>
      <c r="R349" s="40"/>
      <c r="S349" s="40"/>
      <c r="T349" s="113"/>
      <c r="U349" s="114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ht="35.25" customHeight="1">
      <c r="A350" s="40">
        <v>45079.0</v>
      </c>
      <c r="B350" s="109">
        <v>2792.0</v>
      </c>
      <c r="C350" s="109"/>
      <c r="D350" s="110" t="s">
        <v>77</v>
      </c>
      <c r="E350" s="110" t="s">
        <v>2354</v>
      </c>
      <c r="F350" s="109">
        <v>1.0</v>
      </c>
      <c r="G350" s="111">
        <v>11113.59</v>
      </c>
      <c r="H350" s="112" t="s">
        <v>2036</v>
      </c>
      <c r="I350" s="40"/>
      <c r="J350" s="109"/>
      <c r="K350" s="109"/>
      <c r="L350" s="110"/>
      <c r="M350" s="40"/>
      <c r="N350" s="110"/>
      <c r="O350" s="109"/>
      <c r="P350" s="9"/>
      <c r="Q350" s="9"/>
      <c r="R350" s="40"/>
      <c r="S350" s="40"/>
      <c r="T350" s="113"/>
      <c r="U350" s="114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ht="35.25" customHeight="1">
      <c r="A351" s="40">
        <v>45079.0</v>
      </c>
      <c r="B351" s="109">
        <v>2794.0</v>
      </c>
      <c r="C351" s="109"/>
      <c r="D351" s="110" t="s">
        <v>2355</v>
      </c>
      <c r="E351" s="110" t="s">
        <v>2356</v>
      </c>
      <c r="F351" s="109">
        <v>5.0</v>
      </c>
      <c r="G351" s="111">
        <v>5135.15</v>
      </c>
      <c r="H351" s="112" t="s">
        <v>2036</v>
      </c>
      <c r="I351" s="40"/>
      <c r="J351" s="109"/>
      <c r="K351" s="109"/>
      <c r="L351" s="110"/>
      <c r="M351" s="40"/>
      <c r="N351" s="110"/>
      <c r="O351" s="109"/>
      <c r="P351" s="9"/>
      <c r="Q351" s="9"/>
      <c r="R351" s="40"/>
      <c r="S351" s="40"/>
      <c r="T351" s="113"/>
      <c r="U351" s="114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ht="35.25" customHeight="1">
      <c r="A352" s="40">
        <v>45079.0</v>
      </c>
      <c r="B352" s="109">
        <v>2794.0</v>
      </c>
      <c r="C352" s="109"/>
      <c r="D352" s="110" t="s">
        <v>2355</v>
      </c>
      <c r="E352" s="110" t="s">
        <v>2357</v>
      </c>
      <c r="F352" s="109">
        <v>5.0</v>
      </c>
      <c r="G352" s="111">
        <v>18354.85</v>
      </c>
      <c r="H352" s="112" t="s">
        <v>2036</v>
      </c>
      <c r="I352" s="40"/>
      <c r="J352" s="109"/>
      <c r="K352" s="109"/>
      <c r="L352" s="110"/>
      <c r="M352" s="40"/>
      <c r="N352" s="110"/>
      <c r="O352" s="109"/>
      <c r="P352" s="9"/>
      <c r="Q352" s="9"/>
      <c r="R352" s="40"/>
      <c r="S352" s="40"/>
      <c r="T352" s="113"/>
      <c r="U352" s="114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ht="35.25" customHeight="1">
      <c r="A353" s="40">
        <v>45082.0</v>
      </c>
      <c r="B353" s="109">
        <v>2795.0</v>
      </c>
      <c r="C353" s="109"/>
      <c r="D353" s="110" t="s">
        <v>19</v>
      </c>
      <c r="E353" s="110" t="s">
        <v>2358</v>
      </c>
      <c r="F353" s="109">
        <v>62.0</v>
      </c>
      <c r="G353" s="111">
        <v>1457.0</v>
      </c>
      <c r="H353" s="112" t="s">
        <v>180</v>
      </c>
      <c r="I353" s="40">
        <v>45082.0</v>
      </c>
      <c r="J353" s="109">
        <v>2160.0</v>
      </c>
      <c r="K353" s="109">
        <v>4.500428436E9</v>
      </c>
      <c r="L353" s="110"/>
      <c r="M353" s="40"/>
      <c r="N353" s="110"/>
      <c r="O353" s="109"/>
      <c r="P353" s="9"/>
      <c r="Q353" s="9"/>
      <c r="R353" s="40"/>
      <c r="S353" s="40"/>
      <c r="T353" s="113"/>
      <c r="U353" s="114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ht="35.25" customHeight="1">
      <c r="A354" s="40">
        <v>45082.0</v>
      </c>
      <c r="B354" s="109">
        <v>2796.0</v>
      </c>
      <c r="C354" s="109"/>
      <c r="D354" s="110" t="s">
        <v>77</v>
      </c>
      <c r="E354" s="110" t="s">
        <v>2359</v>
      </c>
      <c r="F354" s="109">
        <v>2.0</v>
      </c>
      <c r="G354" s="111">
        <v>2702.4</v>
      </c>
      <c r="H354" s="112" t="s">
        <v>2036</v>
      </c>
      <c r="I354" s="40"/>
      <c r="J354" s="109"/>
      <c r="K354" s="109"/>
      <c r="L354" s="110"/>
      <c r="M354" s="40"/>
      <c r="N354" s="110"/>
      <c r="O354" s="109"/>
      <c r="P354" s="9"/>
      <c r="Q354" s="9"/>
      <c r="R354" s="40"/>
      <c r="S354" s="40"/>
      <c r="T354" s="113"/>
      <c r="U354" s="114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ht="35.25" customHeight="1">
      <c r="A355" s="40">
        <v>45082.0</v>
      </c>
      <c r="B355" s="109">
        <v>2797.0</v>
      </c>
      <c r="C355" s="109"/>
      <c r="D355" s="110" t="s">
        <v>77</v>
      </c>
      <c r="E355" s="110" t="s">
        <v>2360</v>
      </c>
      <c r="F355" s="109">
        <v>1.0</v>
      </c>
      <c r="G355" s="111">
        <v>6944.87</v>
      </c>
      <c r="H355" s="112" t="s">
        <v>2036</v>
      </c>
      <c r="I355" s="40"/>
      <c r="J355" s="109"/>
      <c r="K355" s="109"/>
      <c r="L355" s="110"/>
      <c r="M355" s="40"/>
      <c r="N355" s="110"/>
      <c r="O355" s="109"/>
      <c r="P355" s="9"/>
      <c r="Q355" s="9"/>
      <c r="R355" s="40"/>
      <c r="S355" s="40"/>
      <c r="T355" s="113"/>
      <c r="U355" s="114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ht="35.25" customHeight="1">
      <c r="A356" s="40">
        <v>45083.0</v>
      </c>
      <c r="B356" s="109">
        <v>2798.0</v>
      </c>
      <c r="C356" s="109"/>
      <c r="D356" s="110" t="s">
        <v>19</v>
      </c>
      <c r="E356" s="110" t="s">
        <v>2361</v>
      </c>
      <c r="F356" s="109">
        <v>3.0</v>
      </c>
      <c r="G356" s="111">
        <v>3619.65</v>
      </c>
      <c r="H356" s="112" t="s">
        <v>180</v>
      </c>
      <c r="I356" s="40">
        <v>45083.0</v>
      </c>
      <c r="J356" s="109">
        <v>2169.0</v>
      </c>
      <c r="K356" s="109">
        <v>4.500436916E9</v>
      </c>
      <c r="L356" s="110"/>
      <c r="M356" s="40"/>
      <c r="N356" s="110"/>
      <c r="O356" s="109"/>
      <c r="P356" s="9"/>
      <c r="Q356" s="9"/>
      <c r="R356" s="40"/>
      <c r="S356" s="40"/>
      <c r="T356" s="113"/>
      <c r="U356" s="114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ht="35.25" customHeight="1">
      <c r="A357" s="40">
        <v>45083.0</v>
      </c>
      <c r="B357" s="109">
        <v>2799.0</v>
      </c>
      <c r="C357" s="109"/>
      <c r="D357" s="110" t="s">
        <v>77</v>
      </c>
      <c r="E357" s="110" t="s">
        <v>2362</v>
      </c>
      <c r="F357" s="109">
        <v>2.0</v>
      </c>
      <c r="G357" s="111">
        <v>2712.73</v>
      </c>
      <c r="H357" s="112" t="s">
        <v>2036</v>
      </c>
      <c r="I357" s="40"/>
      <c r="J357" s="109"/>
      <c r="K357" s="109"/>
      <c r="L357" s="110"/>
      <c r="M357" s="40"/>
      <c r="N357" s="110"/>
      <c r="O357" s="109"/>
      <c r="P357" s="9"/>
      <c r="Q357" s="9"/>
      <c r="R357" s="40"/>
      <c r="S357" s="40"/>
      <c r="T357" s="113"/>
      <c r="U357" s="114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ht="35.25" customHeight="1">
      <c r="A358" s="40">
        <v>45084.0</v>
      </c>
      <c r="B358" s="109">
        <v>2800.0</v>
      </c>
      <c r="C358" s="109"/>
      <c r="D358" s="110" t="s">
        <v>2355</v>
      </c>
      <c r="E358" s="110" t="s">
        <v>2363</v>
      </c>
      <c r="F358" s="109">
        <v>1.0</v>
      </c>
      <c r="G358" s="111">
        <v>20243.4</v>
      </c>
      <c r="H358" s="112" t="s">
        <v>2036</v>
      </c>
      <c r="I358" s="40"/>
      <c r="J358" s="109"/>
      <c r="K358" s="109"/>
      <c r="L358" s="110"/>
      <c r="M358" s="40"/>
      <c r="N358" s="110"/>
      <c r="O358" s="109"/>
      <c r="P358" s="9"/>
      <c r="Q358" s="9"/>
      <c r="R358" s="40"/>
      <c r="S358" s="40"/>
      <c r="T358" s="113"/>
      <c r="U358" s="114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ht="35.25" customHeight="1">
      <c r="A359" s="40">
        <v>45084.0</v>
      </c>
      <c r="B359" s="109">
        <v>2801.0</v>
      </c>
      <c r="C359" s="109"/>
      <c r="D359" s="110" t="s">
        <v>2364</v>
      </c>
      <c r="E359" s="110" t="s">
        <v>2365</v>
      </c>
      <c r="F359" s="109">
        <v>1.0</v>
      </c>
      <c r="G359" s="129">
        <v>113.89</v>
      </c>
      <c r="H359" s="112" t="s">
        <v>2036</v>
      </c>
      <c r="I359" s="40"/>
      <c r="J359" s="109"/>
      <c r="K359" s="109"/>
      <c r="L359" s="110"/>
      <c r="M359" s="40"/>
      <c r="N359" s="110"/>
      <c r="O359" s="109"/>
      <c r="P359" s="9"/>
      <c r="Q359" s="9"/>
      <c r="R359" s="40"/>
      <c r="S359" s="40"/>
      <c r="T359" s="113"/>
      <c r="U359" s="114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ht="35.25" customHeight="1">
      <c r="A360" s="40">
        <v>45084.0</v>
      </c>
      <c r="B360" s="109">
        <v>2801.0</v>
      </c>
      <c r="C360" s="109"/>
      <c r="D360" s="110" t="s">
        <v>2364</v>
      </c>
      <c r="E360" s="110" t="s">
        <v>2366</v>
      </c>
      <c r="F360" s="109">
        <v>1.0</v>
      </c>
      <c r="G360" s="129">
        <v>3123.06</v>
      </c>
      <c r="H360" s="112" t="s">
        <v>2036</v>
      </c>
      <c r="I360" s="40"/>
      <c r="J360" s="109"/>
      <c r="K360" s="109"/>
      <c r="L360" s="110"/>
      <c r="M360" s="40"/>
      <c r="N360" s="110"/>
      <c r="O360" s="109"/>
      <c r="P360" s="9"/>
      <c r="Q360" s="9"/>
      <c r="R360" s="40"/>
      <c r="S360" s="40"/>
      <c r="T360" s="113"/>
      <c r="U360" s="114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ht="35.25" customHeight="1">
      <c r="A361" s="40">
        <v>45086.0</v>
      </c>
      <c r="B361" s="109">
        <v>2802.0</v>
      </c>
      <c r="C361" s="109"/>
      <c r="D361" s="110" t="s">
        <v>188</v>
      </c>
      <c r="E361" s="110" t="s">
        <v>2367</v>
      </c>
      <c r="F361" s="109">
        <v>20.0</v>
      </c>
      <c r="G361" s="129">
        <v>596.0</v>
      </c>
      <c r="H361" s="112" t="s">
        <v>180</v>
      </c>
      <c r="I361" s="40">
        <v>45086.0</v>
      </c>
      <c r="J361" s="109">
        <v>2170.0</v>
      </c>
      <c r="K361" s="109">
        <v>4.400608533E9</v>
      </c>
      <c r="L361" s="110"/>
      <c r="M361" s="40"/>
      <c r="N361" s="110"/>
      <c r="O361" s="109"/>
      <c r="P361" s="9"/>
      <c r="Q361" s="9"/>
      <c r="R361" s="40"/>
      <c r="S361" s="40"/>
      <c r="T361" s="113"/>
      <c r="U361" s="114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ht="35.25" customHeight="1">
      <c r="A362" s="40">
        <v>45089.0</v>
      </c>
      <c r="B362" s="109">
        <v>2803.0</v>
      </c>
      <c r="C362" s="109"/>
      <c r="D362" s="110" t="s">
        <v>44</v>
      </c>
      <c r="E362" s="110" t="s">
        <v>2279</v>
      </c>
      <c r="F362" s="109">
        <v>1.0</v>
      </c>
      <c r="G362" s="129">
        <v>327.96</v>
      </c>
      <c r="H362" s="112" t="s">
        <v>2036</v>
      </c>
      <c r="I362" s="40"/>
      <c r="J362" s="109"/>
      <c r="K362" s="109"/>
      <c r="L362" s="110"/>
      <c r="M362" s="40"/>
      <c r="N362" s="110"/>
      <c r="O362" s="109"/>
      <c r="P362" s="9"/>
      <c r="Q362" s="9"/>
      <c r="R362" s="40"/>
      <c r="S362" s="40"/>
      <c r="T362" s="113"/>
      <c r="U362" s="114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ht="35.25" customHeight="1">
      <c r="A363" s="40">
        <v>45089.0</v>
      </c>
      <c r="B363" s="109">
        <v>2803.0</v>
      </c>
      <c r="C363" s="109"/>
      <c r="D363" s="110" t="s">
        <v>44</v>
      </c>
      <c r="E363" s="110" t="s">
        <v>2280</v>
      </c>
      <c r="F363" s="109">
        <v>1.0</v>
      </c>
      <c r="G363" s="129">
        <v>327.96</v>
      </c>
      <c r="H363" s="112" t="s">
        <v>2036</v>
      </c>
      <c r="I363" s="40"/>
      <c r="J363" s="109"/>
      <c r="K363" s="109"/>
      <c r="L363" s="110"/>
      <c r="M363" s="40"/>
      <c r="N363" s="110"/>
      <c r="O363" s="109"/>
      <c r="P363" s="9"/>
      <c r="Q363" s="9"/>
      <c r="R363" s="40"/>
      <c r="S363" s="40"/>
      <c r="T363" s="113"/>
      <c r="U363" s="114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ht="35.25" customHeight="1">
      <c r="A364" s="40">
        <v>45089.0</v>
      </c>
      <c r="B364" s="109">
        <v>2803.0</v>
      </c>
      <c r="C364" s="109"/>
      <c r="D364" s="110" t="s">
        <v>44</v>
      </c>
      <c r="E364" s="110" t="s">
        <v>1094</v>
      </c>
      <c r="F364" s="109">
        <v>30.0</v>
      </c>
      <c r="G364" s="129">
        <v>4500.0</v>
      </c>
      <c r="H364" s="112" t="s">
        <v>2036</v>
      </c>
      <c r="I364" s="40"/>
      <c r="J364" s="109"/>
      <c r="K364" s="109"/>
      <c r="L364" s="110"/>
      <c r="M364" s="40"/>
      <c r="N364" s="110"/>
      <c r="O364" s="109"/>
      <c r="P364" s="9"/>
      <c r="Q364" s="9"/>
      <c r="R364" s="40"/>
      <c r="S364" s="40"/>
      <c r="T364" s="113"/>
      <c r="U364" s="114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ht="35.25" customHeight="1">
      <c r="A365" s="40">
        <v>45089.0</v>
      </c>
      <c r="B365" s="109">
        <v>2803.0</v>
      </c>
      <c r="C365" s="109"/>
      <c r="D365" s="110" t="s">
        <v>44</v>
      </c>
      <c r="E365" s="110" t="s">
        <v>2277</v>
      </c>
      <c r="F365" s="109">
        <v>30.0</v>
      </c>
      <c r="G365" s="129">
        <v>3000.0</v>
      </c>
      <c r="H365" s="112" t="s">
        <v>2036</v>
      </c>
      <c r="I365" s="40"/>
      <c r="J365" s="109"/>
      <c r="K365" s="109"/>
      <c r="L365" s="110"/>
      <c r="M365" s="40"/>
      <c r="N365" s="110"/>
      <c r="O365" s="109"/>
      <c r="P365" s="9"/>
      <c r="Q365" s="9"/>
      <c r="R365" s="40"/>
      <c r="S365" s="40"/>
      <c r="T365" s="113"/>
      <c r="U365" s="114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ht="35.25" customHeight="1">
      <c r="A366" s="40">
        <v>45089.0</v>
      </c>
      <c r="B366" s="109">
        <v>2804.0</v>
      </c>
      <c r="C366" s="109"/>
      <c r="D366" s="110" t="s">
        <v>44</v>
      </c>
      <c r="E366" s="110" t="s">
        <v>1209</v>
      </c>
      <c r="F366" s="109">
        <v>2.0</v>
      </c>
      <c r="G366" s="111">
        <v>2592.62</v>
      </c>
      <c r="H366" s="112" t="s">
        <v>180</v>
      </c>
      <c r="I366" s="40">
        <v>45089.0</v>
      </c>
      <c r="J366" s="109">
        <v>2175.0</v>
      </c>
      <c r="K366" s="109">
        <v>4.501757592E9</v>
      </c>
      <c r="L366" s="110"/>
      <c r="M366" s="40"/>
      <c r="N366" s="110"/>
      <c r="O366" s="109"/>
      <c r="P366" s="9"/>
      <c r="Q366" s="9"/>
      <c r="R366" s="40"/>
      <c r="S366" s="40"/>
      <c r="T366" s="113"/>
      <c r="U366" s="114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ht="35.25" customHeight="1">
      <c r="A367" s="40">
        <v>45090.0</v>
      </c>
      <c r="B367" s="109">
        <v>2808.0</v>
      </c>
      <c r="C367" s="109"/>
      <c r="D367" s="110" t="s">
        <v>77</v>
      </c>
      <c r="E367" s="110" t="s">
        <v>2368</v>
      </c>
      <c r="F367" s="109">
        <v>1.0</v>
      </c>
      <c r="G367" s="111">
        <v>0.01</v>
      </c>
      <c r="H367" s="112" t="s">
        <v>2036</v>
      </c>
      <c r="I367" s="40"/>
      <c r="J367" s="109"/>
      <c r="K367" s="109"/>
      <c r="L367" s="110"/>
      <c r="M367" s="40"/>
      <c r="N367" s="110"/>
      <c r="O367" s="109"/>
      <c r="P367" s="9"/>
      <c r="Q367" s="9"/>
      <c r="R367" s="40"/>
      <c r="S367" s="40"/>
      <c r="T367" s="113"/>
      <c r="U367" s="114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ht="35.25" customHeight="1">
      <c r="A368" s="40">
        <v>45090.0</v>
      </c>
      <c r="B368" s="109">
        <v>2808.0</v>
      </c>
      <c r="C368" s="109"/>
      <c r="D368" s="110" t="s">
        <v>77</v>
      </c>
      <c r="E368" s="119" t="s">
        <v>2369</v>
      </c>
      <c r="F368" s="109">
        <v>20.0</v>
      </c>
      <c r="G368" s="111">
        <v>138.59</v>
      </c>
      <c r="H368" s="112" t="s">
        <v>2036</v>
      </c>
      <c r="I368" s="40"/>
      <c r="J368" s="109"/>
      <c r="K368" s="109"/>
      <c r="L368" s="110"/>
      <c r="M368" s="40"/>
      <c r="N368" s="110"/>
      <c r="O368" s="109"/>
      <c r="P368" s="9"/>
      <c r="Q368" s="9"/>
      <c r="R368" s="40"/>
      <c r="S368" s="40"/>
      <c r="T368" s="113"/>
      <c r="U368" s="114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ht="35.25" customHeight="1">
      <c r="A369" s="40">
        <v>45090.0</v>
      </c>
      <c r="B369" s="109">
        <v>2808.0</v>
      </c>
      <c r="C369" s="109"/>
      <c r="D369" s="110" t="s">
        <v>77</v>
      </c>
      <c r="E369" s="110" t="s">
        <v>2370</v>
      </c>
      <c r="F369" s="109">
        <v>20.0</v>
      </c>
      <c r="G369" s="111">
        <v>276.44</v>
      </c>
      <c r="H369" s="112" t="s">
        <v>2036</v>
      </c>
      <c r="I369" s="40"/>
      <c r="J369" s="109"/>
      <c r="K369" s="109"/>
      <c r="L369" s="110"/>
      <c r="M369" s="40"/>
      <c r="N369" s="110"/>
      <c r="O369" s="109"/>
      <c r="P369" s="9"/>
      <c r="Q369" s="9"/>
      <c r="R369" s="40"/>
      <c r="S369" s="40"/>
      <c r="T369" s="113"/>
      <c r="U369" s="114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ht="35.25" customHeight="1">
      <c r="A370" s="40">
        <v>45090.0</v>
      </c>
      <c r="B370" s="109">
        <v>2808.0</v>
      </c>
      <c r="C370" s="109"/>
      <c r="D370" s="110" t="s">
        <v>77</v>
      </c>
      <c r="E370" s="110" t="s">
        <v>2264</v>
      </c>
      <c r="F370" s="109">
        <v>20.0</v>
      </c>
      <c r="G370" s="111">
        <v>277.38</v>
      </c>
      <c r="H370" s="112" t="s">
        <v>2036</v>
      </c>
      <c r="I370" s="40"/>
      <c r="J370" s="109"/>
      <c r="K370" s="109"/>
      <c r="L370" s="110"/>
      <c r="M370" s="40"/>
      <c r="N370" s="110"/>
      <c r="O370" s="109"/>
      <c r="P370" s="9"/>
      <c r="Q370" s="9"/>
      <c r="R370" s="40"/>
      <c r="S370" s="40"/>
      <c r="T370" s="113"/>
      <c r="U370" s="114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ht="35.25" customHeight="1">
      <c r="A371" s="40">
        <v>45090.0</v>
      </c>
      <c r="B371" s="109">
        <v>2808.0</v>
      </c>
      <c r="C371" s="109"/>
      <c r="D371" s="110" t="s">
        <v>77</v>
      </c>
      <c r="E371" s="110" t="s">
        <v>2125</v>
      </c>
      <c r="F371" s="109">
        <v>20.0</v>
      </c>
      <c r="G371" s="111">
        <v>365.41</v>
      </c>
      <c r="H371" s="112" t="s">
        <v>2036</v>
      </c>
      <c r="I371" s="40"/>
      <c r="J371" s="109"/>
      <c r="K371" s="109"/>
      <c r="L371" s="110"/>
      <c r="M371" s="40"/>
      <c r="N371" s="110"/>
      <c r="O371" s="109"/>
      <c r="P371" s="9"/>
      <c r="Q371" s="9"/>
      <c r="R371" s="40"/>
      <c r="S371" s="40"/>
      <c r="T371" s="113"/>
      <c r="U371" s="114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ht="35.25" customHeight="1">
      <c r="A372" s="40">
        <v>45090.0</v>
      </c>
      <c r="B372" s="109">
        <v>2808.0</v>
      </c>
      <c r="C372" s="109"/>
      <c r="D372" s="110" t="s">
        <v>77</v>
      </c>
      <c r="E372" s="110" t="s">
        <v>2265</v>
      </c>
      <c r="F372" s="109">
        <v>20.0</v>
      </c>
      <c r="G372" s="111">
        <v>594.24</v>
      </c>
      <c r="H372" s="112" t="s">
        <v>2036</v>
      </c>
      <c r="I372" s="40"/>
      <c r="J372" s="109"/>
      <c r="K372" s="109"/>
      <c r="L372" s="110"/>
      <c r="M372" s="40"/>
      <c r="N372" s="110"/>
      <c r="O372" s="109"/>
      <c r="P372" s="9"/>
      <c r="Q372" s="9"/>
      <c r="R372" s="40"/>
      <c r="S372" s="40"/>
      <c r="T372" s="113"/>
      <c r="U372" s="114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ht="35.25" customHeight="1">
      <c r="A373" s="40">
        <v>45090.0</v>
      </c>
      <c r="B373" s="109">
        <v>2808.0</v>
      </c>
      <c r="C373" s="109"/>
      <c r="D373" s="110" t="s">
        <v>77</v>
      </c>
      <c r="E373" s="110" t="s">
        <v>2371</v>
      </c>
      <c r="F373" s="109">
        <v>20.0</v>
      </c>
      <c r="G373" s="111">
        <v>1207.34</v>
      </c>
      <c r="H373" s="112" t="s">
        <v>2036</v>
      </c>
      <c r="I373" s="40"/>
      <c r="J373" s="109"/>
      <c r="K373" s="109"/>
      <c r="L373" s="110"/>
      <c r="M373" s="40"/>
      <c r="N373" s="110"/>
      <c r="O373" s="109"/>
      <c r="P373" s="9"/>
      <c r="Q373" s="9"/>
      <c r="R373" s="40"/>
      <c r="S373" s="40"/>
      <c r="T373" s="113"/>
      <c r="U373" s="114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ht="35.25" customHeight="1">
      <c r="A374" s="40">
        <v>45090.0</v>
      </c>
      <c r="B374" s="109">
        <v>2808.0</v>
      </c>
      <c r="C374" s="109"/>
      <c r="D374" s="110" t="s">
        <v>77</v>
      </c>
      <c r="E374" s="110" t="s">
        <v>2372</v>
      </c>
      <c r="F374" s="109">
        <v>20.0</v>
      </c>
      <c r="G374" s="111">
        <v>3406.46</v>
      </c>
      <c r="H374" s="112" t="s">
        <v>2036</v>
      </c>
      <c r="I374" s="40"/>
      <c r="J374" s="109"/>
      <c r="K374" s="109"/>
      <c r="L374" s="110"/>
      <c r="M374" s="40"/>
      <c r="N374" s="110"/>
      <c r="O374" s="109"/>
      <c r="P374" s="9"/>
      <c r="Q374" s="9"/>
      <c r="R374" s="40"/>
      <c r="S374" s="40"/>
      <c r="T374" s="113"/>
      <c r="U374" s="114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ht="35.25" customHeight="1">
      <c r="A375" s="40">
        <v>45090.0</v>
      </c>
      <c r="B375" s="109">
        <v>2808.0</v>
      </c>
      <c r="C375" s="109"/>
      <c r="D375" s="110" t="s">
        <v>77</v>
      </c>
      <c r="E375" s="110" t="s">
        <v>2043</v>
      </c>
      <c r="F375" s="109">
        <v>100.0</v>
      </c>
      <c r="G375" s="111">
        <v>3613.2</v>
      </c>
      <c r="H375" s="112" t="s">
        <v>2036</v>
      </c>
      <c r="I375" s="40"/>
      <c r="J375" s="109"/>
      <c r="K375" s="109"/>
      <c r="L375" s="110"/>
      <c r="M375" s="40"/>
      <c r="N375" s="110"/>
      <c r="O375" s="109"/>
      <c r="P375" s="9"/>
      <c r="Q375" s="9"/>
      <c r="R375" s="40"/>
      <c r="S375" s="40"/>
      <c r="T375" s="113"/>
      <c r="U375" s="114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ht="35.25" customHeight="1">
      <c r="A376" s="40">
        <v>45090.0</v>
      </c>
      <c r="B376" s="109">
        <v>2808.0</v>
      </c>
      <c r="C376" s="109"/>
      <c r="D376" s="110" t="s">
        <v>77</v>
      </c>
      <c r="E376" s="110" t="s">
        <v>2085</v>
      </c>
      <c r="F376" s="109">
        <v>5.0</v>
      </c>
      <c r="G376" s="111">
        <v>7218.02</v>
      </c>
      <c r="H376" s="112" t="s">
        <v>2036</v>
      </c>
      <c r="I376" s="40"/>
      <c r="J376" s="109"/>
      <c r="K376" s="109"/>
      <c r="L376" s="110"/>
      <c r="M376" s="40"/>
      <c r="N376" s="110"/>
      <c r="O376" s="109"/>
      <c r="P376" s="9"/>
      <c r="Q376" s="9"/>
      <c r="R376" s="40"/>
      <c r="S376" s="40"/>
      <c r="T376" s="113"/>
      <c r="U376" s="114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ht="35.25" customHeight="1">
      <c r="A377" s="40">
        <v>45090.0</v>
      </c>
      <c r="B377" s="109">
        <v>2808.0</v>
      </c>
      <c r="C377" s="109"/>
      <c r="D377" s="110" t="s">
        <v>77</v>
      </c>
      <c r="E377" s="110" t="s">
        <v>2317</v>
      </c>
      <c r="F377" s="109">
        <v>5.0</v>
      </c>
      <c r="G377" s="111">
        <v>7437.29</v>
      </c>
      <c r="H377" s="112" t="s">
        <v>2036</v>
      </c>
      <c r="I377" s="40"/>
      <c r="J377" s="109"/>
      <c r="K377" s="109"/>
      <c r="L377" s="110"/>
      <c r="M377" s="40"/>
      <c r="N377" s="110"/>
      <c r="O377" s="109"/>
      <c r="P377" s="9"/>
      <c r="Q377" s="9"/>
      <c r="R377" s="40"/>
      <c r="S377" s="40"/>
      <c r="T377" s="113"/>
      <c r="U377" s="114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ht="35.25" customHeight="1">
      <c r="A378" s="40">
        <v>45090.0</v>
      </c>
      <c r="B378" s="109">
        <v>2808.0</v>
      </c>
      <c r="C378" s="109"/>
      <c r="D378" s="110" t="s">
        <v>77</v>
      </c>
      <c r="E378" s="110" t="s">
        <v>2373</v>
      </c>
      <c r="F378" s="109">
        <v>5.0</v>
      </c>
      <c r="G378" s="111">
        <v>7447.36</v>
      </c>
      <c r="H378" s="112" t="s">
        <v>2036</v>
      </c>
      <c r="I378" s="40"/>
      <c r="J378" s="109"/>
      <c r="K378" s="109"/>
      <c r="L378" s="110"/>
      <c r="M378" s="40"/>
      <c r="N378" s="110"/>
      <c r="O378" s="109"/>
      <c r="P378" s="9"/>
      <c r="Q378" s="9"/>
      <c r="R378" s="40"/>
      <c r="S378" s="40"/>
      <c r="T378" s="113"/>
      <c r="U378" s="114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ht="35.25" customHeight="1">
      <c r="A379" s="40">
        <v>45090.0</v>
      </c>
      <c r="B379" s="109">
        <v>2808.0</v>
      </c>
      <c r="C379" s="109"/>
      <c r="D379" s="110" t="s">
        <v>77</v>
      </c>
      <c r="E379" s="110" t="s">
        <v>2374</v>
      </c>
      <c r="F379" s="109">
        <v>5.0</v>
      </c>
      <c r="G379" s="111">
        <v>7739.5</v>
      </c>
      <c r="H379" s="112" t="s">
        <v>2036</v>
      </c>
      <c r="I379" s="40"/>
      <c r="J379" s="109"/>
      <c r="K379" s="109"/>
      <c r="L379" s="110"/>
      <c r="M379" s="40"/>
      <c r="N379" s="110"/>
      <c r="O379" s="109"/>
      <c r="P379" s="9"/>
      <c r="Q379" s="9"/>
      <c r="R379" s="40"/>
      <c r="S379" s="40"/>
      <c r="T379" s="113"/>
      <c r="U379" s="114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ht="35.25" customHeight="1">
      <c r="A380" s="40">
        <v>45091.0</v>
      </c>
      <c r="B380" s="109">
        <v>2812.0</v>
      </c>
      <c r="C380" s="109"/>
      <c r="D380" s="110" t="s">
        <v>1580</v>
      </c>
      <c r="E380" s="110" t="s">
        <v>2375</v>
      </c>
      <c r="F380" s="109">
        <v>4.0</v>
      </c>
      <c r="G380" s="111">
        <v>5066.6</v>
      </c>
      <c r="H380" s="112" t="s">
        <v>2036</v>
      </c>
      <c r="I380" s="40"/>
      <c r="J380" s="109"/>
      <c r="K380" s="109"/>
      <c r="L380" s="110"/>
      <c r="M380" s="40"/>
      <c r="N380" s="110"/>
      <c r="O380" s="109"/>
      <c r="P380" s="9"/>
      <c r="Q380" s="9"/>
      <c r="R380" s="40"/>
      <c r="S380" s="40"/>
      <c r="T380" s="113"/>
      <c r="U380" s="114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ht="35.25" customHeight="1">
      <c r="A381" s="40">
        <v>45091.0</v>
      </c>
      <c r="B381" s="109">
        <v>2812.0</v>
      </c>
      <c r="C381" s="109"/>
      <c r="D381" s="110" t="s">
        <v>1580</v>
      </c>
      <c r="E381" s="110" t="s">
        <v>2376</v>
      </c>
      <c r="F381" s="109">
        <v>3.0</v>
      </c>
      <c r="G381" s="111">
        <v>27000.72</v>
      </c>
      <c r="H381" s="112" t="s">
        <v>2036</v>
      </c>
      <c r="I381" s="40"/>
      <c r="J381" s="109"/>
      <c r="K381" s="109"/>
      <c r="L381" s="110"/>
      <c r="M381" s="40"/>
      <c r="N381" s="110"/>
      <c r="O381" s="109"/>
      <c r="P381" s="9"/>
      <c r="Q381" s="9"/>
      <c r="R381" s="40"/>
      <c r="S381" s="40"/>
      <c r="T381" s="113"/>
      <c r="U381" s="114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ht="35.25" customHeight="1">
      <c r="A382" s="40">
        <v>45091.0</v>
      </c>
      <c r="B382" s="109">
        <v>2813.0</v>
      </c>
      <c r="C382" s="109"/>
      <c r="D382" s="110" t="s">
        <v>44</v>
      </c>
      <c r="E382" s="110" t="s">
        <v>2377</v>
      </c>
      <c r="F382" s="109">
        <v>6.0</v>
      </c>
      <c r="G382" s="111">
        <v>39702.18</v>
      </c>
      <c r="H382" s="112" t="s">
        <v>180</v>
      </c>
      <c r="I382" s="40">
        <v>45184.0</v>
      </c>
      <c r="J382" s="109">
        <v>2238.0</v>
      </c>
      <c r="K382" s="109">
        <v>4.501789291E9</v>
      </c>
      <c r="L382" s="113">
        <v>45184.0</v>
      </c>
      <c r="M382" s="40">
        <v>45184.0</v>
      </c>
      <c r="N382" s="110"/>
      <c r="O382" s="109"/>
      <c r="P382" s="9"/>
      <c r="Q382" s="9">
        <v>1.0</v>
      </c>
      <c r="R382" s="40">
        <v>45184.0</v>
      </c>
      <c r="S382" s="40"/>
      <c r="T382" s="113" t="s">
        <v>2095</v>
      </c>
      <c r="U382" s="114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ht="35.25" customHeight="1">
      <c r="A383" s="40">
        <v>45091.0</v>
      </c>
      <c r="B383" s="109">
        <v>2813.0</v>
      </c>
      <c r="C383" s="109"/>
      <c r="D383" s="110" t="s">
        <v>2378</v>
      </c>
      <c r="E383" s="110" t="s">
        <v>2377</v>
      </c>
      <c r="F383" s="109">
        <v>6.0</v>
      </c>
      <c r="G383" s="111">
        <v>29241.66</v>
      </c>
      <c r="H383" s="112" t="s">
        <v>2036</v>
      </c>
      <c r="I383" s="40"/>
      <c r="J383" s="109"/>
      <c r="K383" s="109"/>
      <c r="L383" s="113"/>
      <c r="M383" s="40"/>
      <c r="N383" s="110"/>
      <c r="O383" s="109"/>
      <c r="P383" s="9"/>
      <c r="Q383" s="9"/>
      <c r="R383" s="40"/>
      <c r="S383" s="40"/>
      <c r="T383" s="113"/>
      <c r="U383" s="114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ht="35.25" customHeight="1">
      <c r="A384" s="40">
        <v>45091.0</v>
      </c>
      <c r="B384" s="109">
        <v>2814.0</v>
      </c>
      <c r="C384" s="109"/>
      <c r="D384" s="110" t="s">
        <v>44</v>
      </c>
      <c r="E384" s="110" t="s">
        <v>2379</v>
      </c>
      <c r="F384" s="109">
        <v>2.0</v>
      </c>
      <c r="G384" s="111">
        <v>17758.34</v>
      </c>
      <c r="H384" s="112" t="s">
        <v>2036</v>
      </c>
      <c r="I384" s="40"/>
      <c r="J384" s="109"/>
      <c r="K384" s="109"/>
      <c r="L384" s="110"/>
      <c r="M384" s="40"/>
      <c r="N384" s="110"/>
      <c r="O384" s="109"/>
      <c r="P384" s="9"/>
      <c r="Q384" s="9"/>
      <c r="R384" s="40"/>
      <c r="S384" s="40"/>
      <c r="T384" s="113"/>
      <c r="U384" s="114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ht="35.25" customHeight="1">
      <c r="A385" s="40">
        <v>45091.0</v>
      </c>
      <c r="B385" s="109">
        <v>2815.0</v>
      </c>
      <c r="C385" s="109"/>
      <c r="D385" s="110" t="s">
        <v>790</v>
      </c>
      <c r="E385" s="110" t="s">
        <v>2380</v>
      </c>
      <c r="F385" s="109">
        <v>2.0</v>
      </c>
      <c r="G385" s="111">
        <v>444.49</v>
      </c>
      <c r="H385" s="112" t="s">
        <v>180</v>
      </c>
      <c r="I385" s="40">
        <v>45091.0</v>
      </c>
      <c r="J385" s="109">
        <v>2184.0</v>
      </c>
      <c r="K385" s="109">
        <v>4.514269438E9</v>
      </c>
      <c r="L385" s="110"/>
      <c r="M385" s="40"/>
      <c r="N385" s="110"/>
      <c r="O385" s="109"/>
      <c r="P385" s="9"/>
      <c r="Q385" s="9"/>
      <c r="R385" s="40"/>
      <c r="S385" s="40"/>
      <c r="T385" s="113"/>
      <c r="U385" s="114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ht="35.25" customHeight="1">
      <c r="A386" s="40">
        <v>45091.0</v>
      </c>
      <c r="B386" s="109">
        <v>2816.0</v>
      </c>
      <c r="C386" s="109"/>
      <c r="D386" s="110" t="s">
        <v>46</v>
      </c>
      <c r="E386" s="110" t="s">
        <v>2381</v>
      </c>
      <c r="F386" s="109">
        <v>3.0</v>
      </c>
      <c r="G386" s="111">
        <v>106.14</v>
      </c>
      <c r="H386" s="112" t="s">
        <v>2036</v>
      </c>
      <c r="I386" s="40"/>
      <c r="J386" s="109"/>
      <c r="K386" s="109"/>
      <c r="L386" s="110"/>
      <c r="M386" s="40"/>
      <c r="N386" s="110"/>
      <c r="O386" s="109"/>
      <c r="P386" s="9"/>
      <c r="Q386" s="9"/>
      <c r="R386" s="40"/>
      <c r="S386" s="40"/>
      <c r="T386" s="113"/>
      <c r="U386" s="114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ht="35.25" customHeight="1">
      <c r="A387" s="40">
        <v>45091.0</v>
      </c>
      <c r="B387" s="109">
        <v>2816.0</v>
      </c>
      <c r="C387" s="109"/>
      <c r="D387" s="110" t="s">
        <v>46</v>
      </c>
      <c r="E387" s="110" t="s">
        <v>2382</v>
      </c>
      <c r="F387" s="109">
        <v>3.0</v>
      </c>
      <c r="G387" s="111">
        <v>304.86</v>
      </c>
      <c r="H387" s="112" t="s">
        <v>2036</v>
      </c>
      <c r="I387" s="40"/>
      <c r="J387" s="109"/>
      <c r="K387" s="109"/>
      <c r="L387" s="110"/>
      <c r="M387" s="40"/>
      <c r="N387" s="110"/>
      <c r="O387" s="109"/>
      <c r="P387" s="9"/>
      <c r="Q387" s="9"/>
      <c r="R387" s="40"/>
      <c r="S387" s="40"/>
      <c r="T387" s="113"/>
      <c r="U387" s="114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ht="35.25" customHeight="1">
      <c r="A388" s="130">
        <v>45092.0</v>
      </c>
      <c r="B388" s="131">
        <v>2818.0</v>
      </c>
      <c r="C388" s="131"/>
      <c r="D388" s="122" t="s">
        <v>1222</v>
      </c>
      <c r="E388" s="122" t="s">
        <v>2383</v>
      </c>
      <c r="F388" s="131">
        <v>5.0</v>
      </c>
      <c r="G388" s="132">
        <v>225.65</v>
      </c>
      <c r="H388" s="122" t="s">
        <v>180</v>
      </c>
      <c r="I388" s="130">
        <v>45208.0</v>
      </c>
      <c r="J388" s="131">
        <v>2273.0</v>
      </c>
      <c r="K388" s="131">
        <v>9.05200357E8</v>
      </c>
      <c r="L388" s="122"/>
      <c r="M388" s="130"/>
      <c r="N388" s="122"/>
      <c r="O388" s="131"/>
      <c r="P388" s="133"/>
      <c r="Q388" s="133"/>
      <c r="R388" s="130"/>
      <c r="S388" s="130"/>
      <c r="T388" s="134"/>
      <c r="U388" s="133"/>
      <c r="V388" s="133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ht="35.25" customHeight="1">
      <c r="A389" s="130">
        <v>45092.0</v>
      </c>
      <c r="B389" s="131">
        <v>2818.0</v>
      </c>
      <c r="C389" s="131"/>
      <c r="D389" s="122" t="s">
        <v>1222</v>
      </c>
      <c r="E389" s="122" t="s">
        <v>2384</v>
      </c>
      <c r="F389" s="131">
        <v>5.0</v>
      </c>
      <c r="G389" s="132">
        <v>180.95</v>
      </c>
      <c r="H389" s="122" t="s">
        <v>180</v>
      </c>
      <c r="I389" s="130">
        <v>45208.0</v>
      </c>
      <c r="J389" s="131">
        <v>2273.0</v>
      </c>
      <c r="K389" s="131">
        <v>9.05200357E8</v>
      </c>
      <c r="L389" s="122"/>
      <c r="M389" s="130"/>
      <c r="N389" s="122"/>
      <c r="O389" s="131"/>
      <c r="P389" s="133"/>
      <c r="Q389" s="133"/>
      <c r="R389" s="130"/>
      <c r="S389" s="130"/>
      <c r="T389" s="134"/>
      <c r="U389" s="133"/>
      <c r="V389" s="133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ht="35.25" customHeight="1">
      <c r="A390" s="130">
        <v>45092.0</v>
      </c>
      <c r="B390" s="131">
        <v>2818.0</v>
      </c>
      <c r="C390" s="131"/>
      <c r="D390" s="122" t="s">
        <v>1222</v>
      </c>
      <c r="E390" s="122" t="s">
        <v>2385</v>
      </c>
      <c r="F390" s="131">
        <v>5.0</v>
      </c>
      <c r="G390" s="132">
        <v>180.95</v>
      </c>
      <c r="H390" s="122" t="s">
        <v>180</v>
      </c>
      <c r="I390" s="130">
        <v>45208.0</v>
      </c>
      <c r="J390" s="131">
        <v>2273.0</v>
      </c>
      <c r="K390" s="131">
        <v>9.05200357E8</v>
      </c>
      <c r="L390" s="122"/>
      <c r="M390" s="130"/>
      <c r="N390" s="122"/>
      <c r="O390" s="131"/>
      <c r="P390" s="133"/>
      <c r="Q390" s="133"/>
      <c r="R390" s="130"/>
      <c r="S390" s="130"/>
      <c r="T390" s="134"/>
      <c r="U390" s="133"/>
      <c r="V390" s="133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ht="35.25" customHeight="1">
      <c r="A391" s="130">
        <v>45092.0</v>
      </c>
      <c r="B391" s="131">
        <v>2818.0</v>
      </c>
      <c r="C391" s="131"/>
      <c r="D391" s="122" t="s">
        <v>1222</v>
      </c>
      <c r="E391" s="122" t="s">
        <v>2386</v>
      </c>
      <c r="F391" s="131">
        <v>5.0</v>
      </c>
      <c r="G391" s="132">
        <v>156.9</v>
      </c>
      <c r="H391" s="122" t="s">
        <v>180</v>
      </c>
      <c r="I391" s="130">
        <v>45208.0</v>
      </c>
      <c r="J391" s="131">
        <v>2273.0</v>
      </c>
      <c r="K391" s="131">
        <v>9.05200357E8</v>
      </c>
      <c r="L391" s="122"/>
      <c r="M391" s="130"/>
      <c r="N391" s="122"/>
      <c r="O391" s="131"/>
      <c r="P391" s="133"/>
      <c r="Q391" s="133"/>
      <c r="R391" s="130"/>
      <c r="S391" s="130"/>
      <c r="T391" s="134"/>
      <c r="U391" s="133"/>
      <c r="V391" s="133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ht="35.25" customHeight="1">
      <c r="A392" s="130">
        <v>45092.0</v>
      </c>
      <c r="B392" s="131">
        <v>2818.0</v>
      </c>
      <c r="C392" s="131"/>
      <c r="D392" s="122" t="s">
        <v>1222</v>
      </c>
      <c r="E392" s="122" t="s">
        <v>2383</v>
      </c>
      <c r="F392" s="131">
        <v>5.0</v>
      </c>
      <c r="G392" s="132">
        <v>225.65</v>
      </c>
      <c r="H392" s="122" t="s">
        <v>180</v>
      </c>
      <c r="I392" s="130">
        <v>45208.0</v>
      </c>
      <c r="J392" s="131">
        <v>2273.0</v>
      </c>
      <c r="K392" s="131">
        <v>9.05200357E8</v>
      </c>
      <c r="L392" s="122"/>
      <c r="M392" s="130"/>
      <c r="N392" s="122"/>
      <c r="O392" s="131"/>
      <c r="P392" s="133"/>
      <c r="Q392" s="133"/>
      <c r="R392" s="130"/>
      <c r="S392" s="130"/>
      <c r="T392" s="134"/>
      <c r="U392" s="133"/>
      <c r="V392" s="133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ht="35.25" customHeight="1">
      <c r="A393" s="130">
        <v>45092.0</v>
      </c>
      <c r="B393" s="131">
        <v>2818.0</v>
      </c>
      <c r="C393" s="131"/>
      <c r="D393" s="122" t="s">
        <v>1222</v>
      </c>
      <c r="E393" s="122" t="s">
        <v>2385</v>
      </c>
      <c r="F393" s="131">
        <v>5.0</v>
      </c>
      <c r="G393" s="132">
        <v>180.95</v>
      </c>
      <c r="H393" s="122" t="s">
        <v>180</v>
      </c>
      <c r="I393" s="130">
        <v>45208.0</v>
      </c>
      <c r="J393" s="131">
        <v>2273.0</v>
      </c>
      <c r="K393" s="131">
        <v>9.05200357E8</v>
      </c>
      <c r="L393" s="122"/>
      <c r="M393" s="130"/>
      <c r="N393" s="122"/>
      <c r="O393" s="131"/>
      <c r="P393" s="133"/>
      <c r="Q393" s="133"/>
      <c r="R393" s="130"/>
      <c r="S393" s="130"/>
      <c r="T393" s="134"/>
      <c r="U393" s="133"/>
      <c r="V393" s="133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ht="35.25" customHeight="1">
      <c r="A394" s="130">
        <v>45092.0</v>
      </c>
      <c r="B394" s="131">
        <v>2818.0</v>
      </c>
      <c r="C394" s="131"/>
      <c r="D394" s="122" t="s">
        <v>1222</v>
      </c>
      <c r="E394" s="122" t="s">
        <v>2387</v>
      </c>
      <c r="F394" s="131">
        <v>5.0</v>
      </c>
      <c r="G394" s="132">
        <v>160.55</v>
      </c>
      <c r="H394" s="122" t="s">
        <v>180</v>
      </c>
      <c r="I394" s="130">
        <v>45208.0</v>
      </c>
      <c r="J394" s="131">
        <v>2273.0</v>
      </c>
      <c r="K394" s="131">
        <v>9.05200357E8</v>
      </c>
      <c r="L394" s="122"/>
      <c r="M394" s="130"/>
      <c r="N394" s="122"/>
      <c r="O394" s="131"/>
      <c r="P394" s="133"/>
      <c r="Q394" s="133"/>
      <c r="R394" s="130"/>
      <c r="S394" s="130"/>
      <c r="T394" s="134"/>
      <c r="U394" s="133"/>
      <c r="V394" s="133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ht="35.25" customHeight="1">
      <c r="A395" s="130">
        <v>45092.0</v>
      </c>
      <c r="B395" s="131">
        <v>2818.0</v>
      </c>
      <c r="C395" s="131"/>
      <c r="D395" s="122" t="s">
        <v>1222</v>
      </c>
      <c r="E395" s="122" t="s">
        <v>2386</v>
      </c>
      <c r="F395" s="131">
        <v>5.0</v>
      </c>
      <c r="G395" s="132">
        <v>156.9</v>
      </c>
      <c r="H395" s="122" t="s">
        <v>180</v>
      </c>
      <c r="I395" s="130">
        <v>45208.0</v>
      </c>
      <c r="J395" s="131">
        <v>2273.0</v>
      </c>
      <c r="K395" s="131">
        <v>9.05200357E8</v>
      </c>
      <c r="L395" s="122"/>
      <c r="M395" s="130"/>
      <c r="N395" s="122"/>
      <c r="O395" s="131"/>
      <c r="P395" s="133"/>
      <c r="Q395" s="133"/>
      <c r="R395" s="130"/>
      <c r="S395" s="130"/>
      <c r="T395" s="134"/>
      <c r="U395" s="133"/>
      <c r="V395" s="133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ht="35.25" customHeight="1">
      <c r="A396" s="130">
        <v>45092.0</v>
      </c>
      <c r="B396" s="131">
        <v>2818.0</v>
      </c>
      <c r="C396" s="131"/>
      <c r="D396" s="122" t="s">
        <v>1222</v>
      </c>
      <c r="E396" s="122" t="s">
        <v>2388</v>
      </c>
      <c r="F396" s="131">
        <v>5.0</v>
      </c>
      <c r="G396" s="132">
        <v>188.4</v>
      </c>
      <c r="H396" s="122" t="s">
        <v>180</v>
      </c>
      <c r="I396" s="130">
        <v>45208.0</v>
      </c>
      <c r="J396" s="131">
        <v>2273.0</v>
      </c>
      <c r="K396" s="131">
        <v>9.05200357E8</v>
      </c>
      <c r="L396" s="122"/>
      <c r="M396" s="130"/>
      <c r="N396" s="122"/>
      <c r="O396" s="131"/>
      <c r="P396" s="133"/>
      <c r="Q396" s="133"/>
      <c r="R396" s="130"/>
      <c r="S396" s="130"/>
      <c r="T396" s="134"/>
      <c r="U396" s="133"/>
      <c r="V396" s="133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ht="35.25" customHeight="1">
      <c r="A397" s="130">
        <v>45092.0</v>
      </c>
      <c r="B397" s="131">
        <v>2818.0</v>
      </c>
      <c r="C397" s="131"/>
      <c r="D397" s="122" t="s">
        <v>1222</v>
      </c>
      <c r="E397" s="122" t="s">
        <v>2384</v>
      </c>
      <c r="F397" s="131">
        <v>5.0</v>
      </c>
      <c r="G397" s="132">
        <v>180.9</v>
      </c>
      <c r="H397" s="122" t="s">
        <v>180</v>
      </c>
      <c r="I397" s="130">
        <v>45208.0</v>
      </c>
      <c r="J397" s="131">
        <v>2273.0</v>
      </c>
      <c r="K397" s="131">
        <v>9.05200357E8</v>
      </c>
      <c r="L397" s="122"/>
      <c r="M397" s="130"/>
      <c r="N397" s="122"/>
      <c r="O397" s="131"/>
      <c r="P397" s="133"/>
      <c r="Q397" s="133"/>
      <c r="R397" s="130"/>
      <c r="S397" s="130"/>
      <c r="T397" s="134"/>
      <c r="U397" s="133"/>
      <c r="V397" s="133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ht="35.25" customHeight="1">
      <c r="A398" s="130">
        <v>45092.0</v>
      </c>
      <c r="B398" s="131">
        <v>2818.0</v>
      </c>
      <c r="C398" s="131"/>
      <c r="D398" s="122" t="s">
        <v>1222</v>
      </c>
      <c r="E398" s="122" t="s">
        <v>2387</v>
      </c>
      <c r="F398" s="131">
        <v>5.0</v>
      </c>
      <c r="G398" s="132">
        <v>160.55</v>
      </c>
      <c r="H398" s="122" t="s">
        <v>180</v>
      </c>
      <c r="I398" s="130">
        <v>45208.0</v>
      </c>
      <c r="J398" s="131">
        <v>2273.0</v>
      </c>
      <c r="K398" s="131">
        <v>9.05200357E8</v>
      </c>
      <c r="L398" s="122"/>
      <c r="M398" s="130"/>
      <c r="N398" s="122"/>
      <c r="O398" s="131"/>
      <c r="P398" s="133"/>
      <c r="Q398" s="133"/>
      <c r="R398" s="130"/>
      <c r="S398" s="130"/>
      <c r="T398" s="134"/>
      <c r="U398" s="133"/>
      <c r="V398" s="133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ht="35.25" customHeight="1">
      <c r="A399" s="130">
        <v>45092.0</v>
      </c>
      <c r="B399" s="131">
        <v>2818.0</v>
      </c>
      <c r="C399" s="131"/>
      <c r="D399" s="122" t="s">
        <v>1222</v>
      </c>
      <c r="E399" s="122" t="s">
        <v>2388</v>
      </c>
      <c r="F399" s="131">
        <v>5.0</v>
      </c>
      <c r="G399" s="132">
        <v>188.4</v>
      </c>
      <c r="H399" s="122" t="s">
        <v>180</v>
      </c>
      <c r="I399" s="130">
        <v>45208.0</v>
      </c>
      <c r="J399" s="131">
        <v>2273.0</v>
      </c>
      <c r="K399" s="131">
        <v>9.05200357E8</v>
      </c>
      <c r="L399" s="122"/>
      <c r="M399" s="130"/>
      <c r="N399" s="122"/>
      <c r="O399" s="131"/>
      <c r="P399" s="133"/>
      <c r="Q399" s="133"/>
      <c r="R399" s="130"/>
      <c r="S399" s="130"/>
      <c r="T399" s="134"/>
      <c r="U399" s="133"/>
      <c r="V399" s="133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ht="35.25" customHeight="1">
      <c r="A400" s="40">
        <v>45092.0</v>
      </c>
      <c r="B400" s="109">
        <v>2819.0</v>
      </c>
      <c r="C400" s="109"/>
      <c r="D400" s="110" t="s">
        <v>2389</v>
      </c>
      <c r="E400" s="110" t="s">
        <v>2390</v>
      </c>
      <c r="F400" s="109">
        <v>10.0</v>
      </c>
      <c r="G400" s="111">
        <v>4236.9</v>
      </c>
      <c r="H400" s="110" t="s">
        <v>2036</v>
      </c>
      <c r="I400" s="40"/>
      <c r="J400" s="109"/>
      <c r="K400" s="109"/>
      <c r="L400" s="110"/>
      <c r="M400" s="40"/>
      <c r="N400" s="110"/>
      <c r="O400" s="109"/>
      <c r="P400" s="9"/>
      <c r="Q400" s="9"/>
      <c r="R400" s="40"/>
      <c r="S400" s="40"/>
      <c r="T400" s="113"/>
      <c r="U400" s="114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ht="35.25" customHeight="1">
      <c r="A401" s="40">
        <v>45093.0</v>
      </c>
      <c r="B401" s="109">
        <v>2821.0</v>
      </c>
      <c r="C401" s="109"/>
      <c r="D401" s="110" t="s">
        <v>1580</v>
      </c>
      <c r="E401" s="110" t="s">
        <v>2391</v>
      </c>
      <c r="F401" s="109">
        <v>1.0</v>
      </c>
      <c r="G401" s="111">
        <v>0.0</v>
      </c>
      <c r="H401" s="112" t="s">
        <v>2036</v>
      </c>
      <c r="I401" s="40"/>
      <c r="J401" s="109"/>
      <c r="K401" s="109"/>
      <c r="L401" s="110"/>
      <c r="M401" s="40"/>
      <c r="N401" s="110"/>
      <c r="O401" s="109"/>
      <c r="P401" s="9"/>
      <c r="Q401" s="9"/>
      <c r="R401" s="40"/>
      <c r="S401" s="40"/>
      <c r="T401" s="113"/>
      <c r="U401" s="114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ht="35.25" customHeight="1">
      <c r="A402" s="40">
        <v>45095.0</v>
      </c>
      <c r="B402" s="109">
        <v>2824.0</v>
      </c>
      <c r="C402" s="109"/>
      <c r="D402" s="110" t="s">
        <v>44</v>
      </c>
      <c r="E402" s="110" t="s">
        <v>2392</v>
      </c>
      <c r="F402" s="109">
        <v>1.0</v>
      </c>
      <c r="G402" s="111">
        <v>1927.96</v>
      </c>
      <c r="H402" s="112" t="s">
        <v>2036</v>
      </c>
      <c r="I402" s="40"/>
      <c r="J402" s="109"/>
      <c r="K402" s="109"/>
      <c r="L402" s="110"/>
      <c r="M402" s="40"/>
      <c r="N402" s="110"/>
      <c r="O402" s="109"/>
      <c r="P402" s="9"/>
      <c r="Q402" s="9"/>
      <c r="R402" s="40"/>
      <c r="S402" s="40"/>
      <c r="T402" s="113"/>
      <c r="U402" s="114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ht="35.25" customHeight="1">
      <c r="A403" s="40">
        <v>45097.0</v>
      </c>
      <c r="B403" s="109">
        <v>2827.0</v>
      </c>
      <c r="C403" s="109"/>
      <c r="D403" s="110" t="s">
        <v>44</v>
      </c>
      <c r="E403" s="110" t="s">
        <v>2040</v>
      </c>
      <c r="F403" s="109">
        <v>1.0</v>
      </c>
      <c r="G403" s="111">
        <v>19330.86</v>
      </c>
      <c r="H403" s="112" t="s">
        <v>2036</v>
      </c>
      <c r="I403" s="40"/>
      <c r="J403" s="109"/>
      <c r="K403" s="109"/>
      <c r="L403" s="110"/>
      <c r="M403" s="40"/>
      <c r="N403" s="110"/>
      <c r="O403" s="109"/>
      <c r="P403" s="9"/>
      <c r="Q403" s="9"/>
      <c r="R403" s="40"/>
      <c r="S403" s="40"/>
      <c r="T403" s="113"/>
      <c r="U403" s="114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ht="35.25" customHeight="1">
      <c r="A404" s="40">
        <v>45097.0</v>
      </c>
      <c r="B404" s="109">
        <v>2827.0</v>
      </c>
      <c r="C404" s="109"/>
      <c r="D404" s="110" t="s">
        <v>44</v>
      </c>
      <c r="E404" s="110" t="s">
        <v>2040</v>
      </c>
      <c r="F404" s="109">
        <v>1.0</v>
      </c>
      <c r="G404" s="111">
        <v>17542.75</v>
      </c>
      <c r="H404" s="112" t="s">
        <v>2036</v>
      </c>
      <c r="I404" s="40"/>
      <c r="J404" s="109"/>
      <c r="K404" s="109"/>
      <c r="L404" s="110"/>
      <c r="M404" s="40"/>
      <c r="N404" s="110"/>
      <c r="O404" s="109"/>
      <c r="P404" s="9"/>
      <c r="Q404" s="9"/>
      <c r="R404" s="40"/>
      <c r="S404" s="40"/>
      <c r="T404" s="113"/>
      <c r="U404" s="114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ht="35.25" customHeight="1">
      <c r="A405" s="40">
        <v>45097.0</v>
      </c>
      <c r="B405" s="109">
        <v>2828.0</v>
      </c>
      <c r="C405" s="109"/>
      <c r="D405" s="110" t="s">
        <v>44</v>
      </c>
      <c r="E405" s="110" t="s">
        <v>2393</v>
      </c>
      <c r="F405" s="109">
        <v>1.0</v>
      </c>
      <c r="G405" s="111">
        <v>18865.2</v>
      </c>
      <c r="H405" s="110" t="s">
        <v>2036</v>
      </c>
      <c r="I405" s="40"/>
      <c r="J405" s="109"/>
      <c r="K405" s="109"/>
      <c r="L405" s="110"/>
      <c r="M405" s="40"/>
      <c r="N405" s="110"/>
      <c r="O405" s="109"/>
      <c r="P405" s="9"/>
      <c r="Q405" s="9"/>
      <c r="R405" s="40"/>
      <c r="S405" s="40"/>
      <c r="T405" s="113"/>
      <c r="U405" s="114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ht="35.25" customHeight="1">
      <c r="A406" s="40">
        <v>45097.0</v>
      </c>
      <c r="B406" s="109">
        <v>2828.0</v>
      </c>
      <c r="C406" s="109"/>
      <c r="D406" s="110" t="s">
        <v>44</v>
      </c>
      <c r="E406" s="110" t="s">
        <v>2393</v>
      </c>
      <c r="F406" s="109">
        <v>1.0</v>
      </c>
      <c r="G406" s="111">
        <v>17120.17</v>
      </c>
      <c r="H406" s="110" t="s">
        <v>2036</v>
      </c>
      <c r="I406" s="40"/>
      <c r="J406" s="109"/>
      <c r="K406" s="109"/>
      <c r="L406" s="110"/>
      <c r="M406" s="40"/>
      <c r="N406" s="110"/>
      <c r="O406" s="109"/>
      <c r="P406" s="9"/>
      <c r="Q406" s="9"/>
      <c r="R406" s="40"/>
      <c r="S406" s="40"/>
      <c r="T406" s="113"/>
      <c r="U406" s="114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ht="35.25" customHeight="1">
      <c r="A407" s="40">
        <v>45097.0</v>
      </c>
      <c r="B407" s="109">
        <v>2829.0</v>
      </c>
      <c r="C407" s="109"/>
      <c r="D407" s="110" t="s">
        <v>44</v>
      </c>
      <c r="E407" s="110" t="s">
        <v>2394</v>
      </c>
      <c r="F407" s="109">
        <v>1.0</v>
      </c>
      <c r="G407" s="111">
        <v>10081.01</v>
      </c>
      <c r="H407" s="110" t="s">
        <v>2036</v>
      </c>
      <c r="I407" s="40"/>
      <c r="J407" s="109"/>
      <c r="K407" s="109"/>
      <c r="L407" s="110"/>
      <c r="M407" s="40"/>
      <c r="N407" s="110"/>
      <c r="O407" s="109"/>
      <c r="P407" s="9"/>
      <c r="Q407" s="9"/>
      <c r="R407" s="40"/>
      <c r="S407" s="40"/>
      <c r="T407" s="113"/>
      <c r="U407" s="114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ht="35.25" customHeight="1">
      <c r="A408" s="40">
        <v>45098.0</v>
      </c>
      <c r="B408" s="109">
        <v>2830.0</v>
      </c>
      <c r="C408" s="109"/>
      <c r="D408" s="110" t="s">
        <v>19</v>
      </c>
      <c r="E408" s="110" t="s">
        <v>2053</v>
      </c>
      <c r="F408" s="109">
        <v>70.0</v>
      </c>
      <c r="G408" s="111">
        <v>1365.0</v>
      </c>
      <c r="H408" s="110" t="s">
        <v>2036</v>
      </c>
      <c r="I408" s="40"/>
      <c r="J408" s="109"/>
      <c r="K408" s="109"/>
      <c r="L408" s="110"/>
      <c r="M408" s="40"/>
      <c r="N408" s="110"/>
      <c r="O408" s="109"/>
      <c r="P408" s="9"/>
      <c r="Q408" s="9"/>
      <c r="R408" s="40"/>
      <c r="S408" s="40"/>
      <c r="T408" s="113"/>
      <c r="U408" s="114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ht="35.25" customHeight="1">
      <c r="A409" s="40">
        <v>45098.0</v>
      </c>
      <c r="B409" s="109">
        <v>2830.0</v>
      </c>
      <c r="C409" s="109"/>
      <c r="D409" s="110" t="s">
        <v>19</v>
      </c>
      <c r="E409" s="110" t="s">
        <v>2370</v>
      </c>
      <c r="F409" s="109">
        <v>230.0</v>
      </c>
      <c r="G409" s="111">
        <v>3496.0</v>
      </c>
      <c r="H409" s="110" t="s">
        <v>2036</v>
      </c>
      <c r="I409" s="40"/>
      <c r="J409" s="109"/>
      <c r="K409" s="109"/>
      <c r="L409" s="110"/>
      <c r="M409" s="40"/>
      <c r="N409" s="110"/>
      <c r="O409" s="109"/>
      <c r="P409" s="9"/>
      <c r="Q409" s="9"/>
      <c r="R409" s="40"/>
      <c r="S409" s="40"/>
      <c r="T409" s="113"/>
      <c r="U409" s="114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ht="35.25" customHeight="1">
      <c r="A410" s="40">
        <v>45098.0</v>
      </c>
      <c r="B410" s="109">
        <v>2830.0</v>
      </c>
      <c r="C410" s="109"/>
      <c r="D410" s="110" t="s">
        <v>19</v>
      </c>
      <c r="E410" s="110" t="s">
        <v>2201</v>
      </c>
      <c r="F410" s="109">
        <v>300.0</v>
      </c>
      <c r="G410" s="111">
        <v>1050.0</v>
      </c>
      <c r="H410" s="110" t="s">
        <v>2036</v>
      </c>
      <c r="I410" s="40"/>
      <c r="J410" s="109"/>
      <c r="K410" s="109"/>
      <c r="L410" s="110"/>
      <c r="M410" s="40"/>
      <c r="N410" s="110"/>
      <c r="O410" s="109"/>
      <c r="P410" s="9"/>
      <c r="Q410" s="9"/>
      <c r="R410" s="40"/>
      <c r="S410" s="40"/>
      <c r="T410" s="113"/>
      <c r="U410" s="114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ht="35.25" customHeight="1">
      <c r="A411" s="40">
        <v>45098.0</v>
      </c>
      <c r="B411" s="109">
        <v>2830.0</v>
      </c>
      <c r="C411" s="109"/>
      <c r="D411" s="110" t="s">
        <v>19</v>
      </c>
      <c r="E411" s="110" t="s">
        <v>2107</v>
      </c>
      <c r="F411" s="109">
        <v>220.0</v>
      </c>
      <c r="G411" s="111">
        <v>704.0</v>
      </c>
      <c r="H411" s="110" t="s">
        <v>2036</v>
      </c>
      <c r="I411" s="40"/>
      <c r="J411" s="109"/>
      <c r="K411" s="109"/>
      <c r="L411" s="110"/>
      <c r="M411" s="40"/>
      <c r="N411" s="110"/>
      <c r="O411" s="109"/>
      <c r="P411" s="9"/>
      <c r="Q411" s="9"/>
      <c r="R411" s="40"/>
      <c r="S411" s="40"/>
      <c r="T411" s="113"/>
      <c r="U411" s="114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ht="35.25" customHeight="1">
      <c r="A412" s="40">
        <v>45099.0</v>
      </c>
      <c r="B412" s="109">
        <v>2833.0</v>
      </c>
      <c r="C412" s="109"/>
      <c r="D412" s="110" t="s">
        <v>19</v>
      </c>
      <c r="E412" s="110" t="s">
        <v>2395</v>
      </c>
      <c r="F412" s="109">
        <v>1.0</v>
      </c>
      <c r="G412" s="111">
        <v>44912.5</v>
      </c>
      <c r="H412" s="110" t="s">
        <v>2036</v>
      </c>
      <c r="I412" s="40"/>
      <c r="J412" s="109"/>
      <c r="K412" s="109"/>
      <c r="L412" s="110"/>
      <c r="M412" s="40"/>
      <c r="N412" s="110"/>
      <c r="O412" s="109"/>
      <c r="P412" s="9"/>
      <c r="Q412" s="9"/>
      <c r="R412" s="40"/>
      <c r="S412" s="40"/>
      <c r="T412" s="113"/>
      <c r="U412" s="114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ht="35.25" customHeight="1">
      <c r="A413" s="40">
        <v>45100.0</v>
      </c>
      <c r="B413" s="109">
        <v>2835.0</v>
      </c>
      <c r="C413" s="109"/>
      <c r="D413" s="110" t="s">
        <v>19</v>
      </c>
      <c r="E413" s="110" t="s">
        <v>2263</v>
      </c>
      <c r="F413" s="109">
        <v>60.0</v>
      </c>
      <c r="G413" s="111">
        <v>348.6</v>
      </c>
      <c r="H413" s="110" t="s">
        <v>180</v>
      </c>
      <c r="I413" s="40">
        <v>45112.0</v>
      </c>
      <c r="J413" s="109">
        <v>2179.0</v>
      </c>
      <c r="K413" s="109">
        <v>4.500438982E9</v>
      </c>
      <c r="L413" s="110"/>
      <c r="M413" s="40"/>
      <c r="N413" s="110"/>
      <c r="O413" s="109"/>
      <c r="P413" s="9"/>
      <c r="Q413" s="9"/>
      <c r="R413" s="40"/>
      <c r="S413" s="40"/>
      <c r="T413" s="113"/>
      <c r="U413" s="114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ht="35.25" customHeight="1">
      <c r="A414" s="40">
        <v>45100.0</v>
      </c>
      <c r="B414" s="109">
        <v>2836.0</v>
      </c>
      <c r="C414" s="109"/>
      <c r="D414" s="110" t="s">
        <v>44</v>
      </c>
      <c r="E414" s="110" t="s">
        <v>2396</v>
      </c>
      <c r="F414" s="109">
        <v>1.0</v>
      </c>
      <c r="G414" s="111">
        <v>43248.32</v>
      </c>
      <c r="H414" s="110" t="s">
        <v>2036</v>
      </c>
      <c r="I414" s="40"/>
      <c r="J414" s="109"/>
      <c r="K414" s="109"/>
      <c r="L414" s="110"/>
      <c r="M414" s="40"/>
      <c r="N414" s="110"/>
      <c r="O414" s="109"/>
      <c r="P414" s="9"/>
      <c r="Q414" s="9"/>
      <c r="R414" s="40"/>
      <c r="S414" s="40"/>
      <c r="T414" s="113"/>
      <c r="U414" s="114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ht="35.25" customHeight="1">
      <c r="A415" s="40">
        <v>45100.0</v>
      </c>
      <c r="B415" s="109">
        <v>2837.0</v>
      </c>
      <c r="C415" s="109"/>
      <c r="D415" s="110" t="s">
        <v>44</v>
      </c>
      <c r="E415" s="110" t="s">
        <v>2395</v>
      </c>
      <c r="F415" s="109">
        <v>1.0</v>
      </c>
      <c r="G415" s="111">
        <v>44911.26</v>
      </c>
      <c r="H415" s="110" t="s">
        <v>2036</v>
      </c>
      <c r="I415" s="40"/>
      <c r="J415" s="109"/>
      <c r="K415" s="109"/>
      <c r="L415" s="110"/>
      <c r="M415" s="40"/>
      <c r="N415" s="110"/>
      <c r="O415" s="109"/>
      <c r="P415" s="9"/>
      <c r="Q415" s="9"/>
      <c r="R415" s="40"/>
      <c r="S415" s="40"/>
      <c r="T415" s="113"/>
      <c r="U415" s="114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ht="35.25" customHeight="1">
      <c r="A416" s="40">
        <v>45103.0</v>
      </c>
      <c r="B416" s="109">
        <v>2839.0</v>
      </c>
      <c r="C416" s="109"/>
      <c r="D416" s="110" t="s">
        <v>44</v>
      </c>
      <c r="E416" s="110" t="s">
        <v>2397</v>
      </c>
      <c r="F416" s="109">
        <v>10.0</v>
      </c>
      <c r="G416" s="111">
        <v>392.5</v>
      </c>
      <c r="H416" s="110" t="s">
        <v>1560</v>
      </c>
      <c r="I416" s="40"/>
      <c r="J416" s="109"/>
      <c r="K416" s="109">
        <v>4.501758141E9</v>
      </c>
      <c r="L416" s="110"/>
      <c r="M416" s="40"/>
      <c r="N416" s="110"/>
      <c r="O416" s="109"/>
      <c r="P416" s="9"/>
      <c r="Q416" s="9"/>
      <c r="R416" s="40"/>
      <c r="S416" s="40"/>
      <c r="T416" s="113"/>
      <c r="U416" s="114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ht="35.25" customHeight="1">
      <c r="A417" s="40">
        <v>45103.0</v>
      </c>
      <c r="B417" s="109">
        <v>2839.0</v>
      </c>
      <c r="C417" s="109"/>
      <c r="D417" s="110" t="s">
        <v>44</v>
      </c>
      <c r="E417" s="110" t="s">
        <v>2397</v>
      </c>
      <c r="F417" s="109">
        <v>10.0</v>
      </c>
      <c r="G417" s="111">
        <v>392.5</v>
      </c>
      <c r="H417" s="110" t="s">
        <v>1560</v>
      </c>
      <c r="K417" s="109">
        <v>4.501758141E9</v>
      </c>
      <c r="L417" s="110"/>
      <c r="M417" s="40"/>
      <c r="N417" s="110"/>
      <c r="O417" s="109"/>
      <c r="P417" s="9"/>
      <c r="Q417" s="9"/>
      <c r="R417" s="40"/>
      <c r="S417" s="40"/>
      <c r="T417" s="113"/>
      <c r="U417" s="114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ht="35.25" customHeight="1">
      <c r="A418" s="40">
        <v>45104.0</v>
      </c>
      <c r="B418" s="109">
        <v>2841.0</v>
      </c>
      <c r="C418" s="109"/>
      <c r="D418" s="110" t="s">
        <v>44</v>
      </c>
      <c r="E418" s="110" t="s">
        <v>2370</v>
      </c>
      <c r="F418" s="109">
        <v>1.0</v>
      </c>
      <c r="G418" s="111">
        <v>13.88</v>
      </c>
      <c r="H418" s="110" t="s">
        <v>180</v>
      </c>
      <c r="I418" s="40">
        <v>45155.0</v>
      </c>
      <c r="J418" s="109">
        <v>2224.0</v>
      </c>
      <c r="K418" s="109">
        <v>4.501762879E9</v>
      </c>
      <c r="L418" s="110"/>
      <c r="M418" s="40"/>
      <c r="N418" s="110"/>
      <c r="O418" s="109"/>
      <c r="P418" s="9"/>
      <c r="Q418" s="9"/>
      <c r="R418" s="40"/>
      <c r="S418" s="40"/>
      <c r="T418" s="113"/>
      <c r="U418" s="114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ht="35.25" customHeight="1">
      <c r="A419" s="40">
        <v>45104.0</v>
      </c>
      <c r="B419" s="109">
        <v>2842.0</v>
      </c>
      <c r="C419" s="109"/>
      <c r="D419" s="110" t="s">
        <v>44</v>
      </c>
      <c r="E419" s="110" t="s">
        <v>2136</v>
      </c>
      <c r="F419" s="109">
        <v>1.0</v>
      </c>
      <c r="G419" s="111">
        <v>170.31</v>
      </c>
      <c r="H419" s="110" t="s">
        <v>1560</v>
      </c>
      <c r="I419" s="40"/>
      <c r="J419" s="109"/>
      <c r="K419" s="109">
        <v>4.501760941E9</v>
      </c>
      <c r="L419" s="110"/>
      <c r="M419" s="40"/>
      <c r="N419" s="110"/>
      <c r="O419" s="109"/>
      <c r="P419" s="9"/>
      <c r="Q419" s="9"/>
      <c r="R419" s="40"/>
      <c r="S419" s="40"/>
      <c r="T419" s="113"/>
      <c r="U419" s="114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ht="35.25" customHeight="1">
      <c r="A420" s="40">
        <v>45104.0</v>
      </c>
      <c r="B420" s="109">
        <v>2843.0</v>
      </c>
      <c r="C420" s="109"/>
      <c r="D420" s="110" t="s">
        <v>44</v>
      </c>
      <c r="E420" s="110" t="s">
        <v>2374</v>
      </c>
      <c r="F420" s="109">
        <v>1.0</v>
      </c>
      <c r="G420" s="111">
        <v>1547.85</v>
      </c>
      <c r="H420" s="110" t="s">
        <v>2036</v>
      </c>
      <c r="I420" s="40"/>
      <c r="J420" s="109"/>
      <c r="K420" s="109"/>
      <c r="L420" s="110"/>
      <c r="M420" s="40"/>
      <c r="N420" s="110"/>
      <c r="O420" s="109"/>
      <c r="P420" s="9"/>
      <c r="Q420" s="9"/>
      <c r="R420" s="40"/>
      <c r="S420" s="40"/>
      <c r="T420" s="113"/>
      <c r="U420" s="114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ht="35.25" customHeight="1">
      <c r="A421" s="40">
        <v>45104.0</v>
      </c>
      <c r="B421" s="109">
        <v>2844.0</v>
      </c>
      <c r="C421" s="109"/>
      <c r="D421" s="110" t="s">
        <v>44</v>
      </c>
      <c r="E421" s="110" t="s">
        <v>2317</v>
      </c>
      <c r="F421" s="109">
        <v>1.0</v>
      </c>
      <c r="G421" s="111">
        <v>1487.41</v>
      </c>
      <c r="H421" s="110" t="s">
        <v>2036</v>
      </c>
      <c r="I421" s="40"/>
      <c r="J421" s="109"/>
      <c r="K421" s="109"/>
      <c r="L421" s="110"/>
      <c r="M421" s="40"/>
      <c r="N421" s="110"/>
      <c r="O421" s="109"/>
      <c r="P421" s="9"/>
      <c r="Q421" s="9"/>
      <c r="R421" s="40"/>
      <c r="S421" s="40"/>
      <c r="T421" s="113"/>
      <c r="U421" s="114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ht="35.25" customHeight="1">
      <c r="A422" s="40">
        <v>45104.0</v>
      </c>
      <c r="B422" s="109">
        <v>2845.0</v>
      </c>
      <c r="C422" s="109"/>
      <c r="D422" s="110" t="s">
        <v>44</v>
      </c>
      <c r="E422" s="110" t="s">
        <v>2156</v>
      </c>
      <c r="F422" s="109">
        <v>1.0</v>
      </c>
      <c r="G422" s="111">
        <v>62.88</v>
      </c>
      <c r="H422" s="110" t="s">
        <v>2036</v>
      </c>
      <c r="I422" s="40"/>
      <c r="J422" s="109"/>
      <c r="K422" s="109"/>
      <c r="L422" s="110"/>
      <c r="M422" s="40"/>
      <c r="N422" s="110"/>
      <c r="O422" s="109"/>
      <c r="P422" s="9"/>
      <c r="Q422" s="9"/>
      <c r="R422" s="40"/>
      <c r="S422" s="40"/>
      <c r="T422" s="113"/>
      <c r="U422" s="114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ht="35.25" customHeight="1">
      <c r="A423" s="40">
        <v>45104.0</v>
      </c>
      <c r="B423" s="109">
        <v>2845.0</v>
      </c>
      <c r="C423" s="109"/>
      <c r="D423" s="110" t="s">
        <v>44</v>
      </c>
      <c r="E423" s="110" t="s">
        <v>2398</v>
      </c>
      <c r="F423" s="109">
        <v>4.0</v>
      </c>
      <c r="G423" s="111">
        <v>522.44</v>
      </c>
      <c r="H423" s="110" t="s">
        <v>2036</v>
      </c>
      <c r="I423" s="40"/>
      <c r="J423" s="109"/>
      <c r="K423" s="109"/>
      <c r="L423" s="110"/>
      <c r="M423" s="40"/>
      <c r="N423" s="110"/>
      <c r="O423" s="109"/>
      <c r="P423" s="9"/>
      <c r="Q423" s="9"/>
      <c r="R423" s="40"/>
      <c r="S423" s="40"/>
      <c r="T423" s="113"/>
      <c r="U423" s="114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ht="35.25" customHeight="1">
      <c r="A424" s="40">
        <v>45104.0</v>
      </c>
      <c r="B424" s="109">
        <v>2846.0</v>
      </c>
      <c r="C424" s="109"/>
      <c r="D424" s="110" t="s">
        <v>44</v>
      </c>
      <c r="E424" s="110" t="s">
        <v>2373</v>
      </c>
      <c r="F424" s="109">
        <v>1.0</v>
      </c>
      <c r="G424" s="111">
        <v>1489.43</v>
      </c>
      <c r="H424" s="110" t="s">
        <v>2036</v>
      </c>
      <c r="I424" s="40"/>
      <c r="J424" s="109"/>
      <c r="K424" s="109"/>
      <c r="L424" s="110"/>
      <c r="M424" s="40"/>
      <c r="N424" s="110"/>
      <c r="O424" s="109"/>
      <c r="P424" s="9"/>
      <c r="Q424" s="9"/>
      <c r="R424" s="40"/>
      <c r="S424" s="40"/>
      <c r="T424" s="113"/>
      <c r="U424" s="114"/>
      <c r="V424" s="9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</row>
    <row r="425" ht="35.25" customHeight="1">
      <c r="A425" s="40">
        <v>45104.0</v>
      </c>
      <c r="B425" s="109">
        <v>2847.0</v>
      </c>
      <c r="C425" s="109"/>
      <c r="D425" s="110" t="s">
        <v>44</v>
      </c>
      <c r="E425" s="110" t="s">
        <v>2085</v>
      </c>
      <c r="F425" s="109">
        <v>1.0</v>
      </c>
      <c r="G425" s="111">
        <v>1443.55</v>
      </c>
      <c r="H425" s="110" t="s">
        <v>2036</v>
      </c>
      <c r="I425" s="40"/>
      <c r="J425" s="109"/>
      <c r="K425" s="109"/>
      <c r="L425" s="110"/>
      <c r="M425" s="40"/>
      <c r="N425" s="110"/>
      <c r="O425" s="109"/>
      <c r="P425" s="9"/>
      <c r="Q425" s="9"/>
      <c r="R425" s="40"/>
      <c r="S425" s="40"/>
      <c r="T425" s="113"/>
      <c r="U425" s="114"/>
      <c r="V425" s="9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</row>
    <row r="426" ht="35.25" customHeight="1">
      <c r="A426" s="40">
        <v>45105.0</v>
      </c>
      <c r="B426" s="109">
        <v>2849.0</v>
      </c>
      <c r="C426" s="109"/>
      <c r="D426" s="110" t="s">
        <v>2399</v>
      </c>
      <c r="E426" s="110" t="s">
        <v>67</v>
      </c>
      <c r="F426" s="109" t="s">
        <v>165</v>
      </c>
      <c r="G426" s="111">
        <v>91118.61</v>
      </c>
      <c r="H426" s="110" t="s">
        <v>2036</v>
      </c>
      <c r="I426" s="40"/>
      <c r="J426" s="109"/>
      <c r="K426" s="109"/>
      <c r="L426" s="110"/>
      <c r="M426" s="40"/>
      <c r="N426" s="110"/>
      <c r="O426" s="109"/>
      <c r="P426" s="9"/>
      <c r="Q426" s="9"/>
      <c r="R426" s="40"/>
      <c r="S426" s="40"/>
      <c r="T426" s="113"/>
      <c r="U426" s="114"/>
      <c r="V426" s="9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</row>
    <row r="427" ht="35.25" customHeight="1">
      <c r="A427" s="40">
        <v>45105.0</v>
      </c>
      <c r="B427" s="109">
        <v>2851.0</v>
      </c>
      <c r="C427" s="109"/>
      <c r="D427" s="110" t="s">
        <v>77</v>
      </c>
      <c r="E427" s="110" t="s">
        <v>2397</v>
      </c>
      <c r="F427" s="109">
        <v>1.0</v>
      </c>
      <c r="G427" s="111">
        <v>40.55</v>
      </c>
      <c r="H427" s="110" t="s">
        <v>2036</v>
      </c>
      <c r="I427" s="40"/>
      <c r="J427" s="109"/>
      <c r="K427" s="109"/>
      <c r="L427" s="110"/>
      <c r="M427" s="40"/>
      <c r="N427" s="110"/>
      <c r="O427" s="109"/>
      <c r="P427" s="9"/>
      <c r="Q427" s="9"/>
      <c r="R427" s="40"/>
      <c r="S427" s="40"/>
      <c r="T427" s="113"/>
      <c r="U427" s="114"/>
      <c r="V427" s="9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</row>
    <row r="428" ht="35.25" customHeight="1">
      <c r="A428" s="40">
        <v>45106.0</v>
      </c>
      <c r="B428" s="109">
        <v>2853.0</v>
      </c>
      <c r="C428" s="109"/>
      <c r="D428" s="110" t="s">
        <v>790</v>
      </c>
      <c r="E428" s="110" t="s">
        <v>2400</v>
      </c>
      <c r="F428" s="109">
        <v>1.0</v>
      </c>
      <c r="G428" s="111">
        <v>1187.08</v>
      </c>
      <c r="H428" s="110" t="s">
        <v>2036</v>
      </c>
      <c r="I428" s="40"/>
      <c r="J428" s="109"/>
      <c r="K428" s="109"/>
      <c r="L428" s="110"/>
      <c r="M428" s="40"/>
      <c r="N428" s="110"/>
      <c r="O428" s="109"/>
      <c r="P428" s="9"/>
      <c r="Q428" s="9"/>
      <c r="R428" s="40"/>
      <c r="S428" s="40"/>
      <c r="T428" s="113"/>
      <c r="U428" s="114"/>
      <c r="V428" s="9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</row>
    <row r="429" ht="35.25" customHeight="1">
      <c r="A429" s="40">
        <v>45106.0</v>
      </c>
      <c r="B429" s="109">
        <v>2853.0</v>
      </c>
      <c r="C429" s="109"/>
      <c r="D429" s="110" t="s">
        <v>790</v>
      </c>
      <c r="E429" s="110" t="s">
        <v>2401</v>
      </c>
      <c r="F429" s="109">
        <v>1.0</v>
      </c>
      <c r="G429" s="111">
        <v>1515.45</v>
      </c>
      <c r="H429" s="110" t="s">
        <v>2036</v>
      </c>
      <c r="I429" s="40"/>
      <c r="J429" s="109"/>
      <c r="K429" s="109"/>
      <c r="L429" s="110"/>
      <c r="M429" s="40"/>
      <c r="N429" s="110"/>
      <c r="O429" s="109"/>
      <c r="P429" s="9"/>
      <c r="Q429" s="9"/>
      <c r="R429" s="40"/>
      <c r="S429" s="40"/>
      <c r="T429" s="113"/>
      <c r="U429" s="114"/>
      <c r="V429" s="9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</row>
    <row r="430" ht="35.25" customHeight="1">
      <c r="A430" s="40">
        <v>45106.0</v>
      </c>
      <c r="B430" s="109">
        <v>2853.0</v>
      </c>
      <c r="C430" s="109"/>
      <c r="D430" s="110" t="s">
        <v>790</v>
      </c>
      <c r="E430" s="110" t="s">
        <v>2402</v>
      </c>
      <c r="F430" s="109">
        <v>1.0</v>
      </c>
      <c r="G430" s="111">
        <v>11116.55</v>
      </c>
      <c r="H430" s="110" t="s">
        <v>2036</v>
      </c>
      <c r="I430" s="40"/>
      <c r="J430" s="109"/>
      <c r="K430" s="109"/>
      <c r="L430" s="110"/>
      <c r="M430" s="40"/>
      <c r="N430" s="110"/>
      <c r="O430" s="109"/>
      <c r="P430" s="9"/>
      <c r="Q430" s="9"/>
      <c r="R430" s="40"/>
      <c r="S430" s="40"/>
      <c r="T430" s="113"/>
      <c r="U430" s="114"/>
      <c r="V430" s="9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</row>
    <row r="431" ht="35.25" customHeight="1">
      <c r="A431" s="40">
        <v>45106.0</v>
      </c>
      <c r="B431" s="109">
        <v>2855.0</v>
      </c>
      <c r="C431" s="109"/>
      <c r="D431" s="110" t="s">
        <v>46</v>
      </c>
      <c r="E431" s="110" t="s">
        <v>2403</v>
      </c>
      <c r="F431" s="109">
        <v>1.0</v>
      </c>
      <c r="G431" s="111">
        <v>375.75</v>
      </c>
      <c r="H431" s="110" t="s">
        <v>2036</v>
      </c>
      <c r="I431" s="40"/>
      <c r="J431" s="109"/>
      <c r="K431" s="109"/>
      <c r="L431" s="110"/>
      <c r="M431" s="40"/>
      <c r="N431" s="110"/>
      <c r="O431" s="109"/>
      <c r="P431" s="9"/>
      <c r="Q431" s="9"/>
      <c r="R431" s="40"/>
      <c r="S431" s="40"/>
      <c r="T431" s="113"/>
      <c r="U431" s="114"/>
      <c r="V431" s="9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</row>
    <row r="432" ht="35.25" customHeight="1">
      <c r="A432" s="40">
        <v>45106.0</v>
      </c>
      <c r="B432" s="109">
        <v>2855.0</v>
      </c>
      <c r="C432" s="109"/>
      <c r="D432" s="110" t="s">
        <v>46</v>
      </c>
      <c r="E432" s="110" t="s">
        <v>2404</v>
      </c>
      <c r="F432" s="109">
        <v>1.0</v>
      </c>
      <c r="G432" s="111">
        <v>337.22</v>
      </c>
      <c r="H432" s="110" t="s">
        <v>2036</v>
      </c>
      <c r="I432" s="40"/>
      <c r="J432" s="109"/>
      <c r="K432" s="109"/>
      <c r="L432" s="110"/>
      <c r="M432" s="40"/>
      <c r="N432" s="110"/>
      <c r="O432" s="109"/>
      <c r="P432" s="9"/>
      <c r="Q432" s="9"/>
      <c r="R432" s="40"/>
      <c r="S432" s="40"/>
      <c r="T432" s="113"/>
      <c r="U432" s="114"/>
      <c r="V432" s="9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</row>
    <row r="433" ht="35.25" customHeight="1">
      <c r="A433" s="40">
        <v>45106.0</v>
      </c>
      <c r="B433" s="109">
        <v>2857.0</v>
      </c>
      <c r="C433" s="109"/>
      <c r="D433" s="110" t="s">
        <v>44</v>
      </c>
      <c r="E433" s="110" t="s">
        <v>2405</v>
      </c>
      <c r="F433" s="109">
        <v>1.0</v>
      </c>
      <c r="G433" s="111">
        <v>2625.09</v>
      </c>
      <c r="H433" s="110" t="s">
        <v>2036</v>
      </c>
      <c r="I433" s="40"/>
      <c r="J433" s="109"/>
      <c r="K433" s="109"/>
      <c r="L433" s="110"/>
      <c r="M433" s="40"/>
      <c r="N433" s="110"/>
      <c r="O433" s="109"/>
      <c r="P433" s="9"/>
      <c r="Q433" s="9"/>
      <c r="R433" s="40"/>
      <c r="S433" s="40"/>
      <c r="T433" s="113"/>
      <c r="U433" s="114"/>
      <c r="V433" s="9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</row>
    <row r="434" ht="35.25" customHeight="1">
      <c r="A434" s="40">
        <v>45107.0</v>
      </c>
      <c r="B434" s="109">
        <v>2858.0</v>
      </c>
      <c r="C434" s="109"/>
      <c r="D434" s="110" t="s">
        <v>44</v>
      </c>
      <c r="E434" s="110" t="s">
        <v>1209</v>
      </c>
      <c r="F434" s="109">
        <v>4.0</v>
      </c>
      <c r="G434" s="111">
        <v>5084.12</v>
      </c>
      <c r="H434" s="110" t="s">
        <v>1560</v>
      </c>
      <c r="I434" s="40"/>
      <c r="J434" s="109"/>
      <c r="K434" s="109">
        <v>4.501767554E9</v>
      </c>
      <c r="L434" s="110"/>
      <c r="M434" s="40"/>
      <c r="N434" s="110"/>
      <c r="O434" s="109"/>
      <c r="P434" s="9"/>
      <c r="Q434" s="9"/>
      <c r="R434" s="40"/>
      <c r="S434" s="40"/>
      <c r="T434" s="113"/>
      <c r="U434" s="114"/>
      <c r="V434" s="9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</row>
    <row r="435" ht="35.25" customHeight="1">
      <c r="A435" s="40">
        <v>45107.0</v>
      </c>
      <c r="B435" s="109">
        <v>2859.0</v>
      </c>
      <c r="C435" s="109"/>
      <c r="D435" s="110" t="s">
        <v>2406</v>
      </c>
      <c r="E435" s="110" t="s">
        <v>2407</v>
      </c>
      <c r="F435" s="109">
        <v>1.0</v>
      </c>
      <c r="G435" s="111">
        <v>329.96</v>
      </c>
      <c r="H435" s="110" t="s">
        <v>2036</v>
      </c>
      <c r="I435" s="40"/>
      <c r="J435" s="109"/>
      <c r="K435" s="109"/>
      <c r="L435" s="110"/>
      <c r="M435" s="40"/>
      <c r="N435" s="110"/>
      <c r="O435" s="109"/>
      <c r="P435" s="9"/>
      <c r="Q435" s="9"/>
      <c r="R435" s="40"/>
      <c r="S435" s="40"/>
      <c r="T435" s="113"/>
      <c r="U435" s="114"/>
      <c r="V435" s="9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</row>
    <row r="436" ht="35.25" customHeight="1">
      <c r="A436" s="40">
        <v>45111.0</v>
      </c>
      <c r="B436" s="109">
        <v>2860.0</v>
      </c>
      <c r="C436" s="109"/>
      <c r="D436" s="110" t="s">
        <v>77</v>
      </c>
      <c r="E436" s="110" t="s">
        <v>1209</v>
      </c>
      <c r="F436" s="109">
        <v>4.0</v>
      </c>
      <c r="G436" s="111">
        <v>5358.79</v>
      </c>
      <c r="H436" s="110" t="s">
        <v>2036</v>
      </c>
      <c r="I436" s="40"/>
      <c r="J436" s="109"/>
      <c r="K436" s="109"/>
      <c r="L436" s="110"/>
      <c r="M436" s="40"/>
      <c r="N436" s="110"/>
      <c r="O436" s="109"/>
      <c r="P436" s="9"/>
      <c r="Q436" s="9"/>
      <c r="R436" s="40"/>
      <c r="S436" s="40"/>
      <c r="T436" s="113"/>
      <c r="U436" s="114"/>
      <c r="V436" s="9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</row>
    <row r="437" ht="35.25" customHeight="1">
      <c r="A437" s="40">
        <v>45114.0</v>
      </c>
      <c r="B437" s="109">
        <v>2861.0</v>
      </c>
      <c r="C437" s="109"/>
      <c r="D437" s="110" t="s">
        <v>790</v>
      </c>
      <c r="E437" s="110" t="s">
        <v>2322</v>
      </c>
      <c r="F437" s="109">
        <v>1.0</v>
      </c>
      <c r="G437" s="111">
        <v>328.15</v>
      </c>
      <c r="H437" s="110" t="s">
        <v>2036</v>
      </c>
      <c r="I437" s="40"/>
      <c r="J437" s="109"/>
      <c r="K437" s="109"/>
      <c r="L437" s="110"/>
      <c r="M437" s="40"/>
      <c r="N437" s="110"/>
      <c r="O437" s="109"/>
      <c r="P437" s="9"/>
      <c r="Q437" s="9"/>
      <c r="R437" s="40"/>
      <c r="S437" s="40"/>
      <c r="T437" s="113"/>
      <c r="U437" s="114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ht="35.25" customHeight="1">
      <c r="A438" s="40">
        <v>45111.0</v>
      </c>
      <c r="B438" s="109">
        <v>2862.0</v>
      </c>
      <c r="C438" s="109"/>
      <c r="D438" s="110" t="s">
        <v>44</v>
      </c>
      <c r="E438" s="110" t="s">
        <v>2408</v>
      </c>
      <c r="F438" s="109">
        <v>1.0</v>
      </c>
      <c r="G438" s="111">
        <v>2300.5</v>
      </c>
      <c r="H438" s="110" t="s">
        <v>2036</v>
      </c>
      <c r="I438" s="40"/>
      <c r="J438" s="109"/>
      <c r="K438" s="109"/>
      <c r="L438" s="110"/>
      <c r="M438" s="40"/>
      <c r="N438" s="110"/>
      <c r="O438" s="109"/>
      <c r="P438" s="9"/>
      <c r="Q438" s="9"/>
      <c r="R438" s="40"/>
      <c r="S438" s="40"/>
      <c r="T438" s="113"/>
      <c r="U438" s="114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ht="35.25" customHeight="1">
      <c r="A439" s="40">
        <v>45111.0</v>
      </c>
      <c r="B439" s="109">
        <v>2863.0</v>
      </c>
      <c r="C439" s="109"/>
      <c r="D439" s="110" t="s">
        <v>2213</v>
      </c>
      <c r="E439" s="110" t="s">
        <v>2320</v>
      </c>
      <c r="F439" s="109">
        <v>6.0</v>
      </c>
      <c r="G439" s="111">
        <v>741.54</v>
      </c>
      <c r="H439" s="110" t="s">
        <v>2036</v>
      </c>
      <c r="I439" s="40"/>
      <c r="J439" s="109"/>
      <c r="K439" s="109"/>
      <c r="L439" s="110"/>
      <c r="M439" s="40"/>
      <c r="N439" s="110"/>
      <c r="O439" s="109"/>
      <c r="P439" s="9"/>
      <c r="Q439" s="9"/>
      <c r="R439" s="40"/>
      <c r="S439" s="40"/>
      <c r="T439" s="113"/>
      <c r="U439" s="114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ht="35.25" customHeight="1">
      <c r="A440" s="40">
        <v>45111.0</v>
      </c>
      <c r="B440" s="109">
        <v>2864.0</v>
      </c>
      <c r="C440" s="109"/>
      <c r="D440" s="110" t="s">
        <v>44</v>
      </c>
      <c r="E440" s="110" t="s">
        <v>2409</v>
      </c>
      <c r="F440" s="109">
        <v>1.0</v>
      </c>
      <c r="G440" s="111">
        <v>13134.17</v>
      </c>
      <c r="H440" s="110" t="s">
        <v>2036</v>
      </c>
      <c r="I440" s="40"/>
      <c r="J440" s="109"/>
      <c r="K440" s="109"/>
      <c r="L440" s="110"/>
      <c r="M440" s="40"/>
      <c r="N440" s="110"/>
      <c r="O440" s="109"/>
      <c r="P440" s="9"/>
      <c r="Q440" s="9"/>
      <c r="R440" s="40"/>
      <c r="S440" s="40"/>
      <c r="T440" s="113"/>
      <c r="U440" s="114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ht="35.25" customHeight="1">
      <c r="A441" s="40">
        <v>45112.0</v>
      </c>
      <c r="B441" s="109">
        <v>2866.0</v>
      </c>
      <c r="C441" s="109"/>
      <c r="D441" s="110" t="s">
        <v>44</v>
      </c>
      <c r="E441" s="110" t="s">
        <v>2043</v>
      </c>
      <c r="F441" s="109">
        <v>1.0</v>
      </c>
      <c r="G441" s="111">
        <v>38.23</v>
      </c>
      <c r="H441" s="110" t="s">
        <v>2036</v>
      </c>
      <c r="I441" s="40"/>
      <c r="J441" s="109"/>
      <c r="K441" s="109"/>
      <c r="L441" s="110"/>
      <c r="M441" s="40"/>
      <c r="N441" s="110"/>
      <c r="O441" s="109"/>
      <c r="P441" s="9"/>
      <c r="Q441" s="9"/>
      <c r="R441" s="40"/>
      <c r="S441" s="40"/>
      <c r="T441" s="113"/>
      <c r="U441" s="114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ht="35.25" customHeight="1">
      <c r="A442" s="40">
        <v>45113.0</v>
      </c>
      <c r="B442" s="109">
        <v>2868.0</v>
      </c>
      <c r="C442" s="109"/>
      <c r="D442" s="110" t="s">
        <v>44</v>
      </c>
      <c r="E442" s="110" t="s">
        <v>2043</v>
      </c>
      <c r="F442" s="109">
        <v>1.0</v>
      </c>
      <c r="G442" s="111">
        <v>36.13</v>
      </c>
      <c r="H442" s="110" t="s">
        <v>2036</v>
      </c>
      <c r="I442" s="40"/>
      <c r="J442" s="109"/>
      <c r="K442" s="109"/>
      <c r="L442" s="110"/>
      <c r="M442" s="40"/>
      <c r="N442" s="110"/>
      <c r="O442" s="109"/>
      <c r="P442" s="9"/>
      <c r="Q442" s="9"/>
      <c r="R442" s="40"/>
      <c r="S442" s="40"/>
      <c r="T442" s="113"/>
      <c r="U442" s="114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ht="35.25" customHeight="1">
      <c r="A443" s="40">
        <v>45113.0</v>
      </c>
      <c r="B443" s="109">
        <v>2870.0</v>
      </c>
      <c r="C443" s="109"/>
      <c r="D443" s="110" t="s">
        <v>44</v>
      </c>
      <c r="E443" s="110" t="s">
        <v>2373</v>
      </c>
      <c r="F443" s="109">
        <v>2.0</v>
      </c>
      <c r="G443" s="111">
        <v>2978.86</v>
      </c>
      <c r="H443" s="110" t="s">
        <v>2036</v>
      </c>
      <c r="I443" s="40"/>
      <c r="J443" s="109"/>
      <c r="K443" s="109"/>
      <c r="L443" s="110"/>
      <c r="M443" s="40"/>
      <c r="N443" s="110"/>
      <c r="O443" s="109"/>
      <c r="P443" s="9"/>
      <c r="Q443" s="9"/>
      <c r="R443" s="40"/>
      <c r="S443" s="40"/>
      <c r="T443" s="113"/>
      <c r="U443" s="114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ht="35.25" customHeight="1">
      <c r="A444" s="40">
        <v>45113.0</v>
      </c>
      <c r="B444" s="109">
        <v>2871.0</v>
      </c>
      <c r="C444" s="109"/>
      <c r="D444" s="110" t="s">
        <v>44</v>
      </c>
      <c r="E444" s="110" t="s">
        <v>2259</v>
      </c>
      <c r="F444" s="109">
        <v>10.0</v>
      </c>
      <c r="G444" s="111">
        <v>0.01</v>
      </c>
      <c r="H444" s="110" t="s">
        <v>2036</v>
      </c>
      <c r="I444" s="40"/>
      <c r="J444" s="109"/>
      <c r="K444" s="109"/>
      <c r="L444" s="110"/>
      <c r="M444" s="40"/>
      <c r="N444" s="110"/>
      <c r="O444" s="109"/>
      <c r="P444" s="9"/>
      <c r="Q444" s="9"/>
      <c r="R444" s="40"/>
      <c r="S444" s="40"/>
      <c r="T444" s="113"/>
      <c r="U444" s="114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ht="35.25" customHeight="1">
      <c r="A445" s="40">
        <v>45113.0</v>
      </c>
      <c r="B445" s="109">
        <v>2871.0</v>
      </c>
      <c r="C445" s="109"/>
      <c r="D445" s="110" t="s">
        <v>44</v>
      </c>
      <c r="E445" s="110" t="s">
        <v>2090</v>
      </c>
      <c r="F445" s="109">
        <v>10.0</v>
      </c>
      <c r="G445" s="111">
        <v>1.0</v>
      </c>
      <c r="H445" s="110" t="s">
        <v>2036</v>
      </c>
      <c r="I445" s="40"/>
      <c r="J445" s="109"/>
      <c r="K445" s="109"/>
      <c r="L445" s="110"/>
      <c r="M445" s="40"/>
      <c r="N445" s="110"/>
      <c r="O445" s="109"/>
      <c r="P445" s="9"/>
      <c r="Q445" s="9"/>
      <c r="R445" s="40"/>
      <c r="S445" s="40"/>
      <c r="T445" s="113"/>
      <c r="U445" s="114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ht="35.25" customHeight="1">
      <c r="A446" s="40">
        <v>45114.0</v>
      </c>
      <c r="B446" s="109">
        <v>2872.0</v>
      </c>
      <c r="C446" s="109"/>
      <c r="D446" s="110" t="s">
        <v>790</v>
      </c>
      <c r="E446" s="110" t="s">
        <v>2410</v>
      </c>
      <c r="F446" s="109">
        <v>1.0</v>
      </c>
      <c r="G446" s="111">
        <v>118.61</v>
      </c>
      <c r="H446" s="110" t="s">
        <v>2036</v>
      </c>
      <c r="I446" s="40"/>
      <c r="J446" s="109"/>
      <c r="K446" s="109"/>
      <c r="L446" s="110"/>
      <c r="M446" s="40"/>
      <c r="N446" s="110"/>
      <c r="O446" s="109"/>
      <c r="P446" s="9"/>
      <c r="Q446" s="9"/>
      <c r="R446" s="40"/>
      <c r="S446" s="40"/>
      <c r="T446" s="113"/>
      <c r="U446" s="114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ht="35.25" customHeight="1">
      <c r="A447" s="40">
        <v>45114.0</v>
      </c>
      <c r="B447" s="109">
        <v>2874.0</v>
      </c>
      <c r="C447" s="109"/>
      <c r="D447" s="110" t="s">
        <v>44</v>
      </c>
      <c r="E447" s="110" t="s">
        <v>2411</v>
      </c>
      <c r="F447" s="109">
        <v>1.0</v>
      </c>
      <c r="G447" s="111">
        <v>1122.3</v>
      </c>
      <c r="H447" s="110" t="s">
        <v>2036</v>
      </c>
      <c r="I447" s="40"/>
      <c r="J447" s="109"/>
      <c r="K447" s="109"/>
      <c r="L447" s="110"/>
      <c r="M447" s="40"/>
      <c r="N447" s="110"/>
      <c r="O447" s="109"/>
      <c r="P447" s="9"/>
      <c r="Q447" s="9"/>
      <c r="R447" s="40"/>
      <c r="S447" s="40"/>
      <c r="T447" s="113"/>
      <c r="U447" s="114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ht="35.25" customHeight="1">
      <c r="A448" s="40">
        <v>45114.0</v>
      </c>
      <c r="B448" s="109">
        <v>2875.0</v>
      </c>
      <c r="C448" s="109"/>
      <c r="D448" s="110" t="s">
        <v>2213</v>
      </c>
      <c r="E448" s="110" t="s">
        <v>2320</v>
      </c>
      <c r="F448" s="109">
        <v>6.0</v>
      </c>
      <c r="G448" s="111">
        <v>741.54</v>
      </c>
      <c r="H448" s="110" t="s">
        <v>180</v>
      </c>
      <c r="I448" s="40">
        <v>45114.0</v>
      </c>
      <c r="J448" s="109">
        <v>2213.0</v>
      </c>
      <c r="K448" s="109">
        <v>4.501764684E9</v>
      </c>
      <c r="L448" s="110"/>
      <c r="M448" s="40"/>
      <c r="N448" s="110"/>
      <c r="O448" s="109"/>
      <c r="P448" s="9"/>
      <c r="Q448" s="9"/>
      <c r="R448" s="40"/>
      <c r="S448" s="40"/>
      <c r="T448" s="113"/>
      <c r="U448" s="114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ht="35.25" customHeight="1">
      <c r="A449" s="40">
        <v>45114.0</v>
      </c>
      <c r="B449" s="109">
        <v>2875.0</v>
      </c>
      <c r="C449" s="109"/>
      <c r="D449" s="110" t="s">
        <v>2213</v>
      </c>
      <c r="E449" s="110" t="s">
        <v>2322</v>
      </c>
      <c r="F449" s="109">
        <v>6.0</v>
      </c>
      <c r="G449" s="111">
        <v>1697.32</v>
      </c>
      <c r="H449" s="110" t="s">
        <v>180</v>
      </c>
      <c r="I449" s="40">
        <v>45114.0</v>
      </c>
      <c r="J449" s="109">
        <v>2183.0</v>
      </c>
      <c r="K449" s="109">
        <v>64006.0</v>
      </c>
      <c r="L449" s="110"/>
      <c r="M449" s="40"/>
      <c r="N449" s="110"/>
      <c r="O449" s="109"/>
      <c r="P449" s="9"/>
      <c r="Q449" s="9"/>
      <c r="R449" s="40"/>
      <c r="S449" s="40"/>
      <c r="T449" s="113"/>
      <c r="U449" s="114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ht="35.25" customHeight="1">
      <c r="A450" s="40">
        <v>45114.0</v>
      </c>
      <c r="B450" s="109">
        <v>2876.0</v>
      </c>
      <c r="C450" s="109"/>
      <c r="D450" s="110" t="s">
        <v>44</v>
      </c>
      <c r="E450" s="110" t="s">
        <v>2259</v>
      </c>
      <c r="F450" s="109">
        <v>10.0</v>
      </c>
      <c r="G450" s="111">
        <v>668.26</v>
      </c>
      <c r="H450" s="110" t="s">
        <v>180</v>
      </c>
      <c r="I450" s="40">
        <v>45114.0</v>
      </c>
      <c r="J450" s="109">
        <v>2213.0</v>
      </c>
      <c r="K450" s="109">
        <v>4.501764684E9</v>
      </c>
      <c r="L450" s="110"/>
      <c r="M450" s="40"/>
      <c r="N450" s="110"/>
      <c r="O450" s="109"/>
      <c r="P450" s="9"/>
      <c r="Q450" s="9"/>
      <c r="R450" s="40"/>
      <c r="S450" s="40"/>
      <c r="T450" s="113"/>
      <c r="U450" s="114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ht="35.25" customHeight="1">
      <c r="A451" s="40">
        <v>45114.0</v>
      </c>
      <c r="B451" s="109">
        <v>2876.0</v>
      </c>
      <c r="C451" s="109"/>
      <c r="D451" s="110" t="s">
        <v>44</v>
      </c>
      <c r="E451" s="110" t="s">
        <v>2090</v>
      </c>
      <c r="F451" s="109">
        <v>10.0</v>
      </c>
      <c r="G451" s="111">
        <v>1374.27</v>
      </c>
      <c r="H451" s="110" t="s">
        <v>180</v>
      </c>
      <c r="I451" s="40">
        <v>45114.0</v>
      </c>
      <c r="J451" s="109">
        <v>2213.0</v>
      </c>
      <c r="K451" s="109">
        <v>4.501764684E9</v>
      </c>
      <c r="L451" s="110"/>
      <c r="M451" s="40"/>
      <c r="N451" s="110"/>
      <c r="O451" s="109"/>
      <c r="P451" s="9"/>
      <c r="Q451" s="9"/>
      <c r="R451" s="40"/>
      <c r="S451" s="40"/>
      <c r="T451" s="113"/>
      <c r="U451" s="114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ht="35.25" customHeight="1">
      <c r="A452" s="40">
        <v>45114.0</v>
      </c>
      <c r="B452" s="109">
        <v>2876.0</v>
      </c>
      <c r="C452" s="109"/>
      <c r="D452" s="110" t="s">
        <v>44</v>
      </c>
      <c r="E452" s="110" t="s">
        <v>2412</v>
      </c>
      <c r="F452" s="109">
        <v>10.0</v>
      </c>
      <c r="G452" s="111">
        <v>2556.7</v>
      </c>
      <c r="H452" s="110" t="s">
        <v>180</v>
      </c>
      <c r="I452" s="40">
        <v>45114.0</v>
      </c>
      <c r="J452" s="109">
        <v>2213.0</v>
      </c>
      <c r="K452" s="109">
        <v>4.501764684E9</v>
      </c>
      <c r="L452" s="110"/>
      <c r="M452" s="40"/>
      <c r="N452" s="110"/>
      <c r="O452" s="109"/>
      <c r="P452" s="9"/>
      <c r="Q452" s="9"/>
      <c r="R452" s="40"/>
      <c r="S452" s="40"/>
      <c r="T452" s="113"/>
      <c r="U452" s="114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ht="35.25" customHeight="1">
      <c r="A453" s="40">
        <v>45114.0</v>
      </c>
      <c r="B453" s="109">
        <v>2876.0</v>
      </c>
      <c r="C453" s="109"/>
      <c r="D453" s="110" t="s">
        <v>44</v>
      </c>
      <c r="E453" s="110" t="s">
        <v>2413</v>
      </c>
      <c r="F453" s="109">
        <v>20.0</v>
      </c>
      <c r="G453" s="111">
        <v>2529.55</v>
      </c>
      <c r="H453" s="110" t="s">
        <v>180</v>
      </c>
      <c r="I453" s="40">
        <v>45114.0</v>
      </c>
      <c r="J453" s="109">
        <v>2213.0</v>
      </c>
      <c r="K453" s="109">
        <v>4.501764684E9</v>
      </c>
      <c r="L453" s="110"/>
      <c r="M453" s="40"/>
      <c r="N453" s="110"/>
      <c r="O453" s="109"/>
      <c r="P453" s="9"/>
      <c r="Q453" s="9"/>
      <c r="R453" s="40"/>
      <c r="S453" s="40"/>
      <c r="T453" s="113"/>
      <c r="U453" s="114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ht="35.25" customHeight="1">
      <c r="A454" s="40">
        <v>45114.0</v>
      </c>
      <c r="B454" s="109">
        <v>2876.0</v>
      </c>
      <c r="C454" s="109"/>
      <c r="D454" s="110" t="s">
        <v>44</v>
      </c>
      <c r="E454" s="110" t="s">
        <v>2414</v>
      </c>
      <c r="F454" s="109">
        <v>20.0</v>
      </c>
      <c r="G454" s="111">
        <v>2358.33</v>
      </c>
      <c r="H454" s="110" t="s">
        <v>180</v>
      </c>
      <c r="I454" s="40">
        <v>45114.0</v>
      </c>
      <c r="J454" s="109">
        <v>2213.0</v>
      </c>
      <c r="K454" s="109">
        <v>4.501764684E9</v>
      </c>
      <c r="L454" s="110"/>
      <c r="M454" s="40"/>
      <c r="N454" s="110"/>
      <c r="O454" s="109"/>
      <c r="P454" s="9"/>
      <c r="Q454" s="9"/>
      <c r="R454" s="40"/>
      <c r="S454" s="40"/>
      <c r="T454" s="113"/>
      <c r="U454" s="114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ht="35.25" customHeight="1">
      <c r="A455" s="40">
        <v>45114.0</v>
      </c>
      <c r="B455" s="109">
        <v>2877.0</v>
      </c>
      <c r="C455" s="109"/>
      <c r="D455" s="110" t="s">
        <v>2415</v>
      </c>
      <c r="E455" s="110" t="s">
        <v>2416</v>
      </c>
      <c r="F455" s="109">
        <v>1.0</v>
      </c>
      <c r="G455" s="111">
        <v>2147.16</v>
      </c>
      <c r="H455" s="110" t="s">
        <v>2036</v>
      </c>
      <c r="I455" s="40"/>
      <c r="J455" s="109"/>
      <c r="K455" s="109"/>
      <c r="L455" s="110"/>
      <c r="M455" s="40"/>
      <c r="N455" s="110"/>
      <c r="O455" s="109"/>
      <c r="P455" s="9"/>
      <c r="Q455" s="9"/>
      <c r="R455" s="40"/>
      <c r="S455" s="40"/>
      <c r="T455" s="113"/>
      <c r="U455" s="114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ht="35.25" customHeight="1">
      <c r="A456" s="40">
        <v>45114.0</v>
      </c>
      <c r="B456" s="109">
        <v>2878.0</v>
      </c>
      <c r="C456" s="109"/>
      <c r="D456" s="110" t="s">
        <v>2417</v>
      </c>
      <c r="E456" s="110" t="s">
        <v>2416</v>
      </c>
      <c r="F456" s="109">
        <v>1.0</v>
      </c>
      <c r="G456" s="111">
        <v>2147.16</v>
      </c>
      <c r="H456" s="110" t="s">
        <v>2036</v>
      </c>
      <c r="I456" s="40"/>
      <c r="J456" s="109"/>
      <c r="K456" s="109"/>
      <c r="L456" s="110"/>
      <c r="M456" s="40"/>
      <c r="N456" s="110"/>
      <c r="O456" s="109"/>
      <c r="P456" s="9"/>
      <c r="Q456" s="9"/>
      <c r="R456" s="40"/>
      <c r="S456" s="40"/>
      <c r="T456" s="113"/>
      <c r="U456" s="114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ht="35.25" customHeight="1">
      <c r="A457" s="40">
        <v>45114.0</v>
      </c>
      <c r="B457" s="109">
        <v>2879.0</v>
      </c>
      <c r="C457" s="109"/>
      <c r="D457" s="110" t="s">
        <v>2418</v>
      </c>
      <c r="E457" s="110" t="s">
        <v>2416</v>
      </c>
      <c r="F457" s="109">
        <v>1.0</v>
      </c>
      <c r="G457" s="111">
        <v>2147.16</v>
      </c>
      <c r="H457" s="110" t="s">
        <v>2036</v>
      </c>
      <c r="I457" s="40"/>
      <c r="J457" s="109"/>
      <c r="K457" s="109"/>
      <c r="L457" s="110"/>
      <c r="M457" s="40"/>
      <c r="N457" s="110"/>
      <c r="O457" s="109"/>
      <c r="P457" s="9"/>
      <c r="Q457" s="9"/>
      <c r="R457" s="40"/>
      <c r="S457" s="40"/>
      <c r="T457" s="113"/>
      <c r="U457" s="114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ht="35.25" customHeight="1">
      <c r="A458" s="40">
        <v>45117.0</v>
      </c>
      <c r="B458" s="109">
        <v>2881.0</v>
      </c>
      <c r="C458" s="109"/>
      <c r="D458" s="110" t="s">
        <v>19</v>
      </c>
      <c r="E458" s="110" t="s">
        <v>2419</v>
      </c>
      <c r="F458" s="109">
        <v>2.0</v>
      </c>
      <c r="G458" s="111">
        <v>28.32</v>
      </c>
      <c r="H458" s="110" t="s">
        <v>180</v>
      </c>
      <c r="I458" s="40">
        <v>45117.0</v>
      </c>
      <c r="J458" s="109">
        <v>2230.0</v>
      </c>
      <c r="K458" s="109">
        <v>4.500442124E9</v>
      </c>
      <c r="L458" s="110"/>
      <c r="M458" s="40"/>
      <c r="N458" s="110"/>
      <c r="O458" s="109"/>
      <c r="P458" s="9"/>
      <c r="Q458" s="9"/>
      <c r="R458" s="40"/>
      <c r="S458" s="40"/>
      <c r="T458" s="113"/>
      <c r="U458" s="114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ht="35.25" customHeight="1">
      <c r="A459" s="40">
        <v>45117.0</v>
      </c>
      <c r="B459" s="109">
        <v>2882.0</v>
      </c>
      <c r="C459" s="109"/>
      <c r="D459" s="110" t="s">
        <v>44</v>
      </c>
      <c r="E459" s="110" t="s">
        <v>2370</v>
      </c>
      <c r="F459" s="109">
        <v>1.0</v>
      </c>
      <c r="G459" s="111">
        <v>13.82</v>
      </c>
      <c r="H459" s="110" t="s">
        <v>180</v>
      </c>
      <c r="I459" s="40">
        <v>45117.0</v>
      </c>
      <c r="J459" s="109">
        <v>2225.0</v>
      </c>
      <c r="K459" s="109">
        <v>4.501765039E9</v>
      </c>
      <c r="L459" s="110"/>
      <c r="M459" s="40"/>
      <c r="N459" s="110"/>
      <c r="O459" s="109"/>
      <c r="P459" s="9"/>
      <c r="Q459" s="9"/>
      <c r="R459" s="40"/>
      <c r="S459" s="40"/>
      <c r="T459" s="113"/>
      <c r="U459" s="114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ht="35.25" customHeight="1">
      <c r="A460" s="40">
        <v>45117.0</v>
      </c>
      <c r="B460" s="109">
        <v>2883.0</v>
      </c>
      <c r="C460" s="109"/>
      <c r="D460" s="110" t="s">
        <v>44</v>
      </c>
      <c r="E460" s="110" t="s">
        <v>2087</v>
      </c>
      <c r="F460" s="109">
        <v>12.0</v>
      </c>
      <c r="G460" s="111">
        <v>41494.08</v>
      </c>
      <c r="H460" s="110" t="s">
        <v>2036</v>
      </c>
      <c r="I460" s="40"/>
      <c r="J460" s="109"/>
      <c r="K460" s="109"/>
      <c r="L460" s="110"/>
      <c r="M460" s="40"/>
      <c r="N460" s="110"/>
      <c r="O460" s="109"/>
      <c r="P460" s="9"/>
      <c r="Q460" s="9"/>
      <c r="R460" s="40"/>
      <c r="S460" s="40"/>
      <c r="T460" s="113"/>
      <c r="U460" s="114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ht="35.25" customHeight="1">
      <c r="A461" s="40">
        <v>45118.0</v>
      </c>
      <c r="B461" s="109">
        <v>2884.0</v>
      </c>
      <c r="C461" s="109"/>
      <c r="D461" s="110" t="s">
        <v>2420</v>
      </c>
      <c r="E461" s="110" t="s">
        <v>2416</v>
      </c>
      <c r="F461" s="109">
        <v>1.0</v>
      </c>
      <c r="G461" s="111">
        <v>2147.16</v>
      </c>
      <c r="H461" s="110" t="s">
        <v>2036</v>
      </c>
      <c r="I461" s="40"/>
      <c r="J461" s="109"/>
      <c r="K461" s="109"/>
      <c r="L461" s="110"/>
      <c r="M461" s="40"/>
      <c r="N461" s="110"/>
      <c r="O461" s="109"/>
      <c r="P461" s="9"/>
      <c r="Q461" s="9"/>
      <c r="R461" s="40"/>
      <c r="S461" s="40"/>
      <c r="T461" s="113"/>
      <c r="U461" s="114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ht="35.25" customHeight="1">
      <c r="A462" s="40">
        <v>45118.0</v>
      </c>
      <c r="B462" s="109">
        <v>2885.0</v>
      </c>
      <c r="C462" s="109"/>
      <c r="D462" s="110" t="s">
        <v>2421</v>
      </c>
      <c r="E462" s="110" t="s">
        <v>2416</v>
      </c>
      <c r="F462" s="109">
        <v>1.0</v>
      </c>
      <c r="G462" s="111">
        <v>2147.16</v>
      </c>
      <c r="H462" s="110" t="s">
        <v>2036</v>
      </c>
      <c r="I462" s="40"/>
      <c r="J462" s="109"/>
      <c r="K462" s="109"/>
      <c r="L462" s="110"/>
      <c r="M462" s="40"/>
      <c r="N462" s="110"/>
      <c r="O462" s="109"/>
      <c r="P462" s="9"/>
      <c r="Q462" s="9"/>
      <c r="R462" s="40"/>
      <c r="S462" s="40"/>
      <c r="T462" s="113"/>
      <c r="U462" s="114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ht="35.25" customHeight="1">
      <c r="A463" s="40">
        <v>45118.0</v>
      </c>
      <c r="B463" s="109">
        <v>2887.0</v>
      </c>
      <c r="C463" s="109"/>
      <c r="D463" s="110" t="s">
        <v>46</v>
      </c>
      <c r="E463" s="110" t="s">
        <v>2422</v>
      </c>
      <c r="F463" s="109">
        <v>2.0</v>
      </c>
      <c r="G463" s="111">
        <v>601.64</v>
      </c>
      <c r="H463" s="110" t="s">
        <v>2036</v>
      </c>
      <c r="I463" s="40"/>
      <c r="J463" s="109"/>
      <c r="K463" s="109"/>
      <c r="L463" s="110"/>
      <c r="M463" s="40"/>
      <c r="N463" s="110"/>
      <c r="O463" s="109"/>
      <c r="P463" s="9"/>
      <c r="Q463" s="9"/>
      <c r="R463" s="40"/>
      <c r="S463" s="40"/>
      <c r="T463" s="113"/>
      <c r="U463" s="114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ht="35.25" customHeight="1">
      <c r="A464" s="40">
        <v>45118.0</v>
      </c>
      <c r="B464" s="109">
        <v>2888.0</v>
      </c>
      <c r="C464" s="109"/>
      <c r="D464" s="110" t="s">
        <v>44</v>
      </c>
      <c r="E464" s="110" t="s">
        <v>2423</v>
      </c>
      <c r="F464" s="109">
        <v>10.0</v>
      </c>
      <c r="G464" s="111">
        <v>1286.36</v>
      </c>
      <c r="H464" s="110" t="s">
        <v>180</v>
      </c>
      <c r="I464" s="40">
        <v>45118.0</v>
      </c>
      <c r="J464" s="109">
        <v>2212.0</v>
      </c>
      <c r="K464" s="109">
        <v>4.501766262E9</v>
      </c>
      <c r="L464" s="110"/>
      <c r="M464" s="40"/>
      <c r="N464" s="110"/>
      <c r="O464" s="109"/>
      <c r="P464" s="9"/>
      <c r="Q464" s="9"/>
      <c r="R464" s="40"/>
      <c r="S464" s="40"/>
      <c r="T464" s="113"/>
      <c r="U464" s="114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ht="35.25" customHeight="1">
      <c r="A465" s="40">
        <v>45119.0</v>
      </c>
      <c r="B465" s="109">
        <v>2891.0</v>
      </c>
      <c r="C465" s="109"/>
      <c r="D465" s="110" t="s">
        <v>2424</v>
      </c>
      <c r="E465" s="110" t="s">
        <v>2425</v>
      </c>
      <c r="F465" s="109">
        <v>1.0</v>
      </c>
      <c r="G465" s="111">
        <v>25561.88</v>
      </c>
      <c r="H465" s="110" t="s">
        <v>2036</v>
      </c>
      <c r="I465" s="40"/>
      <c r="J465" s="109"/>
      <c r="K465" s="109"/>
      <c r="L465" s="110"/>
      <c r="M465" s="40"/>
      <c r="N465" s="110"/>
      <c r="O465" s="109"/>
      <c r="P465" s="9"/>
      <c r="Q465" s="9"/>
      <c r="R465" s="40"/>
      <c r="S465" s="40"/>
      <c r="T465" s="113"/>
      <c r="U465" s="114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ht="35.25" customHeight="1">
      <c r="A466" s="40">
        <v>45119.0</v>
      </c>
      <c r="B466" s="109">
        <v>2891.0</v>
      </c>
      <c r="C466" s="109"/>
      <c r="D466" s="110" t="s">
        <v>2424</v>
      </c>
      <c r="E466" s="110" t="s">
        <v>2395</v>
      </c>
      <c r="F466" s="109">
        <v>1.0</v>
      </c>
      <c r="G466" s="111">
        <v>27707.58</v>
      </c>
      <c r="H466" s="110" t="s">
        <v>2036</v>
      </c>
      <c r="I466" s="40"/>
      <c r="J466" s="109"/>
      <c r="K466" s="109"/>
      <c r="L466" s="110"/>
      <c r="M466" s="40"/>
      <c r="N466" s="110"/>
      <c r="O466" s="109"/>
      <c r="P466" s="9"/>
      <c r="Q466" s="9"/>
      <c r="R466" s="40"/>
      <c r="S466" s="40"/>
      <c r="T466" s="113"/>
      <c r="U466" s="114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ht="35.25" customHeight="1">
      <c r="A467" s="40">
        <v>45119.0</v>
      </c>
      <c r="B467" s="109">
        <v>2891.0</v>
      </c>
      <c r="C467" s="109"/>
      <c r="D467" s="110" t="s">
        <v>2424</v>
      </c>
      <c r="E467" s="110" t="s">
        <v>2409</v>
      </c>
      <c r="F467" s="109">
        <v>1.0</v>
      </c>
      <c r="G467" s="111">
        <v>1210.51</v>
      </c>
      <c r="H467" s="110" t="s">
        <v>2036</v>
      </c>
      <c r="I467" s="40"/>
      <c r="J467" s="109"/>
      <c r="K467" s="109"/>
      <c r="L467" s="110"/>
      <c r="M467" s="40"/>
      <c r="N467" s="110"/>
      <c r="O467" s="109"/>
      <c r="P467" s="9"/>
      <c r="Q467" s="9"/>
      <c r="R467" s="40"/>
      <c r="S467" s="40"/>
      <c r="T467" s="113"/>
      <c r="U467" s="114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ht="35.25" customHeight="1">
      <c r="A468" s="40">
        <v>45119.0</v>
      </c>
      <c r="B468" s="109">
        <v>2891.0</v>
      </c>
      <c r="C468" s="109"/>
      <c r="D468" s="110" t="s">
        <v>2424</v>
      </c>
      <c r="E468" s="110" t="s">
        <v>2426</v>
      </c>
      <c r="F468" s="109">
        <v>1.0</v>
      </c>
      <c r="G468" s="111">
        <v>3814.35</v>
      </c>
      <c r="H468" s="110" t="s">
        <v>2036</v>
      </c>
      <c r="I468" s="40"/>
      <c r="J468" s="109"/>
      <c r="K468" s="109"/>
      <c r="L468" s="110"/>
      <c r="M468" s="40"/>
      <c r="N468" s="110"/>
      <c r="O468" s="109"/>
      <c r="P468" s="9"/>
      <c r="Q468" s="9"/>
      <c r="R468" s="40"/>
      <c r="S468" s="40"/>
      <c r="T468" s="113"/>
      <c r="U468" s="114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ht="35.25" customHeight="1">
      <c r="A469" s="40">
        <v>45119.0</v>
      </c>
      <c r="B469" s="109">
        <v>2891.0</v>
      </c>
      <c r="C469" s="109"/>
      <c r="D469" s="110" t="s">
        <v>2424</v>
      </c>
      <c r="E469" s="110" t="s">
        <v>2427</v>
      </c>
      <c r="F469" s="109">
        <v>1.0</v>
      </c>
      <c r="G469" s="111">
        <v>10177.47</v>
      </c>
      <c r="H469" s="110" t="s">
        <v>2036</v>
      </c>
      <c r="I469" s="40"/>
      <c r="J469" s="109"/>
      <c r="K469" s="109"/>
      <c r="L469" s="110"/>
      <c r="M469" s="40"/>
      <c r="N469" s="110"/>
      <c r="O469" s="109"/>
      <c r="P469" s="9"/>
      <c r="Q469" s="9"/>
      <c r="R469" s="40"/>
      <c r="S469" s="40"/>
      <c r="T469" s="113"/>
      <c r="U469" s="114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ht="35.25" customHeight="1">
      <c r="A470" s="40">
        <v>45119.0</v>
      </c>
      <c r="B470" s="109">
        <v>2891.0</v>
      </c>
      <c r="C470" s="109"/>
      <c r="D470" s="110" t="s">
        <v>2424</v>
      </c>
      <c r="E470" s="110" t="s">
        <v>2428</v>
      </c>
      <c r="F470" s="109">
        <v>1.0</v>
      </c>
      <c r="G470" s="111">
        <v>2875.07</v>
      </c>
      <c r="H470" s="110" t="s">
        <v>2036</v>
      </c>
      <c r="I470" s="40"/>
      <c r="J470" s="109"/>
      <c r="K470" s="109"/>
      <c r="L470" s="110"/>
      <c r="M470" s="40"/>
      <c r="N470" s="110"/>
      <c r="O470" s="109"/>
      <c r="P470" s="9"/>
      <c r="Q470" s="9"/>
      <c r="R470" s="40"/>
      <c r="S470" s="40"/>
      <c r="T470" s="113"/>
      <c r="U470" s="114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ht="35.25" customHeight="1">
      <c r="A471" s="40">
        <v>45119.0</v>
      </c>
      <c r="B471" s="109">
        <v>2891.0</v>
      </c>
      <c r="C471" s="109"/>
      <c r="D471" s="110" t="s">
        <v>2424</v>
      </c>
      <c r="E471" s="110" t="s">
        <v>2429</v>
      </c>
      <c r="F471" s="109">
        <v>6.0</v>
      </c>
      <c r="G471" s="111">
        <v>827.16</v>
      </c>
      <c r="H471" s="110" t="s">
        <v>2036</v>
      </c>
      <c r="I471" s="40"/>
      <c r="J471" s="109"/>
      <c r="K471" s="109"/>
      <c r="L471" s="110"/>
      <c r="M471" s="40"/>
      <c r="N471" s="110"/>
      <c r="O471" s="109"/>
      <c r="P471" s="9"/>
      <c r="Q471" s="9"/>
      <c r="R471" s="40"/>
      <c r="S471" s="40"/>
      <c r="T471" s="113"/>
      <c r="U471" s="114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ht="35.25" customHeight="1">
      <c r="A472" s="40">
        <v>45119.0</v>
      </c>
      <c r="B472" s="109">
        <v>2891.0</v>
      </c>
      <c r="C472" s="109"/>
      <c r="D472" s="110" t="s">
        <v>2424</v>
      </c>
      <c r="E472" s="110" t="s">
        <v>2320</v>
      </c>
      <c r="F472" s="109">
        <v>1.0</v>
      </c>
      <c r="G472" s="111">
        <v>85.18</v>
      </c>
      <c r="H472" s="110" t="s">
        <v>2036</v>
      </c>
      <c r="I472" s="40"/>
      <c r="J472" s="109"/>
      <c r="K472" s="109"/>
      <c r="L472" s="110"/>
      <c r="M472" s="40"/>
      <c r="N472" s="110"/>
      <c r="O472" s="109"/>
      <c r="P472" s="9"/>
      <c r="Q472" s="9"/>
      <c r="R472" s="40"/>
      <c r="S472" s="40"/>
      <c r="T472" s="113"/>
      <c r="U472" s="114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ht="35.25" customHeight="1">
      <c r="A473" s="40">
        <v>45119.0</v>
      </c>
      <c r="B473" s="109">
        <v>2891.0</v>
      </c>
      <c r="C473" s="109"/>
      <c r="D473" s="110" t="s">
        <v>2424</v>
      </c>
      <c r="E473" s="110" t="s">
        <v>2322</v>
      </c>
      <c r="F473" s="109">
        <v>1.0</v>
      </c>
      <c r="G473" s="111">
        <v>157.19</v>
      </c>
      <c r="H473" s="110" t="s">
        <v>2036</v>
      </c>
      <c r="I473" s="40"/>
      <c r="J473" s="109"/>
      <c r="K473" s="109"/>
      <c r="L473" s="110"/>
      <c r="M473" s="40"/>
      <c r="N473" s="110"/>
      <c r="O473" s="109"/>
      <c r="P473" s="9"/>
      <c r="Q473" s="9"/>
      <c r="R473" s="40"/>
      <c r="S473" s="40"/>
      <c r="T473" s="113"/>
      <c r="U473" s="114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ht="35.25" customHeight="1">
      <c r="A474" s="40">
        <v>45119.0</v>
      </c>
      <c r="B474" s="109">
        <v>2891.0</v>
      </c>
      <c r="C474" s="109"/>
      <c r="D474" s="110" t="s">
        <v>2424</v>
      </c>
      <c r="E474" s="110" t="s">
        <v>2430</v>
      </c>
      <c r="F474" s="109">
        <v>1.0</v>
      </c>
      <c r="G474" s="111">
        <v>134.7</v>
      </c>
      <c r="H474" s="110" t="s">
        <v>2036</v>
      </c>
      <c r="I474" s="40"/>
      <c r="J474" s="109"/>
      <c r="K474" s="109"/>
      <c r="L474" s="110"/>
      <c r="M474" s="40"/>
      <c r="N474" s="110"/>
      <c r="O474" s="109"/>
      <c r="P474" s="9"/>
      <c r="Q474" s="9"/>
      <c r="R474" s="40"/>
      <c r="S474" s="40"/>
      <c r="T474" s="113"/>
      <c r="U474" s="114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ht="35.25" customHeight="1">
      <c r="A475" s="40">
        <v>45119.0</v>
      </c>
      <c r="B475" s="109">
        <v>2891.0</v>
      </c>
      <c r="C475" s="109"/>
      <c r="D475" s="110" t="s">
        <v>2424</v>
      </c>
      <c r="E475" s="110" t="s">
        <v>2431</v>
      </c>
      <c r="F475" s="109">
        <v>1.0</v>
      </c>
      <c r="G475" s="111">
        <v>176.65</v>
      </c>
      <c r="H475" s="110" t="s">
        <v>2036</v>
      </c>
      <c r="I475" s="40"/>
      <c r="J475" s="109"/>
      <c r="K475" s="109"/>
      <c r="L475" s="110"/>
      <c r="M475" s="40"/>
      <c r="N475" s="110"/>
      <c r="O475" s="109"/>
      <c r="P475" s="9"/>
      <c r="Q475" s="9"/>
      <c r="R475" s="40"/>
      <c r="S475" s="40"/>
      <c r="T475" s="113"/>
      <c r="U475" s="114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ht="35.25" customHeight="1">
      <c r="A476" s="40">
        <v>45119.0</v>
      </c>
      <c r="B476" s="109">
        <v>2891.0</v>
      </c>
      <c r="C476" s="109"/>
      <c r="D476" s="110" t="s">
        <v>2424</v>
      </c>
      <c r="E476" s="110" t="s">
        <v>2432</v>
      </c>
      <c r="F476" s="109">
        <v>1.0</v>
      </c>
      <c r="G476" s="111">
        <v>249.02</v>
      </c>
      <c r="H476" s="110" t="s">
        <v>2036</v>
      </c>
      <c r="I476" s="40"/>
      <c r="J476" s="109"/>
      <c r="K476" s="109"/>
      <c r="L476" s="110"/>
      <c r="M476" s="40"/>
      <c r="N476" s="110"/>
      <c r="O476" s="109"/>
      <c r="P476" s="9"/>
      <c r="Q476" s="9"/>
      <c r="R476" s="40"/>
      <c r="S476" s="40"/>
      <c r="T476" s="113"/>
      <c r="U476" s="114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ht="35.25" customHeight="1">
      <c r="A477" s="40">
        <v>45119.0</v>
      </c>
      <c r="B477" s="109">
        <v>2891.0</v>
      </c>
      <c r="C477" s="109"/>
      <c r="D477" s="110" t="s">
        <v>2424</v>
      </c>
      <c r="E477" s="110" t="s">
        <v>2433</v>
      </c>
      <c r="F477" s="109">
        <v>1.0</v>
      </c>
      <c r="G477" s="111">
        <v>159.08</v>
      </c>
      <c r="H477" s="110" t="s">
        <v>2036</v>
      </c>
      <c r="I477" s="40"/>
      <c r="J477" s="109"/>
      <c r="K477" s="109"/>
      <c r="L477" s="110"/>
      <c r="M477" s="40"/>
      <c r="N477" s="110"/>
      <c r="O477" s="109"/>
      <c r="P477" s="9"/>
      <c r="Q477" s="9"/>
      <c r="R477" s="40"/>
      <c r="S477" s="40"/>
      <c r="T477" s="113"/>
      <c r="U477" s="114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ht="35.25" customHeight="1">
      <c r="A478" s="40">
        <v>45119.0</v>
      </c>
      <c r="B478" s="109">
        <v>2891.0</v>
      </c>
      <c r="C478" s="109"/>
      <c r="D478" s="110" t="s">
        <v>2424</v>
      </c>
      <c r="E478" s="110" t="s">
        <v>2434</v>
      </c>
      <c r="F478" s="109">
        <v>1.0</v>
      </c>
      <c r="G478" s="111">
        <v>179.88</v>
      </c>
      <c r="H478" s="110" t="s">
        <v>2036</v>
      </c>
      <c r="I478" s="40"/>
      <c r="J478" s="109"/>
      <c r="K478" s="109"/>
      <c r="L478" s="110"/>
      <c r="M478" s="40"/>
      <c r="N478" s="110"/>
      <c r="O478" s="109"/>
      <c r="P478" s="9"/>
      <c r="Q478" s="9"/>
      <c r="R478" s="40"/>
      <c r="S478" s="40"/>
      <c r="T478" s="113"/>
      <c r="U478" s="114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ht="35.25" customHeight="1">
      <c r="A479" s="40">
        <v>45119.0</v>
      </c>
      <c r="B479" s="109">
        <v>2891.0</v>
      </c>
      <c r="C479" s="109"/>
      <c r="D479" s="110" t="s">
        <v>2424</v>
      </c>
      <c r="E479" s="110" t="s">
        <v>2435</v>
      </c>
      <c r="F479" s="109">
        <v>1.0</v>
      </c>
      <c r="G479" s="111">
        <v>165.72</v>
      </c>
      <c r="H479" s="110" t="s">
        <v>2036</v>
      </c>
      <c r="I479" s="40"/>
      <c r="J479" s="109"/>
      <c r="K479" s="109"/>
      <c r="L479" s="110"/>
      <c r="M479" s="40"/>
      <c r="N479" s="110"/>
      <c r="O479" s="109"/>
      <c r="P479" s="9"/>
      <c r="Q479" s="9"/>
      <c r="R479" s="40"/>
      <c r="S479" s="40"/>
      <c r="T479" s="113"/>
      <c r="U479" s="114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ht="35.25" customHeight="1">
      <c r="A480" s="40">
        <v>45119.0</v>
      </c>
      <c r="B480" s="109">
        <v>2891.0</v>
      </c>
      <c r="C480" s="109"/>
      <c r="D480" s="110" t="s">
        <v>2424</v>
      </c>
      <c r="E480" s="110" t="s">
        <v>2416</v>
      </c>
      <c r="F480" s="109">
        <v>1.0</v>
      </c>
      <c r="G480" s="111">
        <v>1087.09</v>
      </c>
      <c r="H480" s="110" t="s">
        <v>2036</v>
      </c>
      <c r="I480" s="40"/>
      <c r="J480" s="109"/>
      <c r="K480" s="109"/>
      <c r="L480" s="110"/>
      <c r="M480" s="40"/>
      <c r="N480" s="110"/>
      <c r="O480" s="109"/>
      <c r="P480" s="9"/>
      <c r="Q480" s="9"/>
      <c r="R480" s="40"/>
      <c r="S480" s="40"/>
      <c r="T480" s="113"/>
      <c r="U480" s="114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ht="35.25" customHeight="1">
      <c r="A481" s="40">
        <v>45119.0</v>
      </c>
      <c r="B481" s="109">
        <v>2891.0</v>
      </c>
      <c r="C481" s="109"/>
      <c r="D481" s="110" t="s">
        <v>2424</v>
      </c>
      <c r="E481" s="110" t="s">
        <v>2436</v>
      </c>
      <c r="F481" s="109">
        <v>1.0</v>
      </c>
      <c r="G481" s="111">
        <v>115.56</v>
      </c>
      <c r="H481" s="110" t="s">
        <v>2036</v>
      </c>
      <c r="I481" s="40"/>
      <c r="J481" s="109"/>
      <c r="K481" s="109"/>
      <c r="L481" s="110"/>
      <c r="M481" s="40"/>
      <c r="N481" s="110"/>
      <c r="O481" s="109"/>
      <c r="P481" s="9"/>
      <c r="Q481" s="9"/>
      <c r="R481" s="40"/>
      <c r="S481" s="40"/>
      <c r="T481" s="113"/>
      <c r="U481" s="114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ht="35.25" customHeight="1">
      <c r="A482" s="40">
        <v>45119.0</v>
      </c>
      <c r="B482" s="109">
        <v>2891.0</v>
      </c>
      <c r="C482" s="109"/>
      <c r="D482" s="110" t="s">
        <v>2424</v>
      </c>
      <c r="E482" s="110" t="s">
        <v>2437</v>
      </c>
      <c r="F482" s="109">
        <v>1.0</v>
      </c>
      <c r="G482" s="111">
        <v>98.09</v>
      </c>
      <c r="H482" s="110" t="s">
        <v>2036</v>
      </c>
      <c r="I482" s="40"/>
      <c r="J482" s="109"/>
      <c r="K482" s="109"/>
      <c r="L482" s="110"/>
      <c r="M482" s="40"/>
      <c r="N482" s="110"/>
      <c r="O482" s="109"/>
      <c r="P482" s="9"/>
      <c r="Q482" s="9"/>
      <c r="R482" s="40"/>
      <c r="S482" s="40"/>
      <c r="T482" s="113"/>
      <c r="U482" s="114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ht="35.25" customHeight="1">
      <c r="A483" s="40">
        <v>45124.0</v>
      </c>
      <c r="B483" s="109">
        <v>2893.0</v>
      </c>
      <c r="C483" s="109"/>
      <c r="D483" s="110" t="s">
        <v>188</v>
      </c>
      <c r="E483" s="110" t="s">
        <v>2092</v>
      </c>
      <c r="F483" s="109">
        <v>20.0</v>
      </c>
      <c r="G483" s="111">
        <v>2550.8</v>
      </c>
      <c r="H483" s="110" t="s">
        <v>180</v>
      </c>
      <c r="I483" s="40">
        <v>45124.0</v>
      </c>
      <c r="J483" s="109">
        <v>2197.0</v>
      </c>
      <c r="K483" s="109">
        <v>5.202259318E9</v>
      </c>
      <c r="L483" s="110"/>
      <c r="M483" s="40"/>
      <c r="N483" s="110"/>
      <c r="O483" s="109"/>
      <c r="P483" s="9"/>
      <c r="Q483" s="9"/>
      <c r="R483" s="40"/>
      <c r="S483" s="40"/>
      <c r="T483" s="113"/>
      <c r="U483" s="114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ht="35.25" customHeight="1">
      <c r="A484" s="40">
        <v>45124.0</v>
      </c>
      <c r="B484" s="109">
        <v>2894.0</v>
      </c>
      <c r="C484" s="109"/>
      <c r="D484" s="110" t="s">
        <v>25</v>
      </c>
      <c r="E484" s="110" t="s">
        <v>2407</v>
      </c>
      <c r="F484" s="109">
        <v>4.0</v>
      </c>
      <c r="G484" s="111">
        <v>1730.52</v>
      </c>
      <c r="H484" s="110" t="s">
        <v>180</v>
      </c>
      <c r="I484" s="40">
        <v>45140.0</v>
      </c>
      <c r="J484" s="109">
        <v>22000.0</v>
      </c>
      <c r="K484" s="109">
        <v>4512751.0</v>
      </c>
      <c r="L484" s="110"/>
      <c r="M484" s="40"/>
      <c r="N484" s="110"/>
      <c r="O484" s="109"/>
      <c r="P484" s="9"/>
      <c r="Q484" s="9"/>
      <c r="R484" s="40"/>
      <c r="S484" s="40"/>
      <c r="T484" s="113"/>
      <c r="U484" s="114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ht="35.25" customHeight="1">
      <c r="A485" s="40">
        <v>45124.0</v>
      </c>
      <c r="B485" s="109">
        <v>2895.0</v>
      </c>
      <c r="C485" s="109"/>
      <c r="D485" s="110" t="s">
        <v>790</v>
      </c>
      <c r="E485" s="110" t="s">
        <v>2438</v>
      </c>
      <c r="F485" s="109">
        <v>1.0</v>
      </c>
      <c r="G485" s="111">
        <v>1194.02</v>
      </c>
      <c r="H485" s="110" t="s">
        <v>2036</v>
      </c>
      <c r="I485" s="40"/>
      <c r="J485" s="109"/>
      <c r="K485" s="109"/>
      <c r="L485" s="110"/>
      <c r="M485" s="40"/>
      <c r="N485" s="110"/>
      <c r="O485" s="109"/>
      <c r="P485" s="9"/>
      <c r="Q485" s="9"/>
      <c r="R485" s="40"/>
      <c r="S485" s="40"/>
      <c r="T485" s="113"/>
      <c r="U485" s="114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ht="35.25" customHeight="1">
      <c r="A486" s="40">
        <v>45124.0</v>
      </c>
      <c r="B486" s="109">
        <v>2895.0</v>
      </c>
      <c r="C486" s="109"/>
      <c r="D486" s="110" t="s">
        <v>790</v>
      </c>
      <c r="E486" s="110" t="s">
        <v>2401</v>
      </c>
      <c r="F486" s="109">
        <v>2.0</v>
      </c>
      <c r="G486" s="111">
        <v>3327.98</v>
      </c>
      <c r="H486" s="110" t="s">
        <v>2036</v>
      </c>
      <c r="I486" s="40"/>
      <c r="J486" s="109"/>
      <c r="K486" s="109"/>
      <c r="L486" s="110"/>
      <c r="M486" s="40"/>
      <c r="N486" s="110"/>
      <c r="O486" s="109"/>
      <c r="P486" s="9"/>
      <c r="Q486" s="9"/>
      <c r="R486" s="40"/>
      <c r="S486" s="40"/>
      <c r="T486" s="113"/>
      <c r="U486" s="114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ht="35.25" customHeight="1">
      <c r="A487" s="40">
        <v>45127.0</v>
      </c>
      <c r="B487" s="109">
        <v>2897.0</v>
      </c>
      <c r="C487" s="109"/>
      <c r="D487" s="110" t="s">
        <v>44</v>
      </c>
      <c r="E487" s="110" t="s">
        <v>2411</v>
      </c>
      <c r="F487" s="109">
        <v>1.0</v>
      </c>
      <c r="G487" s="111">
        <v>1122.3</v>
      </c>
      <c r="H487" s="110" t="s">
        <v>1560</v>
      </c>
      <c r="I487" s="40"/>
      <c r="J487" s="109"/>
      <c r="K487" s="109">
        <v>4.501774337E9</v>
      </c>
      <c r="L487" s="110"/>
      <c r="M487" s="40"/>
      <c r="N487" s="110"/>
      <c r="O487" s="109"/>
      <c r="P487" s="9"/>
      <c r="Q487" s="9"/>
      <c r="R487" s="40"/>
      <c r="S487" s="40"/>
      <c r="T487" s="113"/>
      <c r="U487" s="114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ht="35.25" customHeight="1">
      <c r="A488" s="40">
        <v>45127.0</v>
      </c>
      <c r="B488" s="109">
        <v>2898.0</v>
      </c>
      <c r="C488" s="109"/>
      <c r="D488" s="110" t="s">
        <v>44</v>
      </c>
      <c r="E488" s="110" t="s">
        <v>2439</v>
      </c>
      <c r="F488" s="109">
        <v>1.0</v>
      </c>
      <c r="G488" s="111">
        <v>26789.16</v>
      </c>
      <c r="H488" s="110" t="s">
        <v>2036</v>
      </c>
      <c r="I488" s="40"/>
      <c r="J488" s="109"/>
      <c r="K488" s="109"/>
      <c r="L488" s="110"/>
      <c r="M488" s="40"/>
      <c r="N488" s="110"/>
      <c r="O488" s="109"/>
      <c r="P488" s="9"/>
      <c r="Q488" s="9"/>
      <c r="R488" s="40"/>
      <c r="S488" s="40"/>
      <c r="T488" s="113"/>
      <c r="U488" s="114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ht="35.25" customHeight="1">
      <c r="A489" s="40">
        <v>45127.0</v>
      </c>
      <c r="B489" s="109">
        <v>2899.0</v>
      </c>
      <c r="C489" s="109"/>
      <c r="D489" s="110" t="s">
        <v>188</v>
      </c>
      <c r="E489" s="110" t="s">
        <v>2440</v>
      </c>
      <c r="F489" s="109">
        <v>2.0</v>
      </c>
      <c r="G489" s="111">
        <v>1482.98</v>
      </c>
      <c r="H489" s="110" t="s">
        <v>2036</v>
      </c>
      <c r="I489" s="40"/>
      <c r="J489" s="109"/>
      <c r="K489" s="109"/>
      <c r="L489" s="110"/>
      <c r="M489" s="40"/>
      <c r="N489" s="110"/>
      <c r="O489" s="109"/>
      <c r="P489" s="9"/>
      <c r="Q489" s="9"/>
      <c r="R489" s="40"/>
      <c r="S489" s="40"/>
      <c r="T489" s="113"/>
      <c r="U489" s="114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ht="35.25" customHeight="1">
      <c r="A490" s="40">
        <v>45128.0</v>
      </c>
      <c r="B490" s="109">
        <v>2900.0</v>
      </c>
      <c r="C490" s="109"/>
      <c r="D490" s="110" t="s">
        <v>1752</v>
      </c>
      <c r="E490" s="110" t="s">
        <v>2441</v>
      </c>
      <c r="F490" s="109">
        <v>1.0</v>
      </c>
      <c r="G490" s="111">
        <v>17789.27</v>
      </c>
      <c r="H490" s="110" t="s">
        <v>2036</v>
      </c>
      <c r="I490" s="40"/>
      <c r="J490" s="109"/>
      <c r="K490" s="109"/>
      <c r="L490" s="110"/>
      <c r="M490" s="40"/>
      <c r="N490" s="110"/>
      <c r="O490" s="109"/>
      <c r="P490" s="9"/>
      <c r="Q490" s="9"/>
      <c r="R490" s="40"/>
      <c r="S490" s="40"/>
      <c r="T490" s="113"/>
      <c r="U490" s="114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ht="35.25" customHeight="1">
      <c r="A491" s="40">
        <v>45128.0</v>
      </c>
      <c r="B491" s="109">
        <v>2900.0</v>
      </c>
      <c r="C491" s="109"/>
      <c r="D491" s="110" t="s">
        <v>1752</v>
      </c>
      <c r="E491" s="110" t="s">
        <v>2442</v>
      </c>
      <c r="F491" s="109">
        <v>1.0</v>
      </c>
      <c r="G491" s="111">
        <v>1310.33</v>
      </c>
      <c r="H491" s="110" t="s">
        <v>2036</v>
      </c>
      <c r="I491" s="40"/>
      <c r="J491" s="109"/>
      <c r="K491" s="109"/>
      <c r="L491" s="110"/>
      <c r="M491" s="40"/>
      <c r="N491" s="110"/>
      <c r="O491" s="109"/>
      <c r="P491" s="9"/>
      <c r="Q491" s="9"/>
      <c r="R491" s="40"/>
      <c r="S491" s="40"/>
      <c r="T491" s="113"/>
      <c r="U491" s="114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ht="35.25" customHeight="1">
      <c r="A492" s="40">
        <v>45131.0</v>
      </c>
      <c r="B492" s="109">
        <v>2901.0</v>
      </c>
      <c r="C492" s="109"/>
      <c r="D492" s="110" t="s">
        <v>44</v>
      </c>
      <c r="E492" s="110" t="s">
        <v>2049</v>
      </c>
      <c r="F492" s="109">
        <v>4.0</v>
      </c>
      <c r="G492" s="111">
        <v>6041.44</v>
      </c>
      <c r="H492" s="110" t="s">
        <v>2036</v>
      </c>
      <c r="I492" s="40"/>
      <c r="J492" s="109"/>
      <c r="K492" s="109"/>
      <c r="L492" s="110"/>
      <c r="M492" s="40"/>
      <c r="N492" s="110"/>
      <c r="O492" s="109"/>
      <c r="P492" s="9"/>
      <c r="Q492" s="9"/>
      <c r="R492" s="40"/>
      <c r="S492" s="40"/>
      <c r="T492" s="113"/>
      <c r="U492" s="114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ht="35.25" customHeight="1">
      <c r="A493" s="40">
        <v>45132.0</v>
      </c>
      <c r="B493" s="109">
        <v>2902.0</v>
      </c>
      <c r="C493" s="109"/>
      <c r="D493" s="110" t="s">
        <v>188</v>
      </c>
      <c r="E493" s="110" t="s">
        <v>2443</v>
      </c>
      <c r="F493" s="109">
        <v>3.0</v>
      </c>
      <c r="G493" s="111">
        <v>39964.24</v>
      </c>
      <c r="H493" s="110" t="s">
        <v>2036</v>
      </c>
      <c r="I493" s="40"/>
      <c r="J493" s="109"/>
      <c r="K493" s="109"/>
      <c r="L493" s="110"/>
      <c r="M493" s="40"/>
      <c r="N493" s="110"/>
      <c r="O493" s="109"/>
      <c r="P493" s="9"/>
      <c r="Q493" s="9"/>
      <c r="R493" s="40"/>
      <c r="S493" s="40"/>
      <c r="T493" s="113"/>
      <c r="U493" s="114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ht="35.25" customHeight="1">
      <c r="A494" s="40">
        <v>45132.0</v>
      </c>
      <c r="B494" s="109">
        <v>2903.0</v>
      </c>
      <c r="C494" s="109"/>
      <c r="D494" s="110" t="s">
        <v>123</v>
      </c>
      <c r="E494" s="110" t="s">
        <v>2394</v>
      </c>
      <c r="F494" s="109">
        <v>1.0</v>
      </c>
      <c r="G494" s="111">
        <v>9307.43</v>
      </c>
      <c r="H494" s="110" t="s">
        <v>2036</v>
      </c>
      <c r="I494" s="40"/>
      <c r="J494" s="109"/>
      <c r="K494" s="109"/>
      <c r="L494" s="110"/>
      <c r="M494" s="40"/>
      <c r="N494" s="110"/>
      <c r="O494" s="109"/>
      <c r="P494" s="9"/>
      <c r="Q494" s="9"/>
      <c r="R494" s="40"/>
      <c r="S494" s="40"/>
      <c r="T494" s="113"/>
      <c r="U494" s="114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ht="35.25" customHeight="1">
      <c r="A495" s="40">
        <v>45132.0</v>
      </c>
      <c r="B495" s="109">
        <v>2905.0</v>
      </c>
      <c r="C495" s="109"/>
      <c r="D495" s="110" t="s">
        <v>123</v>
      </c>
      <c r="E495" s="110" t="s">
        <v>2444</v>
      </c>
      <c r="F495" s="109">
        <v>1.0</v>
      </c>
      <c r="G495" s="111">
        <v>2811.06</v>
      </c>
      <c r="H495" s="110" t="s">
        <v>2036</v>
      </c>
      <c r="I495" s="40"/>
      <c r="J495" s="109"/>
      <c r="K495" s="109"/>
      <c r="L495" s="110"/>
      <c r="M495" s="40"/>
      <c r="N495" s="110"/>
      <c r="O495" s="109"/>
      <c r="P495" s="9"/>
      <c r="Q495" s="9"/>
      <c r="R495" s="40"/>
      <c r="S495" s="40"/>
      <c r="T495" s="113"/>
      <c r="U495" s="114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ht="35.25" customHeight="1">
      <c r="A496" s="40">
        <v>45133.0</v>
      </c>
      <c r="B496" s="109">
        <v>2908.0</v>
      </c>
      <c r="C496" s="109"/>
      <c r="D496" s="110" t="s">
        <v>2364</v>
      </c>
      <c r="E496" s="110" t="s">
        <v>2445</v>
      </c>
      <c r="F496" s="109">
        <v>1.0</v>
      </c>
      <c r="G496" s="111">
        <v>10149.79</v>
      </c>
      <c r="H496" s="110" t="s">
        <v>2036</v>
      </c>
      <c r="I496" s="40"/>
      <c r="J496" s="109"/>
      <c r="K496" s="109"/>
      <c r="L496" s="110"/>
      <c r="M496" s="40"/>
      <c r="N496" s="110"/>
      <c r="O496" s="109"/>
      <c r="P496" s="9"/>
      <c r="Q496" s="9"/>
      <c r="R496" s="40"/>
      <c r="S496" s="40"/>
      <c r="T496" s="113"/>
      <c r="U496" s="114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ht="35.25" customHeight="1">
      <c r="A497" s="40">
        <v>45134.0</v>
      </c>
      <c r="B497" s="109">
        <v>2909.0</v>
      </c>
      <c r="C497" s="109"/>
      <c r="D497" s="110" t="s">
        <v>188</v>
      </c>
      <c r="E497" s="110" t="s">
        <v>2446</v>
      </c>
      <c r="F497" s="109">
        <v>1.0</v>
      </c>
      <c r="G497" s="111">
        <v>3148.41</v>
      </c>
      <c r="H497" s="110" t="s">
        <v>2036</v>
      </c>
      <c r="I497" s="40"/>
      <c r="J497" s="109"/>
      <c r="K497" s="109"/>
      <c r="L497" s="110"/>
      <c r="M497" s="40"/>
      <c r="N497" s="110"/>
      <c r="O497" s="109"/>
      <c r="P497" s="9"/>
      <c r="Q497" s="9"/>
      <c r="R497" s="40"/>
      <c r="S497" s="40"/>
      <c r="T497" s="113"/>
      <c r="U497" s="114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ht="35.25" customHeight="1">
      <c r="A498" s="40">
        <v>45134.0</v>
      </c>
      <c r="B498" s="109">
        <v>2910.0</v>
      </c>
      <c r="C498" s="109"/>
      <c r="D498" s="110" t="s">
        <v>1087</v>
      </c>
      <c r="E498" s="110" t="s">
        <v>2447</v>
      </c>
      <c r="F498" s="109">
        <v>1.0</v>
      </c>
      <c r="G498" s="111">
        <v>3072.64</v>
      </c>
      <c r="H498" s="110" t="s">
        <v>2036</v>
      </c>
      <c r="I498" s="40"/>
      <c r="J498" s="109"/>
      <c r="K498" s="109"/>
      <c r="L498" s="110"/>
      <c r="M498" s="40"/>
      <c r="N498" s="110"/>
      <c r="O498" s="109"/>
      <c r="P498" s="9"/>
      <c r="Q498" s="9"/>
      <c r="R498" s="40"/>
      <c r="S498" s="40"/>
      <c r="T498" s="113"/>
      <c r="U498" s="114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ht="35.25" customHeight="1">
      <c r="A499" s="40">
        <v>45134.0</v>
      </c>
      <c r="B499" s="109">
        <v>2911.0</v>
      </c>
      <c r="C499" s="109"/>
      <c r="D499" s="110" t="s">
        <v>44</v>
      </c>
      <c r="E499" s="110" t="s">
        <v>2448</v>
      </c>
      <c r="F499" s="109">
        <v>1.0</v>
      </c>
      <c r="G499" s="111">
        <v>4198.3</v>
      </c>
      <c r="H499" s="110" t="s">
        <v>2036</v>
      </c>
      <c r="I499" s="40"/>
      <c r="J499" s="109"/>
      <c r="K499" s="109"/>
      <c r="L499" s="110"/>
      <c r="M499" s="40"/>
      <c r="N499" s="110"/>
      <c r="O499" s="109"/>
      <c r="P499" s="9"/>
      <c r="Q499" s="9"/>
      <c r="R499" s="40"/>
      <c r="S499" s="40"/>
      <c r="T499" s="113"/>
      <c r="U499" s="114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ht="35.25" customHeight="1">
      <c r="A500" s="40">
        <v>45134.0</v>
      </c>
      <c r="B500" s="109">
        <v>2912.0</v>
      </c>
      <c r="C500" s="109"/>
      <c r="D500" s="110" t="s">
        <v>77</v>
      </c>
      <c r="E500" s="110" t="s">
        <v>2449</v>
      </c>
      <c r="F500" s="109">
        <v>2.0</v>
      </c>
      <c r="G500" s="111">
        <v>405.58</v>
      </c>
      <c r="H500" s="110" t="s">
        <v>2036</v>
      </c>
      <c r="I500" s="40"/>
      <c r="J500" s="109"/>
      <c r="K500" s="109"/>
      <c r="L500" s="110"/>
      <c r="M500" s="40"/>
      <c r="N500" s="110"/>
      <c r="O500" s="109"/>
      <c r="P500" s="9"/>
      <c r="Q500" s="9"/>
      <c r="R500" s="40"/>
      <c r="S500" s="40"/>
      <c r="T500" s="113"/>
      <c r="U500" s="114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 ht="35.25" customHeight="1">
      <c r="A501" s="40">
        <v>45135.0</v>
      </c>
      <c r="B501" s="109">
        <v>2913.0</v>
      </c>
      <c r="C501" s="109"/>
      <c r="D501" s="110" t="s">
        <v>44</v>
      </c>
      <c r="E501" s="110" t="s">
        <v>2450</v>
      </c>
      <c r="F501" s="109">
        <v>1.0</v>
      </c>
      <c r="G501" s="111">
        <v>36388.14</v>
      </c>
      <c r="H501" s="110" t="s">
        <v>2036</v>
      </c>
      <c r="I501" s="40"/>
      <c r="J501" s="109"/>
      <c r="K501" s="109"/>
      <c r="L501" s="110"/>
      <c r="M501" s="40"/>
      <c r="N501" s="110"/>
      <c r="O501" s="109"/>
      <c r="P501" s="9"/>
      <c r="Q501" s="9"/>
      <c r="R501" s="40"/>
      <c r="S501" s="40"/>
      <c r="T501" s="113"/>
      <c r="U501" s="114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ht="35.25" customHeight="1">
      <c r="A502" s="40">
        <v>45135.0</v>
      </c>
      <c r="B502" s="109">
        <v>2914.0</v>
      </c>
      <c r="C502" s="109"/>
      <c r="D502" s="110" t="s">
        <v>44</v>
      </c>
      <c r="E502" s="110" t="s">
        <v>2451</v>
      </c>
      <c r="F502" s="109">
        <v>4.0</v>
      </c>
      <c r="G502" s="111">
        <v>338.32</v>
      </c>
      <c r="H502" s="110" t="s">
        <v>2036</v>
      </c>
      <c r="I502" s="40"/>
      <c r="J502" s="109"/>
      <c r="K502" s="109"/>
      <c r="L502" s="110"/>
      <c r="M502" s="40"/>
      <c r="N502" s="110"/>
      <c r="O502" s="109"/>
      <c r="P502" s="9"/>
      <c r="Q502" s="9"/>
      <c r="R502" s="40"/>
      <c r="S502" s="40"/>
      <c r="T502" s="113"/>
      <c r="U502" s="114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 ht="35.25" customHeight="1">
      <c r="A503" s="40">
        <v>45135.0</v>
      </c>
      <c r="B503" s="109">
        <v>2914.0</v>
      </c>
      <c r="C503" s="109"/>
      <c r="D503" s="110" t="s">
        <v>44</v>
      </c>
      <c r="E503" s="110" t="s">
        <v>2452</v>
      </c>
      <c r="F503" s="109">
        <v>6.0</v>
      </c>
      <c r="G503" s="111">
        <v>1264.82</v>
      </c>
      <c r="H503" s="110" t="s">
        <v>2036</v>
      </c>
      <c r="I503" s="40"/>
      <c r="J503" s="109"/>
      <c r="K503" s="109"/>
      <c r="L503" s="110"/>
      <c r="M503" s="40"/>
      <c r="N503" s="110"/>
      <c r="O503" s="109"/>
      <c r="P503" s="9"/>
      <c r="Q503" s="9"/>
      <c r="R503" s="40"/>
      <c r="S503" s="40"/>
      <c r="T503" s="113"/>
      <c r="U503" s="114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ht="35.25" customHeight="1">
      <c r="A504" s="40">
        <v>45138.0</v>
      </c>
      <c r="B504" s="109">
        <v>2915.0</v>
      </c>
      <c r="C504" s="109"/>
      <c r="D504" s="110" t="s">
        <v>188</v>
      </c>
      <c r="E504" s="110" t="s">
        <v>2453</v>
      </c>
      <c r="F504" s="109">
        <v>1.0</v>
      </c>
      <c r="G504" s="111">
        <v>496.33</v>
      </c>
      <c r="H504" s="110" t="s">
        <v>2036</v>
      </c>
      <c r="I504" s="40"/>
      <c r="J504" s="109"/>
      <c r="K504" s="109"/>
      <c r="L504" s="110"/>
      <c r="M504" s="40"/>
      <c r="N504" s="110"/>
      <c r="O504" s="109"/>
      <c r="P504" s="9"/>
      <c r="Q504" s="9"/>
      <c r="R504" s="40"/>
      <c r="S504" s="40"/>
      <c r="T504" s="113"/>
      <c r="U504" s="114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 ht="35.25" customHeight="1">
      <c r="A505" s="40">
        <v>45138.0</v>
      </c>
      <c r="B505" s="109">
        <v>2916.0</v>
      </c>
      <c r="C505" s="109"/>
      <c r="D505" s="110" t="s">
        <v>44</v>
      </c>
      <c r="E505" s="110" t="s">
        <v>2301</v>
      </c>
      <c r="F505" s="109">
        <v>3.0</v>
      </c>
      <c r="G505" s="111">
        <v>8948.49</v>
      </c>
      <c r="H505" s="110" t="s">
        <v>180</v>
      </c>
      <c r="I505" s="40">
        <v>45179.0</v>
      </c>
      <c r="J505" s="109">
        <v>2202.0</v>
      </c>
      <c r="K505" s="109">
        <v>4.50177746E9</v>
      </c>
      <c r="L505" s="110"/>
      <c r="M505" s="40"/>
      <c r="N505" s="110"/>
      <c r="O505" s="109"/>
      <c r="P505" s="9"/>
      <c r="Q505" s="9"/>
      <c r="R505" s="40"/>
      <c r="S505" s="40"/>
      <c r="T505" s="113"/>
      <c r="U505" s="114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ht="35.25" customHeight="1">
      <c r="A506" s="40">
        <v>45138.0</v>
      </c>
      <c r="B506" s="109">
        <v>2917.0</v>
      </c>
      <c r="C506" s="109"/>
      <c r="D506" s="110" t="s">
        <v>46</v>
      </c>
      <c r="E506" s="110" t="s">
        <v>2454</v>
      </c>
      <c r="F506" s="109">
        <v>70.0</v>
      </c>
      <c r="G506" s="111">
        <v>8666.92</v>
      </c>
      <c r="H506" s="110" t="s">
        <v>2036</v>
      </c>
      <c r="I506" s="40"/>
      <c r="J506" s="109"/>
      <c r="K506" s="109"/>
      <c r="L506" s="110"/>
      <c r="M506" s="40"/>
      <c r="N506" s="110"/>
      <c r="O506" s="109"/>
      <c r="P506" s="9"/>
      <c r="Q506" s="9"/>
      <c r="R506" s="40"/>
      <c r="S506" s="40"/>
      <c r="T506" s="113"/>
      <c r="U506" s="114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 ht="35.25" customHeight="1">
      <c r="A507" s="40">
        <v>45139.0</v>
      </c>
      <c r="B507" s="109">
        <v>2918.0</v>
      </c>
      <c r="C507" s="109"/>
      <c r="D507" s="110" t="s">
        <v>44</v>
      </c>
      <c r="E507" s="110" t="s">
        <v>1209</v>
      </c>
      <c r="F507" s="109">
        <v>1.0</v>
      </c>
      <c r="G507" s="111">
        <v>1452.33</v>
      </c>
      <c r="H507" s="110" t="s">
        <v>2036</v>
      </c>
      <c r="I507" s="40"/>
      <c r="J507" s="109"/>
      <c r="K507" s="109"/>
      <c r="L507" s="110"/>
      <c r="M507" s="40"/>
      <c r="N507" s="110"/>
      <c r="O507" s="109"/>
      <c r="P507" s="9"/>
      <c r="Q507" s="9"/>
      <c r="R507" s="40"/>
      <c r="S507" s="40"/>
      <c r="T507" s="113"/>
      <c r="U507" s="114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ht="35.25" customHeight="1">
      <c r="A508" s="40">
        <v>45139.0</v>
      </c>
      <c r="B508" s="109">
        <v>2919.0</v>
      </c>
      <c r="C508" s="109"/>
      <c r="D508" s="110" t="s">
        <v>188</v>
      </c>
      <c r="E508" s="110" t="s">
        <v>2455</v>
      </c>
      <c r="F508" s="109">
        <v>2.0</v>
      </c>
      <c r="G508" s="111">
        <v>9438.54</v>
      </c>
      <c r="H508" s="110" t="s">
        <v>2036</v>
      </c>
      <c r="I508" s="40"/>
      <c r="J508" s="109"/>
      <c r="K508" s="109"/>
      <c r="L508" s="110"/>
      <c r="M508" s="40"/>
      <c r="N508" s="110"/>
      <c r="O508" s="109"/>
      <c r="P508" s="9"/>
      <c r="Q508" s="9"/>
      <c r="R508" s="40"/>
      <c r="S508" s="40"/>
      <c r="T508" s="113"/>
      <c r="U508" s="114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 ht="35.25" customHeight="1">
      <c r="A509" s="40">
        <v>45139.0</v>
      </c>
      <c r="B509" s="109">
        <v>2920.0</v>
      </c>
      <c r="C509" s="109"/>
      <c r="D509" s="110" t="s">
        <v>44</v>
      </c>
      <c r="E509" s="110" t="s">
        <v>2456</v>
      </c>
      <c r="F509" s="109">
        <v>1.0</v>
      </c>
      <c r="G509" s="111">
        <v>15568.61</v>
      </c>
      <c r="H509" s="110" t="s">
        <v>2036</v>
      </c>
      <c r="I509" s="40"/>
      <c r="J509" s="109"/>
      <c r="K509" s="109"/>
      <c r="L509" s="110"/>
      <c r="M509" s="40"/>
      <c r="N509" s="110"/>
      <c r="O509" s="109"/>
      <c r="P509" s="9"/>
      <c r="Q509" s="9"/>
      <c r="R509" s="40"/>
      <c r="S509" s="40"/>
      <c r="T509" s="113"/>
      <c r="U509" s="114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ht="35.25" customHeight="1">
      <c r="A510" s="40">
        <v>45141.0</v>
      </c>
      <c r="B510" s="109">
        <v>2921.0</v>
      </c>
      <c r="C510" s="109">
        <v>7714.0</v>
      </c>
      <c r="D510" s="110" t="s">
        <v>2457</v>
      </c>
      <c r="E510" s="110" t="s">
        <v>2458</v>
      </c>
      <c r="F510" s="109">
        <v>10.0</v>
      </c>
      <c r="G510" s="111">
        <v>4246.02</v>
      </c>
      <c r="H510" s="112" t="s">
        <v>1560</v>
      </c>
      <c r="I510" s="40"/>
      <c r="J510" s="109"/>
      <c r="K510" s="109">
        <v>32473.0</v>
      </c>
      <c r="L510" s="110"/>
      <c r="M510" s="40"/>
      <c r="N510" s="110"/>
      <c r="O510" s="109"/>
      <c r="P510" s="9"/>
      <c r="Q510" s="9"/>
      <c r="R510" s="40"/>
      <c r="S510" s="40"/>
      <c r="T510" s="113"/>
      <c r="U510" s="114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 ht="35.25" customHeight="1">
      <c r="A511" s="40">
        <v>44993.0</v>
      </c>
      <c r="B511" s="109">
        <v>2921.0</v>
      </c>
      <c r="C511" s="109"/>
      <c r="D511" s="110" t="s">
        <v>2457</v>
      </c>
      <c r="E511" s="110" t="s">
        <v>2458</v>
      </c>
      <c r="F511" s="109">
        <v>10.0</v>
      </c>
      <c r="G511" s="111">
        <v>2863.88</v>
      </c>
      <c r="H511" s="112" t="s">
        <v>1560</v>
      </c>
      <c r="I511" s="40"/>
      <c r="J511" s="109"/>
      <c r="K511" s="109">
        <v>32473.0</v>
      </c>
      <c r="L511" s="110"/>
      <c r="M511" s="40"/>
      <c r="N511" s="110"/>
      <c r="O511" s="109"/>
      <c r="P511" s="9"/>
      <c r="Q511" s="9"/>
      <c r="R511" s="40"/>
      <c r="S511" s="40"/>
      <c r="T511" s="113"/>
      <c r="U511" s="114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ht="35.25" customHeight="1">
      <c r="A512" s="40">
        <v>45145.0</v>
      </c>
      <c r="B512" s="109">
        <v>2923.0</v>
      </c>
      <c r="C512" s="109"/>
      <c r="D512" s="110" t="s">
        <v>1996</v>
      </c>
      <c r="E512" s="110" t="s">
        <v>1997</v>
      </c>
      <c r="F512" s="109">
        <v>1.0</v>
      </c>
      <c r="G512" s="111">
        <v>18063.84</v>
      </c>
      <c r="H512" s="110" t="s">
        <v>2036</v>
      </c>
      <c r="I512" s="40"/>
      <c r="J512" s="109"/>
      <c r="K512" s="109"/>
      <c r="L512" s="110"/>
      <c r="M512" s="40"/>
      <c r="N512" s="110"/>
      <c r="O512" s="109"/>
      <c r="P512" s="9"/>
      <c r="Q512" s="9"/>
      <c r="R512" s="40"/>
      <c r="S512" s="40"/>
      <c r="T512" s="113"/>
      <c r="U512" s="114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 ht="35.25" customHeight="1">
      <c r="A513" s="40">
        <v>45145.0</v>
      </c>
      <c r="B513" s="109">
        <v>2924.0</v>
      </c>
      <c r="C513" s="109"/>
      <c r="D513" s="110" t="s">
        <v>44</v>
      </c>
      <c r="E513" s="110" t="s">
        <v>2459</v>
      </c>
      <c r="F513" s="109">
        <v>1.0</v>
      </c>
      <c r="G513" s="111">
        <v>12056.14</v>
      </c>
      <c r="H513" s="110" t="s">
        <v>2036</v>
      </c>
      <c r="I513" s="40"/>
      <c r="J513" s="109"/>
      <c r="K513" s="109"/>
      <c r="L513" s="110"/>
      <c r="M513" s="40"/>
      <c r="N513" s="110"/>
      <c r="O513" s="109"/>
      <c r="P513" s="9"/>
      <c r="Q513" s="9"/>
      <c r="R513" s="40"/>
      <c r="S513" s="40"/>
      <c r="T513" s="113"/>
      <c r="U513" s="114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ht="35.25" customHeight="1">
      <c r="A514" s="40">
        <v>45146.0</v>
      </c>
      <c r="B514" s="109">
        <v>2925.0</v>
      </c>
      <c r="C514" s="109"/>
      <c r="D514" s="110" t="s">
        <v>188</v>
      </c>
      <c r="E514" s="110" t="s">
        <v>2138</v>
      </c>
      <c r="F514" s="109">
        <v>1.0</v>
      </c>
      <c r="G514" s="111">
        <v>19.5</v>
      </c>
      <c r="H514" s="110" t="s">
        <v>2036</v>
      </c>
      <c r="I514" s="40"/>
      <c r="J514" s="109"/>
      <c r="K514" s="109"/>
      <c r="L514" s="110"/>
      <c r="M514" s="40"/>
      <c r="N514" s="110"/>
      <c r="O514" s="109"/>
      <c r="P514" s="9"/>
      <c r="Q514" s="9"/>
      <c r="R514" s="40"/>
      <c r="S514" s="40"/>
      <c r="T514" s="113"/>
      <c r="U514" s="114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 ht="35.25" customHeight="1">
      <c r="A515" s="40">
        <v>45147.0</v>
      </c>
      <c r="B515" s="109">
        <v>2926.0</v>
      </c>
      <c r="C515" s="109"/>
      <c r="D515" s="110" t="s">
        <v>188</v>
      </c>
      <c r="E515" s="110" t="s">
        <v>2460</v>
      </c>
      <c r="F515" s="109">
        <v>4.0</v>
      </c>
      <c r="G515" s="111">
        <v>152659.76</v>
      </c>
      <c r="H515" s="110" t="s">
        <v>2036</v>
      </c>
      <c r="I515" s="40"/>
      <c r="J515" s="109"/>
      <c r="K515" s="109"/>
      <c r="L515" s="110"/>
      <c r="M515" s="40"/>
      <c r="N515" s="110"/>
      <c r="O515" s="109"/>
      <c r="P515" s="9"/>
      <c r="Q515" s="9"/>
      <c r="R515" s="40"/>
      <c r="S515" s="40"/>
      <c r="T515" s="113"/>
      <c r="U515" s="114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ht="35.25" customHeight="1">
      <c r="A516" s="40">
        <v>45147.0</v>
      </c>
      <c r="B516" s="109">
        <v>2927.0</v>
      </c>
      <c r="C516" s="109"/>
      <c r="D516" s="110" t="s">
        <v>2461</v>
      </c>
      <c r="E516" s="110" t="s">
        <v>2462</v>
      </c>
      <c r="F516" s="109">
        <v>1.0</v>
      </c>
      <c r="G516" s="111">
        <v>51321.18</v>
      </c>
      <c r="H516" s="110" t="s">
        <v>2036</v>
      </c>
      <c r="I516" s="40"/>
      <c r="J516" s="109"/>
      <c r="K516" s="109"/>
      <c r="L516" s="110"/>
      <c r="M516" s="40"/>
      <c r="N516" s="110"/>
      <c r="O516" s="109"/>
      <c r="P516" s="9"/>
      <c r="Q516" s="9"/>
      <c r="R516" s="40"/>
      <c r="S516" s="40"/>
      <c r="T516" s="113"/>
      <c r="U516" s="114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 ht="35.25" customHeight="1">
      <c r="A517" s="40">
        <v>45152.0</v>
      </c>
      <c r="B517" s="109">
        <v>2928.0</v>
      </c>
      <c r="C517" s="109"/>
      <c r="D517" s="110" t="s">
        <v>1222</v>
      </c>
      <c r="E517" s="110" t="s">
        <v>2463</v>
      </c>
      <c r="F517" s="109">
        <v>1.0</v>
      </c>
      <c r="G517" s="111">
        <v>5090.27</v>
      </c>
      <c r="H517" s="110" t="s">
        <v>2036</v>
      </c>
      <c r="I517" s="40"/>
      <c r="J517" s="109"/>
      <c r="K517" s="109"/>
      <c r="L517" s="110"/>
      <c r="M517" s="40"/>
      <c r="N517" s="110"/>
      <c r="O517" s="109"/>
      <c r="P517" s="9"/>
      <c r="Q517" s="9"/>
      <c r="R517" s="40"/>
      <c r="S517" s="40"/>
      <c r="T517" s="113"/>
      <c r="U517" s="114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ht="35.25" customHeight="1">
      <c r="A518" s="40" t="s">
        <v>2464</v>
      </c>
      <c r="B518" s="109">
        <v>2929.0</v>
      </c>
      <c r="C518" s="109"/>
      <c r="D518" s="110" t="s">
        <v>44</v>
      </c>
      <c r="E518" s="110" t="s">
        <v>2465</v>
      </c>
      <c r="F518" s="109">
        <v>1.0</v>
      </c>
      <c r="G518" s="111">
        <v>1301.87</v>
      </c>
      <c r="H518" s="112" t="s">
        <v>180</v>
      </c>
      <c r="I518" s="40">
        <v>44936.0</v>
      </c>
      <c r="J518" s="109">
        <v>2234.0</v>
      </c>
      <c r="K518" s="109">
        <v>4.5017907E7</v>
      </c>
      <c r="L518" s="110"/>
      <c r="M518" s="40"/>
      <c r="N518" s="110"/>
      <c r="O518" s="109"/>
      <c r="P518" s="9"/>
      <c r="Q518" s="9"/>
      <c r="R518" s="40"/>
      <c r="S518" s="40"/>
      <c r="T518" s="113"/>
      <c r="U518" s="114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 ht="35.25" customHeight="1">
      <c r="A519" s="40" t="s">
        <v>2466</v>
      </c>
      <c r="B519" s="109">
        <v>2929.0</v>
      </c>
      <c r="C519" s="109"/>
      <c r="D519" s="110" t="s">
        <v>44</v>
      </c>
      <c r="E519" s="110" t="s">
        <v>2467</v>
      </c>
      <c r="F519" s="109">
        <v>1.0</v>
      </c>
      <c r="G519" s="111">
        <v>1301.87</v>
      </c>
      <c r="H519" s="112" t="s">
        <v>180</v>
      </c>
      <c r="I519" s="40" t="s">
        <v>2468</v>
      </c>
      <c r="J519" s="109">
        <v>2234.0</v>
      </c>
      <c r="K519" s="109">
        <v>4.501790744E9</v>
      </c>
      <c r="L519" s="110" t="s">
        <v>2469</v>
      </c>
      <c r="M519" s="40" t="s">
        <v>2468</v>
      </c>
      <c r="N519" s="110"/>
      <c r="O519" s="109" t="s">
        <v>2470</v>
      </c>
      <c r="P519" s="9" t="s">
        <v>2471</v>
      </c>
      <c r="Q519" s="9">
        <v>133.0</v>
      </c>
      <c r="R519" s="40"/>
      <c r="S519" s="40"/>
      <c r="T519" s="113"/>
      <c r="U519" s="114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ht="35.25" customHeight="1">
      <c r="A520" s="40">
        <v>45152.0</v>
      </c>
      <c r="B520" s="109">
        <v>2930.0</v>
      </c>
      <c r="C520" s="109"/>
      <c r="D520" s="110" t="s">
        <v>44</v>
      </c>
      <c r="E520" s="110" t="s">
        <v>2472</v>
      </c>
      <c r="F520" s="109">
        <v>1.0</v>
      </c>
      <c r="G520" s="111">
        <v>340.81</v>
      </c>
      <c r="H520" s="110" t="s">
        <v>2036</v>
      </c>
      <c r="I520" s="40"/>
      <c r="J520" s="109"/>
      <c r="K520" s="109"/>
      <c r="L520" s="110"/>
      <c r="M520" s="40"/>
      <c r="N520" s="110"/>
      <c r="O520" s="109"/>
      <c r="P520" s="9"/>
      <c r="Q520" s="9"/>
      <c r="R520" s="40"/>
      <c r="S520" s="40"/>
      <c r="T520" s="113"/>
      <c r="U520" s="114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 ht="35.25" customHeight="1">
      <c r="A521" s="40">
        <v>45152.0</v>
      </c>
      <c r="B521" s="109">
        <v>2931.0</v>
      </c>
      <c r="C521" s="109"/>
      <c r="D521" s="110" t="s">
        <v>44</v>
      </c>
      <c r="E521" s="110" t="s">
        <v>2473</v>
      </c>
      <c r="F521" s="109">
        <v>1.0</v>
      </c>
      <c r="G521" s="111">
        <v>1316.33</v>
      </c>
      <c r="H521" s="110" t="s">
        <v>2036</v>
      </c>
      <c r="I521" s="40"/>
      <c r="J521" s="109"/>
      <c r="K521" s="109"/>
      <c r="L521" s="110"/>
      <c r="M521" s="40"/>
      <c r="N521" s="110"/>
      <c r="O521" s="109"/>
      <c r="P521" s="9"/>
      <c r="Q521" s="9"/>
      <c r="R521" s="40"/>
      <c r="S521" s="40"/>
      <c r="T521" s="113"/>
      <c r="U521" s="114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ht="35.25" customHeight="1">
      <c r="A522" s="40">
        <v>45152.0</v>
      </c>
      <c r="B522" s="109">
        <v>2932.0</v>
      </c>
      <c r="C522" s="109"/>
      <c r="D522" s="110" t="s">
        <v>44</v>
      </c>
      <c r="E522" s="110" t="s">
        <v>2076</v>
      </c>
      <c r="F522" s="109">
        <v>1.0</v>
      </c>
      <c r="G522" s="111">
        <v>5295.5</v>
      </c>
      <c r="H522" s="110" t="s">
        <v>2036</v>
      </c>
      <c r="I522" s="40"/>
      <c r="J522" s="109"/>
      <c r="K522" s="109"/>
      <c r="L522" s="110"/>
      <c r="M522" s="40"/>
      <c r="N522" s="110"/>
      <c r="O522" s="109"/>
      <c r="P522" s="9"/>
      <c r="Q522" s="9"/>
      <c r="R522" s="40"/>
      <c r="S522" s="40"/>
      <c r="T522" s="113"/>
      <c r="U522" s="114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 ht="35.25" customHeight="1">
      <c r="A523" s="40">
        <v>45152.0</v>
      </c>
      <c r="B523" s="109">
        <v>2933.0</v>
      </c>
      <c r="C523" s="109"/>
      <c r="D523" s="110" t="s">
        <v>188</v>
      </c>
      <c r="E523" s="110" t="s">
        <v>2474</v>
      </c>
      <c r="F523" s="109">
        <v>1.0</v>
      </c>
      <c r="G523" s="111">
        <v>7.9</v>
      </c>
      <c r="H523" s="110" t="s">
        <v>2036</v>
      </c>
      <c r="I523" s="40"/>
      <c r="J523" s="109"/>
      <c r="K523" s="109"/>
      <c r="L523" s="110"/>
      <c r="M523" s="40"/>
      <c r="N523" s="110"/>
      <c r="O523" s="109"/>
      <c r="P523" s="9"/>
      <c r="Q523" s="9"/>
      <c r="R523" s="40"/>
      <c r="S523" s="40"/>
      <c r="T523" s="113"/>
      <c r="U523" s="114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ht="35.25" customHeight="1">
      <c r="A524" s="40">
        <v>45153.0</v>
      </c>
      <c r="B524" s="109">
        <v>2934.0</v>
      </c>
      <c r="C524" s="109"/>
      <c r="D524" s="110" t="s">
        <v>44</v>
      </c>
      <c r="E524" s="110" t="s">
        <v>2475</v>
      </c>
      <c r="F524" s="109">
        <v>1.0</v>
      </c>
      <c r="G524" s="111">
        <v>103004.61</v>
      </c>
      <c r="H524" s="110" t="s">
        <v>2036</v>
      </c>
      <c r="I524" s="40"/>
      <c r="J524" s="109"/>
      <c r="K524" s="109"/>
      <c r="L524" s="110"/>
      <c r="M524" s="40"/>
      <c r="N524" s="110"/>
      <c r="O524" s="109"/>
      <c r="P524" s="9"/>
      <c r="Q524" s="9"/>
      <c r="R524" s="40"/>
      <c r="S524" s="40"/>
      <c r="T524" s="113"/>
      <c r="U524" s="114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 ht="35.25" customHeight="1">
      <c r="A525" s="40">
        <v>45153.0</v>
      </c>
      <c r="B525" s="109">
        <v>2935.0</v>
      </c>
      <c r="C525" s="109"/>
      <c r="D525" s="110" t="s">
        <v>2476</v>
      </c>
      <c r="E525" s="110" t="s">
        <v>2050</v>
      </c>
      <c r="F525" s="109">
        <v>5.0</v>
      </c>
      <c r="G525" s="111">
        <v>4525.2</v>
      </c>
      <c r="H525" s="110" t="s">
        <v>2036</v>
      </c>
      <c r="I525" s="40"/>
      <c r="J525" s="109"/>
      <c r="K525" s="109"/>
      <c r="L525" s="110"/>
      <c r="M525" s="40"/>
      <c r="N525" s="110"/>
      <c r="O525" s="109"/>
      <c r="P525" s="9"/>
      <c r="Q525" s="9"/>
      <c r="R525" s="40"/>
      <c r="S525" s="40"/>
      <c r="T525" s="113"/>
      <c r="U525" s="114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ht="35.25" customHeight="1">
      <c r="A526" s="40">
        <v>45153.0</v>
      </c>
      <c r="B526" s="109">
        <v>2935.0</v>
      </c>
      <c r="C526" s="109"/>
      <c r="D526" s="110" t="s">
        <v>2476</v>
      </c>
      <c r="E526" s="110" t="s">
        <v>2050</v>
      </c>
      <c r="F526" s="109">
        <v>5.0</v>
      </c>
      <c r="G526" s="111">
        <v>4525.2</v>
      </c>
      <c r="H526" s="110" t="s">
        <v>2036</v>
      </c>
      <c r="I526" s="40"/>
      <c r="J526" s="109"/>
      <c r="K526" s="109"/>
      <c r="L526" s="110"/>
      <c r="M526" s="40"/>
      <c r="N526" s="110"/>
      <c r="O526" s="109"/>
      <c r="P526" s="9"/>
      <c r="Q526" s="9"/>
      <c r="R526" s="40"/>
      <c r="S526" s="40"/>
      <c r="T526" s="113"/>
      <c r="U526" s="114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 ht="35.25" customHeight="1">
      <c r="A527" s="40">
        <v>45155.0</v>
      </c>
      <c r="B527" s="109">
        <v>2938.0</v>
      </c>
      <c r="C527" s="109"/>
      <c r="D527" s="110" t="s">
        <v>2477</v>
      </c>
      <c r="E527" s="110" t="s">
        <v>2478</v>
      </c>
      <c r="F527" s="109">
        <v>132.0</v>
      </c>
      <c r="G527" s="111">
        <v>610591.08</v>
      </c>
      <c r="H527" s="110" t="s">
        <v>2036</v>
      </c>
      <c r="I527" s="40"/>
      <c r="J527" s="109"/>
      <c r="K527" s="109"/>
      <c r="L527" s="110"/>
      <c r="M527" s="40"/>
      <c r="N527" s="110"/>
      <c r="O527" s="109"/>
      <c r="P527" s="9"/>
      <c r="Q527" s="9"/>
      <c r="R527" s="40"/>
      <c r="S527" s="40"/>
      <c r="T527" s="113"/>
      <c r="U527" s="114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ht="35.25" customHeight="1">
      <c r="A528" s="40">
        <v>45155.0</v>
      </c>
      <c r="B528" s="109">
        <v>2939.0</v>
      </c>
      <c r="C528" s="109"/>
      <c r="D528" s="110" t="s">
        <v>2195</v>
      </c>
      <c r="E528" s="135" t="s">
        <v>2479</v>
      </c>
      <c r="F528" s="109">
        <v>1.0</v>
      </c>
      <c r="G528" s="111">
        <v>913.79</v>
      </c>
      <c r="H528" s="110" t="s">
        <v>2036</v>
      </c>
      <c r="I528" s="40"/>
      <c r="J528" s="109"/>
      <c r="K528" s="109"/>
      <c r="L528" s="110"/>
      <c r="M528" s="40"/>
      <c r="N528" s="110"/>
      <c r="O528" s="109"/>
      <c r="P528" s="9"/>
      <c r="Q528" s="9"/>
      <c r="R528" s="40"/>
      <c r="S528" s="40"/>
      <c r="T528" s="113"/>
      <c r="U528" s="114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 ht="35.25" customHeight="1">
      <c r="A529" s="40">
        <v>45155.0</v>
      </c>
      <c r="B529" s="109">
        <v>2939.0</v>
      </c>
      <c r="C529" s="109"/>
      <c r="D529" s="110" t="s">
        <v>2195</v>
      </c>
      <c r="E529" s="110" t="s">
        <v>2480</v>
      </c>
      <c r="F529" s="109">
        <v>1.0</v>
      </c>
      <c r="G529" s="111">
        <v>727.19</v>
      </c>
      <c r="H529" s="110" t="s">
        <v>2036</v>
      </c>
      <c r="I529" s="40"/>
      <c r="J529" s="109"/>
      <c r="K529" s="109"/>
      <c r="L529" s="110"/>
      <c r="M529" s="40"/>
      <c r="N529" s="110"/>
      <c r="O529" s="109"/>
      <c r="P529" s="9"/>
      <c r="Q529" s="9"/>
      <c r="R529" s="40"/>
      <c r="S529" s="40"/>
      <c r="T529" s="113"/>
      <c r="U529" s="114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ht="35.25" customHeight="1">
      <c r="A530" s="40">
        <v>45155.0</v>
      </c>
      <c r="B530" s="109">
        <v>2939.0</v>
      </c>
      <c r="C530" s="109"/>
      <c r="D530" s="110" t="s">
        <v>2195</v>
      </c>
      <c r="E530" s="110" t="s">
        <v>2452</v>
      </c>
      <c r="F530" s="109">
        <v>1.0</v>
      </c>
      <c r="G530" s="111">
        <v>190.74</v>
      </c>
      <c r="H530" s="110" t="s">
        <v>2036</v>
      </c>
      <c r="I530" s="40"/>
      <c r="J530" s="109"/>
      <c r="K530" s="109"/>
      <c r="L530" s="110"/>
      <c r="M530" s="40"/>
      <c r="N530" s="110"/>
      <c r="O530" s="109"/>
      <c r="P530" s="9"/>
      <c r="Q530" s="9"/>
      <c r="R530" s="40"/>
      <c r="S530" s="40"/>
      <c r="T530" s="113"/>
      <c r="U530" s="114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 ht="35.25" customHeight="1">
      <c r="A531" s="40">
        <v>45155.0</v>
      </c>
      <c r="B531" s="109">
        <v>2939.0</v>
      </c>
      <c r="C531" s="109"/>
      <c r="D531" s="110" t="s">
        <v>2195</v>
      </c>
      <c r="E531" s="110" t="s">
        <v>2432</v>
      </c>
      <c r="F531" s="109">
        <v>1.0</v>
      </c>
      <c r="G531" s="111">
        <v>481.8</v>
      </c>
      <c r="H531" s="110" t="s">
        <v>2036</v>
      </c>
      <c r="I531" s="40"/>
      <c r="J531" s="109"/>
      <c r="K531" s="109"/>
      <c r="L531" s="110"/>
      <c r="M531" s="40"/>
      <c r="N531" s="110"/>
      <c r="O531" s="109"/>
      <c r="P531" s="9"/>
      <c r="Q531" s="9"/>
      <c r="R531" s="40"/>
      <c r="S531" s="40"/>
      <c r="T531" s="113"/>
      <c r="U531" s="114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ht="35.25" customHeight="1">
      <c r="A532" s="40">
        <v>45156.0</v>
      </c>
      <c r="B532" s="109">
        <v>2942.0</v>
      </c>
      <c r="C532" s="109"/>
      <c r="D532" s="110" t="s">
        <v>2213</v>
      </c>
      <c r="E532" s="110" t="s">
        <v>2320</v>
      </c>
      <c r="F532" s="109">
        <v>6.0</v>
      </c>
      <c r="G532" s="111">
        <v>741.54</v>
      </c>
      <c r="H532" s="112" t="s">
        <v>167</v>
      </c>
      <c r="I532" s="40"/>
      <c r="J532" s="109"/>
      <c r="K532" s="109"/>
      <c r="L532" s="110"/>
      <c r="M532" s="40"/>
      <c r="N532" s="110"/>
      <c r="O532" s="109"/>
      <c r="P532" s="9"/>
      <c r="Q532" s="9"/>
      <c r="R532" s="40"/>
      <c r="S532" s="40"/>
      <c r="T532" s="113"/>
      <c r="U532" s="114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 ht="35.25" customHeight="1">
      <c r="A533" s="40">
        <v>45156.0</v>
      </c>
      <c r="B533" s="109">
        <v>2942.0</v>
      </c>
      <c r="C533" s="109"/>
      <c r="D533" s="110" t="s">
        <v>2213</v>
      </c>
      <c r="E533" s="110" t="s">
        <v>2322</v>
      </c>
      <c r="F533" s="109">
        <v>1.0</v>
      </c>
      <c r="G533" s="111">
        <v>389.61</v>
      </c>
      <c r="H533" s="112" t="s">
        <v>27</v>
      </c>
      <c r="I533" s="40"/>
      <c r="J533" s="109"/>
      <c r="K533" s="109"/>
      <c r="L533" s="110"/>
      <c r="M533" s="40"/>
      <c r="N533" s="110"/>
      <c r="O533" s="109"/>
      <c r="P533" s="9"/>
      <c r="Q533" s="9"/>
      <c r="R533" s="40"/>
      <c r="S533" s="40"/>
      <c r="T533" s="113"/>
      <c r="U533" s="114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ht="35.25" customHeight="1">
      <c r="A534" s="40" t="s">
        <v>2481</v>
      </c>
      <c r="B534" s="109">
        <v>2943.0</v>
      </c>
      <c r="C534" s="109"/>
      <c r="D534" s="110" t="s">
        <v>2213</v>
      </c>
      <c r="E534" s="110" t="s">
        <v>2320</v>
      </c>
      <c r="F534" s="109">
        <v>1.0</v>
      </c>
      <c r="G534" s="111">
        <v>123.59</v>
      </c>
      <c r="H534" s="112" t="s">
        <v>1560</v>
      </c>
      <c r="I534" s="40"/>
      <c r="J534" s="109"/>
      <c r="K534" s="109">
        <v>64427.0</v>
      </c>
      <c r="L534" s="110" t="s">
        <v>2482</v>
      </c>
      <c r="M534" s="40"/>
      <c r="N534" s="110" t="s">
        <v>2483</v>
      </c>
      <c r="O534" s="109"/>
      <c r="P534" s="9"/>
      <c r="Q534" s="9"/>
      <c r="R534" s="40"/>
      <c r="S534" s="40"/>
      <c r="T534" s="113"/>
      <c r="U534" s="114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 ht="35.25" customHeight="1">
      <c r="A535" s="40" t="s">
        <v>2481</v>
      </c>
      <c r="B535" s="109">
        <v>2943.0</v>
      </c>
      <c r="C535" s="109"/>
      <c r="D535" s="110" t="s">
        <v>2213</v>
      </c>
      <c r="E535" s="110" t="s">
        <v>2322</v>
      </c>
      <c r="F535" s="109">
        <v>1.0</v>
      </c>
      <c r="G535" s="111">
        <v>282.88</v>
      </c>
      <c r="H535" s="112" t="s">
        <v>1560</v>
      </c>
      <c r="I535" s="40"/>
      <c r="J535" s="109"/>
      <c r="K535" s="109">
        <v>64427.0</v>
      </c>
      <c r="L535" s="110" t="s">
        <v>2482</v>
      </c>
      <c r="M535" s="40"/>
      <c r="N535" s="110" t="s">
        <v>2483</v>
      </c>
      <c r="O535" s="109"/>
      <c r="P535" s="9"/>
      <c r="Q535" s="9"/>
      <c r="R535" s="40"/>
      <c r="S535" s="40"/>
      <c r="T535" s="113"/>
      <c r="U535" s="114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ht="35.25" customHeight="1">
      <c r="A536" s="40" t="s">
        <v>2484</v>
      </c>
      <c r="B536" s="109">
        <v>2944.0</v>
      </c>
      <c r="C536" s="109"/>
      <c r="D536" s="110" t="s">
        <v>19</v>
      </c>
      <c r="E536" s="110" t="s">
        <v>2201</v>
      </c>
      <c r="F536" s="109">
        <v>300.0</v>
      </c>
      <c r="G536" s="111">
        <v>1050.0</v>
      </c>
      <c r="H536" s="112" t="s">
        <v>1560</v>
      </c>
      <c r="I536" s="40"/>
      <c r="J536" s="109"/>
      <c r="K536" s="109">
        <v>4.500444986E9</v>
      </c>
      <c r="L536" s="110"/>
      <c r="M536" s="40"/>
      <c r="N536" s="110"/>
      <c r="O536" s="109"/>
      <c r="P536" s="9"/>
      <c r="Q536" s="9"/>
      <c r="R536" s="40"/>
      <c r="S536" s="40"/>
      <c r="T536" s="113"/>
      <c r="U536" s="114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 ht="35.25" customHeight="1">
      <c r="A537" s="40">
        <v>45160.0</v>
      </c>
      <c r="B537" s="109">
        <v>2945.0</v>
      </c>
      <c r="C537" s="109"/>
      <c r="D537" s="110" t="s">
        <v>790</v>
      </c>
      <c r="E537" s="110" t="s">
        <v>2485</v>
      </c>
      <c r="F537" s="109">
        <v>1.0</v>
      </c>
      <c r="G537" s="111">
        <v>23600.44</v>
      </c>
      <c r="H537" s="110" t="s">
        <v>2036</v>
      </c>
      <c r="I537" s="40"/>
      <c r="J537" s="109"/>
      <c r="K537" s="109"/>
      <c r="L537" s="110"/>
      <c r="M537" s="40"/>
      <c r="N537" s="110"/>
      <c r="O537" s="109"/>
      <c r="P537" s="9"/>
      <c r="Q537" s="9"/>
      <c r="R537" s="40"/>
      <c r="S537" s="40"/>
      <c r="T537" s="113"/>
      <c r="U537" s="114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ht="35.25" customHeight="1">
      <c r="A538" s="40">
        <v>45160.0</v>
      </c>
      <c r="B538" s="109">
        <v>2945.0</v>
      </c>
      <c r="C538" s="109"/>
      <c r="D538" s="110" t="s">
        <v>790</v>
      </c>
      <c r="E538" s="110" t="s">
        <v>2486</v>
      </c>
      <c r="F538" s="109">
        <v>1.0</v>
      </c>
      <c r="G538" s="111">
        <v>115426.67</v>
      </c>
      <c r="H538" s="110" t="s">
        <v>2036</v>
      </c>
      <c r="I538" s="40"/>
      <c r="J538" s="109"/>
      <c r="K538" s="109"/>
      <c r="L538" s="110"/>
      <c r="M538" s="40"/>
      <c r="N538" s="110"/>
      <c r="O538" s="109"/>
      <c r="P538" s="9"/>
      <c r="Q538" s="9"/>
      <c r="R538" s="40"/>
      <c r="S538" s="40"/>
      <c r="T538" s="113"/>
      <c r="U538" s="114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 ht="35.25" customHeight="1">
      <c r="A539" s="40">
        <v>45160.0</v>
      </c>
      <c r="B539" s="109">
        <v>2945.0</v>
      </c>
      <c r="C539" s="109"/>
      <c r="D539" s="110" t="s">
        <v>790</v>
      </c>
      <c r="E539" s="110" t="s">
        <v>2487</v>
      </c>
      <c r="F539" s="109">
        <v>1.0</v>
      </c>
      <c r="G539" s="111">
        <v>7821.04</v>
      </c>
      <c r="H539" s="110" t="s">
        <v>2036</v>
      </c>
      <c r="I539" s="40"/>
      <c r="J539" s="109"/>
      <c r="K539" s="109"/>
      <c r="L539" s="110"/>
      <c r="M539" s="40"/>
      <c r="N539" s="110"/>
      <c r="O539" s="109"/>
      <c r="P539" s="9"/>
      <c r="Q539" s="9"/>
      <c r="R539" s="40"/>
      <c r="S539" s="40"/>
      <c r="T539" s="113"/>
      <c r="U539" s="114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ht="35.25" customHeight="1">
      <c r="A540" s="40">
        <v>45160.0</v>
      </c>
      <c r="B540" s="109">
        <v>2945.0</v>
      </c>
      <c r="C540" s="109"/>
      <c r="D540" s="110" t="s">
        <v>790</v>
      </c>
      <c r="E540" s="110" t="s">
        <v>2488</v>
      </c>
      <c r="F540" s="109">
        <v>1.0</v>
      </c>
      <c r="G540" s="111">
        <v>11482.69</v>
      </c>
      <c r="H540" s="110" t="s">
        <v>2036</v>
      </c>
      <c r="I540" s="40"/>
      <c r="J540" s="109"/>
      <c r="K540" s="109"/>
      <c r="L540" s="110"/>
      <c r="M540" s="40"/>
      <c r="N540" s="110"/>
      <c r="O540" s="109"/>
      <c r="P540" s="9"/>
      <c r="Q540" s="9"/>
      <c r="R540" s="40"/>
      <c r="S540" s="40"/>
      <c r="T540" s="113"/>
      <c r="U540" s="114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 ht="35.25" customHeight="1">
      <c r="A541" s="40" t="s">
        <v>2489</v>
      </c>
      <c r="B541" s="109">
        <v>2946.0</v>
      </c>
      <c r="C541" s="109"/>
      <c r="D541" s="110" t="s">
        <v>1222</v>
      </c>
      <c r="E541" s="110" t="s">
        <v>2463</v>
      </c>
      <c r="F541" s="109">
        <v>1.0</v>
      </c>
      <c r="G541" s="111">
        <v>5090.27</v>
      </c>
      <c r="H541" s="112" t="s">
        <v>1560</v>
      </c>
      <c r="I541" s="40"/>
      <c r="J541" s="109"/>
      <c r="K541" s="109"/>
      <c r="L541" s="110"/>
      <c r="M541" s="40"/>
      <c r="N541" s="110"/>
      <c r="O541" s="109"/>
      <c r="P541" s="9"/>
      <c r="Q541" s="9"/>
      <c r="R541" s="40"/>
      <c r="S541" s="40"/>
      <c r="T541" s="113"/>
      <c r="U541" s="114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ht="35.25" customHeight="1">
      <c r="A542" s="40">
        <v>45161.0</v>
      </c>
      <c r="B542" s="109">
        <v>2947.0</v>
      </c>
      <c r="C542" s="109"/>
      <c r="D542" s="110" t="s">
        <v>77</v>
      </c>
      <c r="E542" s="110" t="s">
        <v>2490</v>
      </c>
      <c r="F542" s="109">
        <v>1.0</v>
      </c>
      <c r="G542" s="111">
        <v>3543.9</v>
      </c>
      <c r="H542" s="110" t="s">
        <v>2036</v>
      </c>
      <c r="I542" s="40"/>
      <c r="J542" s="109"/>
      <c r="K542" s="109"/>
      <c r="L542" s="110"/>
      <c r="M542" s="40"/>
      <c r="N542" s="110"/>
      <c r="O542" s="109"/>
      <c r="P542" s="9"/>
      <c r="Q542" s="9"/>
      <c r="R542" s="40"/>
      <c r="S542" s="40"/>
      <c r="T542" s="113"/>
      <c r="U542" s="114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 ht="35.25" customHeight="1">
      <c r="A543" s="40">
        <v>45162.0</v>
      </c>
      <c r="B543" s="109">
        <v>2948.0</v>
      </c>
      <c r="C543" s="109"/>
      <c r="D543" s="110" t="s">
        <v>123</v>
      </c>
      <c r="E543" s="110" t="s">
        <v>2491</v>
      </c>
      <c r="F543" s="109">
        <v>2.0</v>
      </c>
      <c r="G543" s="111">
        <v>23255.24</v>
      </c>
      <c r="H543" s="110" t="s">
        <v>2036</v>
      </c>
      <c r="I543" s="40"/>
      <c r="J543" s="109"/>
      <c r="K543" s="109"/>
      <c r="L543" s="110"/>
      <c r="M543" s="40"/>
      <c r="N543" s="110"/>
      <c r="O543" s="109"/>
      <c r="P543" s="9"/>
      <c r="Q543" s="9"/>
      <c r="R543" s="40"/>
      <c r="S543" s="40"/>
      <c r="T543" s="113"/>
      <c r="U543" s="114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ht="35.25" customHeight="1">
      <c r="A544" s="40">
        <v>45162.0</v>
      </c>
      <c r="B544" s="109">
        <v>2949.0</v>
      </c>
      <c r="C544" s="109"/>
      <c r="D544" s="110" t="s">
        <v>188</v>
      </c>
      <c r="E544" s="110" t="s">
        <v>2453</v>
      </c>
      <c r="F544" s="109">
        <v>1.0</v>
      </c>
      <c r="G544" s="111">
        <v>605.61</v>
      </c>
      <c r="H544" s="110" t="s">
        <v>2036</v>
      </c>
      <c r="I544" s="40"/>
      <c r="J544" s="109"/>
      <c r="K544" s="109"/>
      <c r="L544" s="110"/>
      <c r="M544" s="40"/>
      <c r="N544" s="110"/>
      <c r="O544" s="109"/>
      <c r="P544" s="9"/>
      <c r="Q544" s="9"/>
      <c r="R544" s="40"/>
      <c r="S544" s="40"/>
      <c r="T544" s="113"/>
      <c r="U544" s="114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 ht="35.25" customHeight="1">
      <c r="A545" s="40">
        <v>45162.0</v>
      </c>
      <c r="B545" s="109">
        <v>2949.0</v>
      </c>
      <c r="C545" s="109"/>
      <c r="D545" s="110" t="s">
        <v>188</v>
      </c>
      <c r="E545" s="110" t="s">
        <v>2492</v>
      </c>
      <c r="F545" s="109">
        <v>5.0</v>
      </c>
      <c r="G545" s="111">
        <v>45.93</v>
      </c>
      <c r="H545" s="110" t="s">
        <v>2036</v>
      </c>
      <c r="I545" s="40"/>
      <c r="J545" s="109"/>
      <c r="K545" s="109"/>
      <c r="L545" s="110"/>
      <c r="M545" s="40"/>
      <c r="N545" s="110"/>
      <c r="O545" s="109"/>
      <c r="P545" s="9"/>
      <c r="Q545" s="9"/>
      <c r="R545" s="40"/>
      <c r="S545" s="40"/>
      <c r="T545" s="113"/>
      <c r="U545" s="114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ht="35.25" customHeight="1">
      <c r="A546" s="40">
        <v>45162.0</v>
      </c>
      <c r="B546" s="109">
        <v>2949.0</v>
      </c>
      <c r="C546" s="109"/>
      <c r="D546" s="110" t="s">
        <v>188</v>
      </c>
      <c r="E546" s="110" t="s">
        <v>2492</v>
      </c>
      <c r="F546" s="109">
        <v>10.0</v>
      </c>
      <c r="G546" s="111">
        <v>580.17</v>
      </c>
      <c r="H546" s="110" t="s">
        <v>2036</v>
      </c>
      <c r="I546" s="40"/>
      <c r="J546" s="109"/>
      <c r="K546" s="109"/>
      <c r="L546" s="110"/>
      <c r="M546" s="40"/>
      <c r="N546" s="110"/>
      <c r="O546" s="109"/>
      <c r="P546" s="9"/>
      <c r="Q546" s="9"/>
      <c r="R546" s="40"/>
      <c r="S546" s="40"/>
      <c r="T546" s="113"/>
      <c r="U546" s="114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 ht="35.25" customHeight="1">
      <c r="A547" s="40">
        <v>45162.0</v>
      </c>
      <c r="B547" s="109">
        <v>2949.0</v>
      </c>
      <c r="C547" s="109"/>
      <c r="D547" s="110" t="s">
        <v>188</v>
      </c>
      <c r="E547" s="110" t="s">
        <v>2492</v>
      </c>
      <c r="F547" s="109">
        <v>10.0</v>
      </c>
      <c r="G547" s="111">
        <v>226.72</v>
      </c>
      <c r="H547" s="110" t="s">
        <v>2036</v>
      </c>
      <c r="I547" s="40"/>
      <c r="J547" s="109"/>
      <c r="K547" s="109"/>
      <c r="L547" s="110"/>
      <c r="M547" s="40"/>
      <c r="N547" s="110"/>
      <c r="O547" s="109"/>
      <c r="P547" s="9"/>
      <c r="Q547" s="9"/>
      <c r="R547" s="40"/>
      <c r="S547" s="40"/>
      <c r="T547" s="113"/>
      <c r="U547" s="114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ht="35.25" customHeight="1">
      <c r="A548" s="40">
        <v>45163.0</v>
      </c>
      <c r="B548" s="109">
        <v>2950.0</v>
      </c>
      <c r="C548" s="109"/>
      <c r="D548" s="110" t="s">
        <v>44</v>
      </c>
      <c r="E548" s="110" t="s">
        <v>2261</v>
      </c>
      <c r="F548" s="109">
        <v>2.0</v>
      </c>
      <c r="G548" s="111">
        <v>1356.53</v>
      </c>
      <c r="H548" s="110" t="s">
        <v>2036</v>
      </c>
      <c r="I548" s="40"/>
      <c r="J548" s="109"/>
      <c r="K548" s="109"/>
      <c r="L548" s="110"/>
      <c r="M548" s="40"/>
      <c r="N548" s="110"/>
      <c r="O548" s="109"/>
      <c r="P548" s="9"/>
      <c r="Q548" s="9"/>
      <c r="R548" s="40"/>
      <c r="S548" s="40"/>
      <c r="T548" s="113"/>
      <c r="U548" s="114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 ht="35.25" customHeight="1">
      <c r="A549" s="40">
        <v>45163.0</v>
      </c>
      <c r="B549" s="109">
        <v>2951.0</v>
      </c>
      <c r="C549" s="109"/>
      <c r="D549" s="110" t="s">
        <v>44</v>
      </c>
      <c r="E549" s="110" t="s">
        <v>2408</v>
      </c>
      <c r="F549" s="109">
        <v>4.0</v>
      </c>
      <c r="G549" s="111">
        <v>7559.52</v>
      </c>
      <c r="H549" s="110" t="s">
        <v>2036</v>
      </c>
      <c r="I549" s="40"/>
      <c r="J549" s="109"/>
      <c r="K549" s="109"/>
      <c r="L549" s="110"/>
      <c r="M549" s="40"/>
      <c r="N549" s="110"/>
      <c r="O549" s="109"/>
      <c r="P549" s="9"/>
      <c r="Q549" s="9"/>
      <c r="R549" s="40"/>
      <c r="S549" s="40"/>
      <c r="T549" s="113"/>
      <c r="U549" s="114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ht="35.25" customHeight="1">
      <c r="A550" s="40">
        <v>45163.0</v>
      </c>
      <c r="B550" s="109">
        <v>2952.0</v>
      </c>
      <c r="C550" s="109"/>
      <c r="D550" s="110" t="s">
        <v>2493</v>
      </c>
      <c r="E550" s="110" t="s">
        <v>2105</v>
      </c>
      <c r="F550" s="109">
        <v>15.0</v>
      </c>
      <c r="G550" s="111">
        <v>17508.6</v>
      </c>
      <c r="H550" s="110" t="s">
        <v>2036</v>
      </c>
      <c r="I550" s="40"/>
      <c r="J550" s="109"/>
      <c r="K550" s="109"/>
      <c r="L550" s="110"/>
      <c r="M550" s="40"/>
      <c r="N550" s="110"/>
      <c r="O550" s="109"/>
      <c r="P550" s="9"/>
      <c r="Q550" s="9"/>
      <c r="R550" s="40"/>
      <c r="S550" s="40"/>
      <c r="T550" s="113"/>
      <c r="U550" s="114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 ht="35.25" customHeight="1">
      <c r="A551" s="40">
        <v>45163.0</v>
      </c>
      <c r="B551" s="109">
        <v>2952.0</v>
      </c>
      <c r="C551" s="109"/>
      <c r="D551" s="110" t="s">
        <v>2493</v>
      </c>
      <c r="E551" s="110" t="s">
        <v>2494</v>
      </c>
      <c r="F551" s="109">
        <v>60.0</v>
      </c>
      <c r="G551" s="111">
        <v>197.83</v>
      </c>
      <c r="H551" s="110" t="s">
        <v>2036</v>
      </c>
      <c r="I551" s="40"/>
      <c r="J551" s="109"/>
      <c r="K551" s="109"/>
      <c r="L551" s="110"/>
      <c r="M551" s="40"/>
      <c r="N551" s="110"/>
      <c r="O551" s="109"/>
      <c r="P551" s="9"/>
      <c r="Q551" s="9"/>
      <c r="R551" s="40"/>
      <c r="S551" s="40"/>
      <c r="T551" s="113"/>
      <c r="U551" s="114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ht="35.25" customHeight="1">
      <c r="A552" s="40">
        <v>45163.0</v>
      </c>
      <c r="B552" s="109">
        <v>2952.0</v>
      </c>
      <c r="C552" s="109"/>
      <c r="D552" s="110" t="s">
        <v>2493</v>
      </c>
      <c r="E552" s="110" t="s">
        <v>2495</v>
      </c>
      <c r="F552" s="109">
        <v>30.0</v>
      </c>
      <c r="G552" s="111">
        <v>560.34</v>
      </c>
      <c r="H552" s="110" t="s">
        <v>2036</v>
      </c>
      <c r="I552" s="40"/>
      <c r="J552" s="109"/>
      <c r="K552" s="109"/>
      <c r="L552" s="110"/>
      <c r="M552" s="40"/>
      <c r="N552" s="110"/>
      <c r="O552" s="109"/>
      <c r="P552" s="9"/>
      <c r="Q552" s="9"/>
      <c r="R552" s="40"/>
      <c r="S552" s="40"/>
      <c r="T552" s="113"/>
      <c r="U552" s="114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 ht="35.25" customHeight="1">
      <c r="A553" s="40">
        <v>45163.0</v>
      </c>
      <c r="B553" s="109">
        <v>2952.0</v>
      </c>
      <c r="C553" s="109"/>
      <c r="D553" s="110" t="s">
        <v>2493</v>
      </c>
      <c r="E553" s="110" t="s">
        <v>2286</v>
      </c>
      <c r="F553" s="109">
        <v>15.0</v>
      </c>
      <c r="G553" s="111">
        <v>675.9</v>
      </c>
      <c r="H553" s="110" t="s">
        <v>2036</v>
      </c>
      <c r="I553" s="40"/>
      <c r="J553" s="109"/>
      <c r="K553" s="109"/>
      <c r="L553" s="110"/>
      <c r="M553" s="40"/>
      <c r="N553" s="110"/>
      <c r="O553" s="109"/>
      <c r="P553" s="9"/>
      <c r="Q553" s="9"/>
      <c r="R553" s="40"/>
      <c r="S553" s="40"/>
      <c r="T553" s="113"/>
      <c r="U553" s="114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ht="35.25" customHeight="1">
      <c r="A554" s="40">
        <v>45166.0</v>
      </c>
      <c r="B554" s="109">
        <v>2953.0</v>
      </c>
      <c r="C554" s="109"/>
      <c r="D554" s="110" t="s">
        <v>44</v>
      </c>
      <c r="E554" s="110" t="s">
        <v>2162</v>
      </c>
      <c r="F554" s="109">
        <v>9.0</v>
      </c>
      <c r="G554" s="111">
        <v>636.57</v>
      </c>
      <c r="H554" s="110" t="s">
        <v>2036</v>
      </c>
      <c r="I554" s="40"/>
      <c r="J554" s="109"/>
      <c r="K554" s="109"/>
      <c r="L554" s="110"/>
      <c r="M554" s="40"/>
      <c r="N554" s="110"/>
      <c r="O554" s="109"/>
      <c r="P554" s="9"/>
      <c r="Q554" s="9"/>
      <c r="R554" s="40"/>
      <c r="S554" s="40"/>
      <c r="T554" s="113"/>
      <c r="U554" s="114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 ht="35.25" customHeight="1">
      <c r="A555" s="40">
        <v>45166.0</v>
      </c>
      <c r="B555" s="109">
        <v>2954.0</v>
      </c>
      <c r="C555" s="109"/>
      <c r="D555" s="110" t="s">
        <v>1538</v>
      </c>
      <c r="E555" s="110" t="s">
        <v>2496</v>
      </c>
      <c r="F555" s="109">
        <v>1.0</v>
      </c>
      <c r="G555" s="111">
        <v>13929.95</v>
      </c>
      <c r="H555" s="110" t="s">
        <v>2036</v>
      </c>
      <c r="I555" s="40"/>
      <c r="J555" s="109"/>
      <c r="K555" s="109"/>
      <c r="L555" s="110"/>
      <c r="M555" s="40"/>
      <c r="N555" s="110"/>
      <c r="O555" s="109"/>
      <c r="P555" s="9"/>
      <c r="Q555" s="9"/>
      <c r="R555" s="40"/>
      <c r="S555" s="40"/>
      <c r="T555" s="113"/>
      <c r="U555" s="114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ht="35.25" customHeight="1">
      <c r="A556" s="40">
        <v>45166.0</v>
      </c>
      <c r="B556" s="109">
        <v>2955.0</v>
      </c>
      <c r="C556" s="109"/>
      <c r="D556" s="110" t="s">
        <v>77</v>
      </c>
      <c r="E556" s="110" t="s">
        <v>2261</v>
      </c>
      <c r="F556" s="109">
        <v>1.0</v>
      </c>
      <c r="G556" s="111">
        <v>678.27</v>
      </c>
      <c r="H556" s="110" t="s">
        <v>2036</v>
      </c>
      <c r="I556" s="40"/>
      <c r="J556" s="109"/>
      <c r="K556" s="109"/>
      <c r="L556" s="110"/>
      <c r="M556" s="40"/>
      <c r="N556" s="110"/>
      <c r="O556" s="109"/>
      <c r="P556" s="9"/>
      <c r="Q556" s="9"/>
      <c r="R556" s="40"/>
      <c r="S556" s="40"/>
      <c r="T556" s="113"/>
      <c r="U556" s="114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 ht="35.25" customHeight="1">
      <c r="A557" s="40">
        <v>45166.0</v>
      </c>
      <c r="B557" s="109">
        <v>2956.0</v>
      </c>
      <c r="C557" s="109"/>
      <c r="D557" s="110" t="s">
        <v>77</v>
      </c>
      <c r="E557" s="110" t="s">
        <v>2360</v>
      </c>
      <c r="F557" s="109">
        <v>1.0</v>
      </c>
      <c r="G557" s="111">
        <v>5757.4</v>
      </c>
      <c r="H557" s="110" t="s">
        <v>2036</v>
      </c>
      <c r="I557" s="40"/>
      <c r="J557" s="109"/>
      <c r="K557" s="109"/>
      <c r="L557" s="110"/>
      <c r="M557" s="40"/>
      <c r="N557" s="110"/>
      <c r="O557" s="109"/>
      <c r="P557" s="9"/>
      <c r="Q557" s="9"/>
      <c r="R557" s="40"/>
      <c r="S557" s="40"/>
      <c r="T557" s="113"/>
      <c r="U557" s="114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ht="35.25" customHeight="1">
      <c r="A558" s="40">
        <v>45166.0</v>
      </c>
      <c r="B558" s="109">
        <v>2956.0</v>
      </c>
      <c r="C558" s="109"/>
      <c r="D558" s="110" t="s">
        <v>77</v>
      </c>
      <c r="E558" s="110" t="s">
        <v>2162</v>
      </c>
      <c r="F558" s="109">
        <v>1.0</v>
      </c>
      <c r="G558" s="111">
        <v>70.73</v>
      </c>
      <c r="H558" s="110" t="s">
        <v>2036</v>
      </c>
      <c r="I558" s="40"/>
      <c r="J558" s="109"/>
      <c r="K558" s="109"/>
      <c r="L558" s="110"/>
      <c r="M558" s="40"/>
      <c r="N558" s="110"/>
      <c r="O558" s="109"/>
      <c r="P558" s="9"/>
      <c r="Q558" s="9"/>
      <c r="R558" s="40"/>
      <c r="S558" s="40"/>
      <c r="T558" s="113"/>
      <c r="U558" s="114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 ht="35.25" customHeight="1">
      <c r="A559" s="40">
        <v>45166.0</v>
      </c>
      <c r="B559" s="109">
        <v>2958.0</v>
      </c>
      <c r="C559" s="109"/>
      <c r="D559" s="110" t="s">
        <v>188</v>
      </c>
      <c r="E559" s="110" t="s">
        <v>2497</v>
      </c>
      <c r="F559" s="109">
        <v>1.0</v>
      </c>
      <c r="G559" s="111">
        <v>966.56</v>
      </c>
      <c r="H559" s="110" t="s">
        <v>2036</v>
      </c>
      <c r="I559" s="40"/>
      <c r="J559" s="109"/>
      <c r="K559" s="109"/>
      <c r="L559" s="110"/>
      <c r="M559" s="40"/>
      <c r="N559" s="110"/>
      <c r="O559" s="109"/>
      <c r="P559" s="9"/>
      <c r="Q559" s="9"/>
      <c r="R559" s="40"/>
      <c r="S559" s="40"/>
      <c r="T559" s="113"/>
      <c r="U559" s="114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ht="35.25" customHeight="1">
      <c r="A560" s="40">
        <v>45167.0</v>
      </c>
      <c r="B560" s="109">
        <v>2959.0</v>
      </c>
      <c r="C560" s="109"/>
      <c r="D560" s="110" t="s">
        <v>44</v>
      </c>
      <c r="E560" s="110" t="s">
        <v>67</v>
      </c>
      <c r="F560" s="109" t="s">
        <v>165</v>
      </c>
      <c r="G560" s="111">
        <v>188202.63</v>
      </c>
      <c r="H560" s="110" t="s">
        <v>2036</v>
      </c>
      <c r="I560" s="40"/>
      <c r="J560" s="109"/>
      <c r="K560" s="109"/>
      <c r="L560" s="110"/>
      <c r="M560" s="40"/>
      <c r="N560" s="110"/>
      <c r="O560" s="109"/>
      <c r="P560" s="9"/>
      <c r="Q560" s="9"/>
      <c r="R560" s="40"/>
      <c r="S560" s="40"/>
      <c r="T560" s="113"/>
      <c r="U560" s="114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 ht="35.25" customHeight="1">
      <c r="A561" s="40">
        <v>45168.0</v>
      </c>
      <c r="B561" s="109">
        <v>2960.0</v>
      </c>
      <c r="C561" s="109"/>
      <c r="D561" s="110" t="s">
        <v>44</v>
      </c>
      <c r="E561" s="110" t="s">
        <v>67</v>
      </c>
      <c r="F561" s="109" t="s">
        <v>165</v>
      </c>
      <c r="G561" s="111">
        <v>188202.63</v>
      </c>
      <c r="H561" s="110" t="s">
        <v>2036</v>
      </c>
      <c r="I561" s="40"/>
      <c r="J561" s="109"/>
      <c r="K561" s="109"/>
      <c r="L561" s="110"/>
      <c r="M561" s="40"/>
      <c r="N561" s="110"/>
      <c r="O561" s="109"/>
      <c r="P561" s="9"/>
      <c r="Q561" s="9"/>
      <c r="R561" s="40"/>
      <c r="S561" s="40"/>
      <c r="T561" s="113"/>
      <c r="U561" s="114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ht="35.25" customHeight="1">
      <c r="A562" s="40">
        <v>45168.0</v>
      </c>
      <c r="B562" s="109">
        <v>2961.0</v>
      </c>
      <c r="C562" s="109"/>
      <c r="D562" s="110" t="s">
        <v>44</v>
      </c>
      <c r="E562" s="110" t="s">
        <v>2050</v>
      </c>
      <c r="F562" s="109">
        <v>17.0</v>
      </c>
      <c r="G562" s="111">
        <v>14937.39</v>
      </c>
      <c r="H562" s="110" t="s">
        <v>2036</v>
      </c>
      <c r="I562" s="40"/>
      <c r="J562" s="109"/>
      <c r="K562" s="109"/>
      <c r="L562" s="110"/>
      <c r="M562" s="40"/>
      <c r="N562" s="110"/>
      <c r="O562" s="109"/>
      <c r="P562" s="9"/>
      <c r="Q562" s="9"/>
      <c r="R562" s="40"/>
      <c r="S562" s="40"/>
      <c r="T562" s="113"/>
      <c r="U562" s="114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 ht="35.25" customHeight="1">
      <c r="A563" s="40">
        <v>45168.0</v>
      </c>
      <c r="B563" s="109">
        <v>2961.0</v>
      </c>
      <c r="C563" s="109"/>
      <c r="D563" s="110" t="s">
        <v>44</v>
      </c>
      <c r="E563" s="110" t="s">
        <v>2085</v>
      </c>
      <c r="F563" s="109">
        <v>17.0</v>
      </c>
      <c r="G563" s="111">
        <v>23841.99</v>
      </c>
      <c r="H563" s="110" t="s">
        <v>2036</v>
      </c>
      <c r="I563" s="40"/>
      <c r="J563" s="109"/>
      <c r="K563" s="109"/>
      <c r="L563" s="110"/>
      <c r="M563" s="40"/>
      <c r="N563" s="110"/>
      <c r="O563" s="109"/>
      <c r="P563" s="9"/>
      <c r="Q563" s="9"/>
      <c r="R563" s="40"/>
      <c r="S563" s="40"/>
      <c r="T563" s="113"/>
      <c r="U563" s="114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ht="35.25" customHeight="1">
      <c r="A564" s="40">
        <v>45168.0</v>
      </c>
      <c r="B564" s="109">
        <v>2961.0</v>
      </c>
      <c r="C564" s="109"/>
      <c r="D564" s="110" t="s">
        <v>44</v>
      </c>
      <c r="E564" s="110" t="s">
        <v>1208</v>
      </c>
      <c r="F564" s="109">
        <v>2.0</v>
      </c>
      <c r="G564" s="111">
        <v>1788.18</v>
      </c>
      <c r="H564" s="110" t="s">
        <v>2036</v>
      </c>
      <c r="I564" s="40"/>
      <c r="J564" s="109"/>
      <c r="K564" s="109"/>
      <c r="L564" s="110"/>
      <c r="M564" s="40"/>
      <c r="N564" s="110"/>
      <c r="O564" s="109"/>
      <c r="P564" s="9"/>
      <c r="Q564" s="9"/>
      <c r="R564" s="40"/>
      <c r="S564" s="40"/>
      <c r="T564" s="113"/>
      <c r="U564" s="114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ht="35.25" customHeight="1">
      <c r="A565" s="40">
        <v>45168.0</v>
      </c>
      <c r="B565" s="109">
        <v>2962.0</v>
      </c>
      <c r="C565" s="109"/>
      <c r="D565" s="110" t="s">
        <v>154</v>
      </c>
      <c r="E565" s="110" t="s">
        <v>2050</v>
      </c>
      <c r="F565" s="109">
        <v>4.0</v>
      </c>
      <c r="G565" s="111">
        <v>3629.56</v>
      </c>
      <c r="H565" s="110" t="s">
        <v>2036</v>
      </c>
      <c r="I565" s="40"/>
      <c r="J565" s="109"/>
      <c r="K565" s="109"/>
      <c r="L565" s="110"/>
      <c r="M565" s="40"/>
      <c r="N565" s="110"/>
      <c r="O565" s="109"/>
      <c r="P565" s="9"/>
      <c r="Q565" s="9"/>
      <c r="R565" s="40"/>
      <c r="S565" s="40"/>
      <c r="T565" s="113"/>
      <c r="U565" s="114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ht="35.25" customHeight="1">
      <c r="A566" s="40">
        <v>45169.0</v>
      </c>
      <c r="B566" s="109">
        <v>2963.0</v>
      </c>
      <c r="C566" s="109"/>
      <c r="D566" s="110" t="s">
        <v>19</v>
      </c>
      <c r="E566" s="110" t="s">
        <v>2049</v>
      </c>
      <c r="F566" s="109">
        <v>2.0</v>
      </c>
      <c r="G566" s="111">
        <v>2679.11</v>
      </c>
      <c r="H566" s="110" t="s">
        <v>2036</v>
      </c>
      <c r="I566" s="40"/>
      <c r="J566" s="109"/>
      <c r="K566" s="109"/>
      <c r="L566" s="110"/>
      <c r="M566" s="40"/>
      <c r="N566" s="110"/>
      <c r="O566" s="109"/>
      <c r="P566" s="9"/>
      <c r="Q566" s="9"/>
      <c r="R566" s="40"/>
      <c r="S566" s="40"/>
      <c r="T566" s="113"/>
      <c r="U566" s="114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 ht="35.25" customHeight="1">
      <c r="A567" s="40">
        <v>45175.0</v>
      </c>
      <c r="B567" s="109">
        <v>2971.0</v>
      </c>
      <c r="C567" s="109"/>
      <c r="D567" s="110" t="s">
        <v>44</v>
      </c>
      <c r="E567" s="110" t="s">
        <v>2498</v>
      </c>
      <c r="F567" s="109">
        <v>1.0</v>
      </c>
      <c r="G567" s="111">
        <v>65887.36</v>
      </c>
      <c r="H567" s="110" t="s">
        <v>2036</v>
      </c>
      <c r="I567" s="40"/>
      <c r="J567" s="109"/>
      <c r="K567" s="109"/>
      <c r="L567" s="110"/>
      <c r="M567" s="40"/>
      <c r="N567" s="110"/>
      <c r="O567" s="109"/>
      <c r="P567" s="9"/>
      <c r="Q567" s="9"/>
      <c r="R567" s="40"/>
      <c r="S567" s="40"/>
      <c r="T567" s="113"/>
      <c r="U567" s="114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ht="35.25" customHeight="1">
      <c r="A568" s="40">
        <v>45175.0</v>
      </c>
      <c r="B568" s="109">
        <v>2972.0</v>
      </c>
      <c r="C568" s="109"/>
      <c r="D568" s="110" t="s">
        <v>19</v>
      </c>
      <c r="E568" s="110" t="s">
        <v>2370</v>
      </c>
      <c r="F568" s="109">
        <v>150.0</v>
      </c>
      <c r="G568" s="111">
        <v>2280.0</v>
      </c>
      <c r="H568" s="110" t="s">
        <v>2036</v>
      </c>
      <c r="I568" s="40"/>
      <c r="J568" s="109"/>
      <c r="K568" s="109"/>
      <c r="L568" s="110"/>
      <c r="M568" s="40"/>
      <c r="N568" s="110"/>
      <c r="O568" s="109"/>
      <c r="P568" s="9"/>
      <c r="Q568" s="9"/>
      <c r="R568" s="40"/>
      <c r="S568" s="40"/>
      <c r="T568" s="113"/>
      <c r="U568" s="114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 ht="35.25" customHeight="1">
      <c r="A569" s="40">
        <v>45175.0</v>
      </c>
      <c r="B569" s="109">
        <v>2972.0</v>
      </c>
      <c r="C569" s="109"/>
      <c r="D569" s="110" t="s">
        <v>19</v>
      </c>
      <c r="E569" s="110" t="s">
        <v>2369</v>
      </c>
      <c r="F569" s="109">
        <v>180.0</v>
      </c>
      <c r="G569" s="111">
        <v>1252.8</v>
      </c>
      <c r="H569" s="110" t="s">
        <v>2036</v>
      </c>
      <c r="I569" s="40"/>
      <c r="J569" s="109"/>
      <c r="K569" s="109"/>
      <c r="L569" s="110"/>
      <c r="M569" s="40"/>
      <c r="N569" s="110"/>
      <c r="O569" s="109"/>
      <c r="P569" s="9"/>
      <c r="Q569" s="9"/>
      <c r="R569" s="40"/>
      <c r="S569" s="40"/>
      <c r="T569" s="113"/>
      <c r="U569" s="114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ht="35.25" customHeight="1">
      <c r="A570" s="40">
        <v>45175.0</v>
      </c>
      <c r="B570" s="109">
        <v>2972.0</v>
      </c>
      <c r="C570" s="109"/>
      <c r="D570" s="110" t="s">
        <v>19</v>
      </c>
      <c r="E570" s="110" t="s">
        <v>2107</v>
      </c>
      <c r="F570" s="109">
        <v>140.0</v>
      </c>
      <c r="G570" s="111">
        <v>448.0</v>
      </c>
      <c r="H570" s="110" t="s">
        <v>2036</v>
      </c>
      <c r="I570" s="40"/>
      <c r="J570" s="109"/>
      <c r="K570" s="109"/>
      <c r="L570" s="110"/>
      <c r="M570" s="40"/>
      <c r="N570" s="110"/>
      <c r="O570" s="109"/>
      <c r="P570" s="9"/>
      <c r="Q570" s="9"/>
      <c r="R570" s="40"/>
      <c r="S570" s="40"/>
      <c r="T570" s="113"/>
      <c r="U570" s="114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 ht="35.25" customHeight="1">
      <c r="A571" s="40">
        <v>45175.0</v>
      </c>
      <c r="B571" s="109">
        <v>2973.0</v>
      </c>
      <c r="C571" s="109"/>
      <c r="D571" s="110" t="s">
        <v>44</v>
      </c>
      <c r="E571" s="110" t="s">
        <v>2265</v>
      </c>
      <c r="F571" s="109">
        <v>1.0</v>
      </c>
      <c r="G571" s="111">
        <v>33.11</v>
      </c>
      <c r="H571" s="110" t="s">
        <v>2036</v>
      </c>
      <c r="I571" s="40"/>
      <c r="J571" s="109"/>
      <c r="K571" s="109"/>
      <c r="L571" s="110"/>
      <c r="M571" s="40"/>
      <c r="N571" s="110"/>
      <c r="O571" s="109"/>
      <c r="P571" s="9"/>
      <c r="Q571" s="9"/>
      <c r="R571" s="40"/>
      <c r="S571" s="40"/>
      <c r="T571" s="113"/>
      <c r="U571" s="114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ht="35.25" customHeight="1">
      <c r="A572" s="40">
        <v>45180.0</v>
      </c>
      <c r="B572" s="109">
        <v>2977.0</v>
      </c>
      <c r="C572" s="109"/>
      <c r="D572" s="110" t="s">
        <v>2499</v>
      </c>
      <c r="E572" s="110" t="s">
        <v>2500</v>
      </c>
      <c r="F572" s="109">
        <v>1.0</v>
      </c>
      <c r="G572" s="111">
        <v>17348.18</v>
      </c>
      <c r="H572" s="110" t="s">
        <v>2036</v>
      </c>
      <c r="I572" s="40"/>
      <c r="J572" s="109"/>
      <c r="K572" s="109"/>
      <c r="L572" s="110"/>
      <c r="M572" s="40"/>
      <c r="N572" s="110"/>
      <c r="O572" s="109"/>
      <c r="P572" s="9"/>
      <c r="Q572" s="9"/>
      <c r="R572" s="40"/>
      <c r="S572" s="40"/>
      <c r="T572" s="113"/>
      <c r="U572" s="114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 ht="35.25" customHeight="1">
      <c r="A573" s="40">
        <v>45181.0</v>
      </c>
      <c r="B573" s="109">
        <v>2978.0</v>
      </c>
      <c r="C573" s="109"/>
      <c r="D573" s="110" t="s">
        <v>1538</v>
      </c>
      <c r="E573" s="110" t="s">
        <v>2501</v>
      </c>
      <c r="F573" s="109">
        <v>1.0</v>
      </c>
      <c r="G573" s="111">
        <v>52969.57</v>
      </c>
      <c r="H573" s="110" t="s">
        <v>2036</v>
      </c>
      <c r="I573" s="40"/>
      <c r="J573" s="109"/>
      <c r="K573" s="109"/>
      <c r="L573" s="110"/>
      <c r="M573" s="40"/>
      <c r="N573" s="110"/>
      <c r="O573" s="109"/>
      <c r="P573" s="9"/>
      <c r="Q573" s="9"/>
      <c r="R573" s="40"/>
      <c r="S573" s="40"/>
      <c r="T573" s="113"/>
      <c r="U573" s="114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ht="35.25" customHeight="1">
      <c r="A574" s="40">
        <v>45181.0</v>
      </c>
      <c r="B574" s="109">
        <v>2979.0</v>
      </c>
      <c r="C574" s="109"/>
      <c r="D574" s="110" t="s">
        <v>44</v>
      </c>
      <c r="E574" s="110" t="s">
        <v>2049</v>
      </c>
      <c r="F574" s="109">
        <v>1.0</v>
      </c>
      <c r="G574" s="111">
        <v>5186.74</v>
      </c>
      <c r="H574" s="110" t="s">
        <v>2036</v>
      </c>
      <c r="I574" s="40"/>
      <c r="J574" s="109"/>
      <c r="K574" s="109"/>
      <c r="L574" s="110"/>
      <c r="M574" s="40"/>
      <c r="N574" s="110"/>
      <c r="O574" s="109"/>
      <c r="P574" s="9"/>
      <c r="Q574" s="9"/>
      <c r="R574" s="40"/>
      <c r="S574" s="40"/>
      <c r="T574" s="113"/>
      <c r="U574" s="114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 ht="35.25" customHeight="1">
      <c r="A575" s="40">
        <v>45181.0</v>
      </c>
      <c r="B575" s="109">
        <v>2980.0</v>
      </c>
      <c r="C575" s="109"/>
      <c r="D575" s="110" t="s">
        <v>2054</v>
      </c>
      <c r="E575" s="110" t="s">
        <v>2502</v>
      </c>
      <c r="F575" s="109">
        <v>1.0</v>
      </c>
      <c r="G575" s="111">
        <v>18006.14</v>
      </c>
      <c r="H575" s="110" t="s">
        <v>2036</v>
      </c>
      <c r="I575" s="40"/>
      <c r="J575" s="109"/>
      <c r="K575" s="109"/>
      <c r="L575" s="110"/>
      <c r="M575" s="40"/>
      <c r="N575" s="110"/>
      <c r="O575" s="109"/>
      <c r="P575" s="9"/>
      <c r="Q575" s="9"/>
      <c r="R575" s="40"/>
      <c r="S575" s="40"/>
      <c r="T575" s="113"/>
      <c r="U575" s="114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ht="35.25" customHeight="1">
      <c r="A576" s="40">
        <v>45181.0</v>
      </c>
      <c r="B576" s="109">
        <v>2981.0</v>
      </c>
      <c r="C576" s="109"/>
      <c r="D576" s="110" t="s">
        <v>44</v>
      </c>
      <c r="E576" s="110" t="s">
        <v>2503</v>
      </c>
      <c r="F576" s="109">
        <v>1.0</v>
      </c>
      <c r="G576" s="111">
        <v>215.06</v>
      </c>
      <c r="H576" s="110" t="s">
        <v>2036</v>
      </c>
      <c r="I576" s="40"/>
      <c r="J576" s="109"/>
      <c r="K576" s="109"/>
      <c r="L576" s="110"/>
      <c r="M576" s="40"/>
      <c r="N576" s="110"/>
      <c r="O576" s="109"/>
      <c r="P576" s="9"/>
      <c r="Q576" s="9"/>
      <c r="R576" s="40"/>
      <c r="S576" s="40"/>
      <c r="T576" s="113"/>
      <c r="U576" s="114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 ht="35.25" customHeight="1">
      <c r="A577" s="40">
        <v>45181.0</v>
      </c>
      <c r="B577" s="109">
        <v>2982.0</v>
      </c>
      <c r="C577" s="109"/>
      <c r="D577" s="110" t="s">
        <v>44</v>
      </c>
      <c r="E577" s="110" t="s">
        <v>2504</v>
      </c>
      <c r="F577" s="109">
        <v>1.0</v>
      </c>
      <c r="G577" s="111">
        <v>5625.44</v>
      </c>
      <c r="H577" s="110" t="s">
        <v>2036</v>
      </c>
      <c r="I577" s="40"/>
      <c r="J577" s="109"/>
      <c r="K577" s="109"/>
      <c r="L577" s="110"/>
      <c r="M577" s="40"/>
      <c r="N577" s="110"/>
      <c r="O577" s="109"/>
      <c r="P577" s="9"/>
      <c r="Q577" s="9"/>
      <c r="R577" s="40"/>
      <c r="S577" s="40"/>
      <c r="T577" s="113"/>
      <c r="U577" s="114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ht="35.25" customHeight="1">
      <c r="A578" s="40">
        <v>45181.0</v>
      </c>
      <c r="B578" s="109">
        <v>2982.0</v>
      </c>
      <c r="C578" s="109"/>
      <c r="D578" s="110" t="s">
        <v>44</v>
      </c>
      <c r="E578" s="110" t="s">
        <v>2505</v>
      </c>
      <c r="F578" s="109">
        <v>1.0</v>
      </c>
      <c r="G578" s="111">
        <v>6710.09</v>
      </c>
      <c r="H578" s="110" t="s">
        <v>2036</v>
      </c>
      <c r="I578" s="40"/>
      <c r="J578" s="109"/>
      <c r="K578" s="109"/>
      <c r="L578" s="110"/>
      <c r="M578" s="40"/>
      <c r="N578" s="110"/>
      <c r="O578" s="109"/>
      <c r="P578" s="9"/>
      <c r="Q578" s="9"/>
      <c r="R578" s="40"/>
      <c r="S578" s="40"/>
      <c r="T578" s="113"/>
      <c r="U578" s="114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 ht="35.25" customHeight="1">
      <c r="A579" s="40">
        <v>45181.0</v>
      </c>
      <c r="B579" s="109">
        <v>2982.0</v>
      </c>
      <c r="C579" s="109"/>
      <c r="D579" s="110" t="s">
        <v>44</v>
      </c>
      <c r="E579" s="110" t="s">
        <v>2506</v>
      </c>
      <c r="F579" s="109">
        <v>1.0</v>
      </c>
      <c r="G579" s="111">
        <v>1526.42</v>
      </c>
      <c r="H579" s="110" t="s">
        <v>2036</v>
      </c>
      <c r="I579" s="40"/>
      <c r="J579" s="109"/>
      <c r="K579" s="109"/>
      <c r="L579" s="110"/>
      <c r="M579" s="40"/>
      <c r="N579" s="110"/>
      <c r="O579" s="109"/>
      <c r="P579" s="9"/>
      <c r="Q579" s="9"/>
      <c r="R579" s="40"/>
      <c r="S579" s="40"/>
      <c r="T579" s="113"/>
      <c r="U579" s="114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ht="35.25" customHeight="1">
      <c r="A580" s="40">
        <v>45181.0</v>
      </c>
      <c r="B580" s="109">
        <v>2983.0</v>
      </c>
      <c r="C580" s="109"/>
      <c r="D580" s="110" t="s">
        <v>44</v>
      </c>
      <c r="E580" s="110" t="s">
        <v>2507</v>
      </c>
      <c r="F580" s="109">
        <v>1.0</v>
      </c>
      <c r="G580" s="111">
        <v>5637.88</v>
      </c>
      <c r="H580" s="110" t="s">
        <v>2036</v>
      </c>
      <c r="I580" s="40"/>
      <c r="J580" s="109"/>
      <c r="K580" s="109"/>
      <c r="L580" s="110"/>
      <c r="M580" s="40"/>
      <c r="N580" s="110"/>
      <c r="O580" s="109"/>
      <c r="P580" s="9"/>
      <c r="Q580" s="9"/>
      <c r="R580" s="40"/>
      <c r="S580" s="40"/>
      <c r="T580" s="113"/>
      <c r="U580" s="114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 ht="35.25" customHeight="1">
      <c r="A581" s="40">
        <v>45181.0</v>
      </c>
      <c r="B581" s="109">
        <v>2984.0</v>
      </c>
      <c r="C581" s="109"/>
      <c r="D581" s="110" t="s">
        <v>44</v>
      </c>
      <c r="E581" s="110" t="s">
        <v>2508</v>
      </c>
      <c r="F581" s="109">
        <v>1.0</v>
      </c>
      <c r="G581" s="111">
        <v>444.2</v>
      </c>
      <c r="H581" s="110" t="s">
        <v>2036</v>
      </c>
      <c r="I581" s="40"/>
      <c r="J581" s="109"/>
      <c r="K581" s="109"/>
      <c r="L581" s="110"/>
      <c r="M581" s="40"/>
      <c r="N581" s="110"/>
      <c r="O581" s="109"/>
      <c r="P581" s="9"/>
      <c r="Q581" s="9"/>
      <c r="R581" s="40"/>
      <c r="S581" s="40"/>
      <c r="T581" s="113"/>
      <c r="U581" s="114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ht="35.25" customHeight="1">
      <c r="A582" s="40">
        <v>45181.0</v>
      </c>
      <c r="B582" s="109">
        <v>2984.0</v>
      </c>
      <c r="C582" s="109"/>
      <c r="D582" s="110" t="s">
        <v>44</v>
      </c>
      <c r="E582" s="110" t="s">
        <v>2509</v>
      </c>
      <c r="F582" s="109">
        <v>1.0</v>
      </c>
      <c r="G582" s="111">
        <v>565.47</v>
      </c>
      <c r="H582" s="110" t="s">
        <v>2036</v>
      </c>
      <c r="I582" s="40"/>
      <c r="J582" s="109"/>
      <c r="K582" s="109"/>
      <c r="L582" s="110"/>
      <c r="M582" s="40"/>
      <c r="N582" s="110"/>
      <c r="O582" s="109"/>
      <c r="P582" s="9"/>
      <c r="Q582" s="9"/>
      <c r="R582" s="40"/>
      <c r="S582" s="40"/>
      <c r="T582" s="113"/>
      <c r="U582" s="114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 ht="35.25" customHeight="1">
      <c r="A583" s="40">
        <v>45181.0</v>
      </c>
      <c r="B583" s="109">
        <v>2985.0</v>
      </c>
      <c r="C583" s="109"/>
      <c r="D583" s="110" t="s">
        <v>44</v>
      </c>
      <c r="E583" s="110" t="s">
        <v>2508</v>
      </c>
      <c r="F583" s="109">
        <v>1.0</v>
      </c>
      <c r="G583" s="111">
        <v>444.2</v>
      </c>
      <c r="H583" s="110" t="s">
        <v>2036</v>
      </c>
      <c r="I583" s="40"/>
      <c r="J583" s="109"/>
      <c r="K583" s="109"/>
      <c r="L583" s="110"/>
      <c r="M583" s="40"/>
      <c r="N583" s="110"/>
      <c r="O583" s="109"/>
      <c r="P583" s="9"/>
      <c r="Q583" s="9"/>
      <c r="R583" s="40"/>
      <c r="S583" s="40"/>
      <c r="T583" s="113"/>
      <c r="U583" s="114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ht="35.25" customHeight="1">
      <c r="A584" s="40">
        <v>45181.0</v>
      </c>
      <c r="B584" s="109">
        <v>2985.0</v>
      </c>
      <c r="C584" s="109"/>
      <c r="D584" s="110" t="s">
        <v>44</v>
      </c>
      <c r="E584" s="110" t="s">
        <v>2508</v>
      </c>
      <c r="F584" s="109">
        <v>1.0</v>
      </c>
      <c r="G584" s="111">
        <v>565.47</v>
      </c>
      <c r="H584" s="110" t="s">
        <v>2036</v>
      </c>
      <c r="I584" s="40"/>
      <c r="J584" s="109"/>
      <c r="K584" s="109"/>
      <c r="L584" s="110"/>
      <c r="M584" s="40"/>
      <c r="N584" s="110"/>
      <c r="O584" s="109"/>
      <c r="P584" s="9"/>
      <c r="Q584" s="9"/>
      <c r="R584" s="40"/>
      <c r="S584" s="40"/>
      <c r="T584" s="113"/>
      <c r="U584" s="114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 ht="35.25" customHeight="1">
      <c r="A585" s="40">
        <v>45181.0</v>
      </c>
      <c r="B585" s="109">
        <v>2986.0</v>
      </c>
      <c r="C585" s="109"/>
      <c r="D585" s="110" t="s">
        <v>44</v>
      </c>
      <c r="E585" s="110" t="s">
        <v>2510</v>
      </c>
      <c r="F585" s="109">
        <v>1.0</v>
      </c>
      <c r="G585" s="111">
        <v>662.3</v>
      </c>
      <c r="H585" s="110" t="s">
        <v>2036</v>
      </c>
      <c r="I585" s="40"/>
      <c r="J585" s="109"/>
      <c r="K585" s="109"/>
      <c r="L585" s="110"/>
      <c r="M585" s="40"/>
      <c r="N585" s="110"/>
      <c r="O585" s="109"/>
      <c r="P585" s="9"/>
      <c r="Q585" s="9"/>
      <c r="R585" s="40"/>
      <c r="S585" s="40"/>
      <c r="T585" s="113"/>
      <c r="U585" s="114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ht="35.25" customHeight="1">
      <c r="A586" s="40">
        <v>45181.0</v>
      </c>
      <c r="B586" s="109">
        <v>2986.0</v>
      </c>
      <c r="C586" s="109"/>
      <c r="D586" s="110" t="s">
        <v>44</v>
      </c>
      <c r="E586" s="110" t="s">
        <v>2511</v>
      </c>
      <c r="F586" s="109">
        <v>1.0</v>
      </c>
      <c r="G586" s="111">
        <v>131.22</v>
      </c>
      <c r="H586" s="110" t="s">
        <v>2036</v>
      </c>
      <c r="I586" s="40"/>
      <c r="J586" s="109"/>
      <c r="K586" s="109"/>
      <c r="L586" s="110"/>
      <c r="M586" s="40"/>
      <c r="N586" s="110"/>
      <c r="O586" s="109"/>
      <c r="P586" s="9"/>
      <c r="Q586" s="9"/>
      <c r="R586" s="40"/>
      <c r="S586" s="40"/>
      <c r="T586" s="113"/>
      <c r="U586" s="114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 ht="35.25" customHeight="1">
      <c r="A587" s="40">
        <v>45181.0</v>
      </c>
      <c r="B587" s="109">
        <v>2986.0</v>
      </c>
      <c r="C587" s="109"/>
      <c r="D587" s="110" t="s">
        <v>44</v>
      </c>
      <c r="E587" s="110" t="s">
        <v>2512</v>
      </c>
      <c r="F587" s="109">
        <v>1.0</v>
      </c>
      <c r="G587" s="111">
        <v>1695.44</v>
      </c>
      <c r="H587" s="110" t="s">
        <v>2036</v>
      </c>
      <c r="I587" s="40"/>
      <c r="J587" s="109"/>
      <c r="K587" s="109"/>
      <c r="L587" s="110"/>
      <c r="M587" s="40"/>
      <c r="N587" s="110"/>
      <c r="O587" s="109"/>
      <c r="P587" s="9"/>
      <c r="Q587" s="9"/>
      <c r="R587" s="40"/>
      <c r="S587" s="40"/>
      <c r="T587" s="113"/>
      <c r="U587" s="114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ht="35.25" customHeight="1">
      <c r="A588" s="40">
        <v>45181.0</v>
      </c>
      <c r="B588" s="109">
        <v>2986.0</v>
      </c>
      <c r="C588" s="109"/>
      <c r="D588" s="110" t="s">
        <v>44</v>
      </c>
      <c r="E588" s="110" t="s">
        <v>2513</v>
      </c>
      <c r="F588" s="109">
        <v>1.0</v>
      </c>
      <c r="G588" s="111">
        <v>484.79</v>
      </c>
      <c r="H588" s="110" t="s">
        <v>2036</v>
      </c>
      <c r="I588" s="40"/>
      <c r="J588" s="109"/>
      <c r="K588" s="109"/>
      <c r="L588" s="110"/>
      <c r="M588" s="40"/>
      <c r="N588" s="110"/>
      <c r="O588" s="109"/>
      <c r="P588" s="9"/>
      <c r="Q588" s="9"/>
      <c r="R588" s="40"/>
      <c r="S588" s="40"/>
      <c r="T588" s="113"/>
      <c r="U588" s="114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 ht="35.25" customHeight="1">
      <c r="A589" s="40" t="s">
        <v>2514</v>
      </c>
      <c r="B589" s="109">
        <v>2987.0</v>
      </c>
      <c r="C589" s="109"/>
      <c r="D589" s="110" t="s">
        <v>44</v>
      </c>
      <c r="E589" s="110" t="s">
        <v>2515</v>
      </c>
      <c r="F589" s="109">
        <v>1.0</v>
      </c>
      <c r="G589" s="111">
        <v>1463.59</v>
      </c>
      <c r="H589" s="112" t="s">
        <v>180</v>
      </c>
      <c r="I589" s="40">
        <v>45189.0</v>
      </c>
      <c r="J589" s="109">
        <v>2243.0</v>
      </c>
      <c r="K589" s="109">
        <v>4.501803124E9</v>
      </c>
      <c r="L589" s="110" t="s">
        <v>2469</v>
      </c>
      <c r="M589" s="40" t="s">
        <v>2516</v>
      </c>
      <c r="N589" s="110" t="s">
        <v>2517</v>
      </c>
      <c r="O589" s="109" t="s">
        <v>2518</v>
      </c>
      <c r="P589" s="9"/>
      <c r="Q589" s="9">
        <v>7.0</v>
      </c>
      <c r="R589" s="40" t="s">
        <v>2516</v>
      </c>
      <c r="S589" s="40" t="s">
        <v>2519</v>
      </c>
      <c r="T589" s="113" t="s">
        <v>2095</v>
      </c>
      <c r="U589" s="114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ht="35.25" customHeight="1">
      <c r="A590" s="40">
        <v>45182.0</v>
      </c>
      <c r="B590" s="109">
        <v>2989.0</v>
      </c>
      <c r="C590" s="109"/>
      <c r="D590" s="110" t="s">
        <v>44</v>
      </c>
      <c r="E590" s="110" t="s">
        <v>2520</v>
      </c>
      <c r="F590" s="109">
        <v>1.0</v>
      </c>
      <c r="G590" s="111">
        <v>1310.83</v>
      </c>
      <c r="H590" s="112" t="s">
        <v>2036</v>
      </c>
      <c r="I590" s="40"/>
      <c r="J590" s="109"/>
      <c r="K590" s="109"/>
      <c r="L590" s="110"/>
      <c r="M590" s="40"/>
      <c r="N590" s="110"/>
      <c r="O590" s="109"/>
      <c r="P590" s="9"/>
      <c r="Q590" s="9"/>
      <c r="R590" s="40"/>
      <c r="S590" s="40"/>
      <c r="T590" s="113"/>
      <c r="U590" s="114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 ht="35.25" customHeight="1">
      <c r="A591" s="40">
        <v>45182.0</v>
      </c>
      <c r="B591" s="109">
        <v>2990.0</v>
      </c>
      <c r="C591" s="109"/>
      <c r="D591" s="110" t="s">
        <v>44</v>
      </c>
      <c r="E591" s="110" t="s">
        <v>2042</v>
      </c>
      <c r="F591" s="109">
        <v>1.0</v>
      </c>
      <c r="G591" s="111">
        <v>1206.89</v>
      </c>
      <c r="H591" s="112" t="s">
        <v>2036</v>
      </c>
      <c r="I591" s="40"/>
      <c r="J591" s="109"/>
      <c r="K591" s="109"/>
      <c r="L591" s="110"/>
      <c r="M591" s="40"/>
      <c r="N591" s="110"/>
      <c r="O591" s="109"/>
      <c r="P591" s="9"/>
      <c r="Q591" s="9"/>
      <c r="R591" s="40"/>
      <c r="S591" s="40"/>
      <c r="T591" s="113"/>
      <c r="U591" s="114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ht="35.25" customHeight="1">
      <c r="A592" s="40">
        <v>45182.0</v>
      </c>
      <c r="B592" s="109">
        <v>2990.0</v>
      </c>
      <c r="C592" s="109"/>
      <c r="D592" s="110" t="s">
        <v>44</v>
      </c>
      <c r="E592" s="110" t="s">
        <v>2521</v>
      </c>
      <c r="F592" s="109">
        <v>1.0</v>
      </c>
      <c r="G592" s="111">
        <v>5329.41</v>
      </c>
      <c r="H592" s="112" t="s">
        <v>2036</v>
      </c>
      <c r="I592" s="40"/>
      <c r="J592" s="109"/>
      <c r="K592" s="109"/>
      <c r="L592" s="110"/>
      <c r="M592" s="40"/>
      <c r="N592" s="110"/>
      <c r="O592" s="109"/>
      <c r="P592" s="9"/>
      <c r="Q592" s="9"/>
      <c r="R592" s="40"/>
      <c r="S592" s="40"/>
      <c r="T592" s="113"/>
      <c r="U592" s="114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 ht="35.25" customHeight="1">
      <c r="A593" s="40">
        <v>45182.0</v>
      </c>
      <c r="B593" s="109">
        <v>2991.0</v>
      </c>
      <c r="C593" s="109"/>
      <c r="D593" s="110" t="s">
        <v>44</v>
      </c>
      <c r="E593" s="110" t="s">
        <v>2522</v>
      </c>
      <c r="F593" s="109">
        <v>1.0</v>
      </c>
      <c r="G593" s="111">
        <v>292.7</v>
      </c>
      <c r="H593" s="112" t="s">
        <v>2036</v>
      </c>
      <c r="I593" s="40"/>
      <c r="J593" s="109"/>
      <c r="K593" s="109"/>
      <c r="L593" s="110"/>
      <c r="M593" s="40"/>
      <c r="N593" s="110"/>
      <c r="O593" s="109"/>
      <c r="P593" s="9"/>
      <c r="Q593" s="9"/>
      <c r="R593" s="40"/>
      <c r="S593" s="40"/>
      <c r="T593" s="113"/>
      <c r="U593" s="114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ht="35.25" customHeight="1">
      <c r="A594" s="40">
        <v>45182.0</v>
      </c>
      <c r="B594" s="109">
        <v>2993.0</v>
      </c>
      <c r="C594" s="109"/>
      <c r="D594" s="110" t="s">
        <v>19</v>
      </c>
      <c r="E594" s="110" t="s">
        <v>2395</v>
      </c>
      <c r="F594" s="109">
        <v>1.0</v>
      </c>
      <c r="G594" s="111">
        <v>86162.66</v>
      </c>
      <c r="H594" s="112" t="s">
        <v>2036</v>
      </c>
      <c r="I594" s="40"/>
      <c r="J594" s="109"/>
      <c r="K594" s="109"/>
      <c r="L594" s="110"/>
      <c r="M594" s="40"/>
      <c r="N594" s="110"/>
      <c r="O594" s="109"/>
      <c r="P594" s="9"/>
      <c r="Q594" s="9"/>
      <c r="R594" s="40"/>
      <c r="S594" s="40"/>
      <c r="T594" s="113"/>
      <c r="U594" s="114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 ht="35.25" customHeight="1">
      <c r="A595" s="40">
        <v>45182.0</v>
      </c>
      <c r="B595" s="109">
        <v>2994.0</v>
      </c>
      <c r="C595" s="109"/>
      <c r="D595" s="110" t="s">
        <v>44</v>
      </c>
      <c r="E595" s="110" t="s">
        <v>2510</v>
      </c>
      <c r="F595" s="109">
        <v>1.0</v>
      </c>
      <c r="G595" s="111">
        <v>662.3</v>
      </c>
      <c r="H595" s="112" t="s">
        <v>2036</v>
      </c>
      <c r="I595" s="40"/>
      <c r="J595" s="109"/>
      <c r="K595" s="109"/>
      <c r="L595" s="110"/>
      <c r="M595" s="40"/>
      <c r="N595" s="110"/>
      <c r="O595" s="109"/>
      <c r="P595" s="9"/>
      <c r="Q595" s="9"/>
      <c r="R595" s="40"/>
      <c r="S595" s="40"/>
      <c r="T595" s="113"/>
      <c r="U595" s="114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ht="35.25" customHeight="1">
      <c r="A596" s="40">
        <v>45182.0</v>
      </c>
      <c r="B596" s="109">
        <v>2994.0</v>
      </c>
      <c r="C596" s="109"/>
      <c r="D596" s="110" t="s">
        <v>44</v>
      </c>
      <c r="E596" s="110" t="s">
        <v>2511</v>
      </c>
      <c r="F596" s="109">
        <v>1.0</v>
      </c>
      <c r="G596" s="111">
        <v>129.81</v>
      </c>
      <c r="H596" s="112" t="s">
        <v>2036</v>
      </c>
      <c r="I596" s="40"/>
      <c r="J596" s="109"/>
      <c r="K596" s="109"/>
      <c r="L596" s="110"/>
      <c r="M596" s="40"/>
      <c r="N596" s="110"/>
      <c r="O596" s="109"/>
      <c r="P596" s="9"/>
      <c r="Q596" s="9"/>
      <c r="R596" s="40"/>
      <c r="S596" s="40"/>
      <c r="T596" s="113"/>
      <c r="U596" s="114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 ht="35.25" customHeight="1">
      <c r="A597" s="40">
        <v>45182.0</v>
      </c>
      <c r="B597" s="109">
        <v>2994.0</v>
      </c>
      <c r="C597" s="109"/>
      <c r="D597" s="110" t="s">
        <v>44</v>
      </c>
      <c r="E597" s="110" t="s">
        <v>2512</v>
      </c>
      <c r="F597" s="109">
        <v>1.0</v>
      </c>
      <c r="G597" s="111">
        <v>1683.31</v>
      </c>
      <c r="H597" s="112" t="s">
        <v>2036</v>
      </c>
      <c r="I597" s="40"/>
      <c r="J597" s="109"/>
      <c r="K597" s="109"/>
      <c r="L597" s="110"/>
      <c r="M597" s="40"/>
      <c r="N597" s="110"/>
      <c r="O597" s="109"/>
      <c r="P597" s="9"/>
      <c r="Q597" s="9"/>
      <c r="R597" s="40"/>
      <c r="S597" s="40"/>
      <c r="T597" s="113"/>
      <c r="U597" s="114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ht="35.25" customHeight="1">
      <c r="A598" s="40">
        <v>45182.0</v>
      </c>
      <c r="B598" s="109">
        <v>2994.0</v>
      </c>
      <c r="C598" s="109"/>
      <c r="D598" s="110" t="s">
        <v>44</v>
      </c>
      <c r="E598" s="110" t="s">
        <v>2523</v>
      </c>
      <c r="F598" s="109">
        <v>1.0</v>
      </c>
      <c r="G598" s="111">
        <v>11691.51</v>
      </c>
      <c r="H598" s="112" t="s">
        <v>2036</v>
      </c>
      <c r="I598" s="40"/>
      <c r="J598" s="109"/>
      <c r="K598" s="109"/>
      <c r="L598" s="110"/>
      <c r="M598" s="40"/>
      <c r="N598" s="110"/>
      <c r="O598" s="109"/>
      <c r="P598" s="9"/>
      <c r="Q598" s="9"/>
      <c r="R598" s="40"/>
      <c r="S598" s="40"/>
      <c r="T598" s="113"/>
      <c r="U598" s="114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 ht="35.25" customHeight="1">
      <c r="A599" s="40">
        <v>45183.0</v>
      </c>
      <c r="B599" s="109">
        <v>2995.0</v>
      </c>
      <c r="C599" s="109"/>
      <c r="D599" s="110" t="s">
        <v>44</v>
      </c>
      <c r="E599" s="110" t="s">
        <v>2524</v>
      </c>
      <c r="F599" s="109">
        <v>3.0</v>
      </c>
      <c r="G599" s="111">
        <v>161.19</v>
      </c>
      <c r="H599" s="112" t="s">
        <v>2036</v>
      </c>
      <c r="I599" s="40"/>
      <c r="J599" s="109"/>
      <c r="K599" s="109"/>
      <c r="L599" s="110"/>
      <c r="M599" s="40"/>
      <c r="N599" s="110"/>
      <c r="O599" s="109"/>
      <c r="P599" s="9"/>
      <c r="Q599" s="9"/>
      <c r="R599" s="40"/>
      <c r="S599" s="40"/>
      <c r="T599" s="113"/>
      <c r="U599" s="114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ht="35.25" customHeight="1">
      <c r="A600" s="40">
        <v>45183.0</v>
      </c>
      <c r="B600" s="109">
        <v>2997.0</v>
      </c>
      <c r="C600" s="109"/>
      <c r="D600" s="110" t="s">
        <v>2525</v>
      </c>
      <c r="E600" s="110" t="s">
        <v>2526</v>
      </c>
      <c r="F600" s="109">
        <v>1.0</v>
      </c>
      <c r="G600" s="111">
        <v>6049.61</v>
      </c>
      <c r="H600" s="112" t="s">
        <v>2036</v>
      </c>
      <c r="I600" s="40"/>
      <c r="J600" s="109"/>
      <c r="K600" s="109"/>
      <c r="L600" s="110"/>
      <c r="M600" s="40"/>
      <c r="N600" s="110"/>
      <c r="O600" s="109"/>
      <c r="P600" s="9"/>
      <c r="Q600" s="9"/>
      <c r="R600" s="40"/>
      <c r="S600" s="40"/>
      <c r="T600" s="113"/>
      <c r="U600" s="114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 ht="35.25" customHeight="1">
      <c r="A601" s="40">
        <v>45183.0</v>
      </c>
      <c r="B601" s="109">
        <v>2997.0</v>
      </c>
      <c r="C601" s="109"/>
      <c r="D601" s="110" t="s">
        <v>2525</v>
      </c>
      <c r="E601" s="110" t="s">
        <v>2527</v>
      </c>
      <c r="F601" s="109">
        <v>1.0</v>
      </c>
      <c r="G601" s="111">
        <v>12873.25</v>
      </c>
      <c r="H601" s="112" t="s">
        <v>2036</v>
      </c>
      <c r="I601" s="40"/>
      <c r="J601" s="109"/>
      <c r="K601" s="109"/>
      <c r="L601" s="110"/>
      <c r="M601" s="40"/>
      <c r="N601" s="110"/>
      <c r="O601" s="109"/>
      <c r="P601" s="9"/>
      <c r="Q601" s="9"/>
      <c r="R601" s="40"/>
      <c r="S601" s="40"/>
      <c r="T601" s="113"/>
      <c r="U601" s="114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ht="35.25" customHeight="1">
      <c r="A602" s="40">
        <v>45183.0</v>
      </c>
      <c r="B602" s="109">
        <v>2997.0</v>
      </c>
      <c r="C602" s="109"/>
      <c r="D602" s="110" t="s">
        <v>2525</v>
      </c>
      <c r="E602" s="110" t="s">
        <v>2528</v>
      </c>
      <c r="F602" s="109">
        <v>1.0</v>
      </c>
      <c r="G602" s="111">
        <v>21421.44</v>
      </c>
      <c r="H602" s="112" t="s">
        <v>2036</v>
      </c>
      <c r="I602" s="40"/>
      <c r="J602" s="109"/>
      <c r="K602" s="109"/>
      <c r="L602" s="110"/>
      <c r="M602" s="40"/>
      <c r="N602" s="110"/>
      <c r="O602" s="109"/>
      <c r="P602" s="9"/>
      <c r="Q602" s="9"/>
      <c r="R602" s="40"/>
      <c r="S602" s="40"/>
      <c r="T602" s="113"/>
      <c r="U602" s="114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 ht="35.25" customHeight="1">
      <c r="A603" s="40">
        <v>45183.0</v>
      </c>
      <c r="B603" s="109">
        <v>2997.0</v>
      </c>
      <c r="C603" s="109"/>
      <c r="D603" s="110" t="s">
        <v>2525</v>
      </c>
      <c r="E603" s="110" t="s">
        <v>2529</v>
      </c>
      <c r="F603" s="109">
        <v>1.0</v>
      </c>
      <c r="G603" s="111">
        <v>22671.29</v>
      </c>
      <c r="H603" s="112" t="s">
        <v>2036</v>
      </c>
      <c r="I603" s="40"/>
      <c r="J603" s="109"/>
      <c r="K603" s="109"/>
      <c r="L603" s="110"/>
      <c r="M603" s="40"/>
      <c r="N603" s="110"/>
      <c r="O603" s="109"/>
      <c r="P603" s="9"/>
      <c r="Q603" s="9"/>
      <c r="R603" s="40"/>
      <c r="S603" s="40"/>
      <c r="T603" s="113"/>
      <c r="U603" s="114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ht="35.25" customHeight="1">
      <c r="A604" s="40">
        <v>45198.0</v>
      </c>
      <c r="B604" s="109" t="s">
        <v>2530</v>
      </c>
      <c r="C604" s="109"/>
      <c r="D604" s="110" t="s">
        <v>2525</v>
      </c>
      <c r="E604" s="110" t="s">
        <v>2529</v>
      </c>
      <c r="F604" s="109">
        <v>1.0</v>
      </c>
      <c r="G604" s="111">
        <v>22671.29</v>
      </c>
      <c r="H604" s="112" t="s">
        <v>2036</v>
      </c>
      <c r="I604" s="40"/>
      <c r="J604" s="109"/>
      <c r="K604" s="109"/>
      <c r="L604" s="110"/>
      <c r="M604" s="40"/>
      <c r="N604" s="110"/>
      <c r="O604" s="109"/>
      <c r="P604" s="9"/>
      <c r="Q604" s="9"/>
      <c r="R604" s="40"/>
      <c r="S604" s="40"/>
      <c r="T604" s="113"/>
      <c r="U604" s="114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 ht="35.25" customHeight="1">
      <c r="A605" s="40" t="s">
        <v>2531</v>
      </c>
      <c r="B605" s="109">
        <v>2999.0</v>
      </c>
      <c r="C605" s="109"/>
      <c r="D605" s="110" t="s">
        <v>188</v>
      </c>
      <c r="E605" s="110" t="s">
        <v>2453</v>
      </c>
      <c r="F605" s="109">
        <v>1.0</v>
      </c>
      <c r="G605" s="111">
        <v>520.0</v>
      </c>
      <c r="H605" s="112" t="s">
        <v>180</v>
      </c>
      <c r="I605" s="40" t="s">
        <v>2532</v>
      </c>
      <c r="J605" s="109">
        <v>2239.0</v>
      </c>
      <c r="K605" s="109">
        <v>4.400622947E9</v>
      </c>
      <c r="L605" s="110" t="s">
        <v>2469</v>
      </c>
      <c r="M605" s="40" t="s">
        <v>2532</v>
      </c>
      <c r="N605" s="110" t="s">
        <v>2517</v>
      </c>
      <c r="O605" s="109" t="s">
        <v>2533</v>
      </c>
      <c r="P605" s="9"/>
      <c r="Q605" s="9">
        <v>2.0</v>
      </c>
      <c r="R605" s="40" t="s">
        <v>2531</v>
      </c>
      <c r="S605" s="40"/>
      <c r="T605" s="113"/>
      <c r="U605" s="114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ht="35.25" customHeight="1">
      <c r="A606" s="40">
        <v>45184.0</v>
      </c>
      <c r="B606" s="109">
        <v>3000.0</v>
      </c>
      <c r="C606" s="109"/>
      <c r="D606" s="110" t="s">
        <v>44</v>
      </c>
      <c r="E606" s="110" t="s">
        <v>2377</v>
      </c>
      <c r="F606" s="109">
        <v>7.0</v>
      </c>
      <c r="G606" s="111">
        <v>39702.18</v>
      </c>
      <c r="H606" s="112" t="s">
        <v>180</v>
      </c>
      <c r="I606" s="40">
        <v>45208.0</v>
      </c>
      <c r="J606" s="109">
        <v>2274.0</v>
      </c>
      <c r="K606" s="109">
        <v>4.50178991E8</v>
      </c>
      <c r="L606" s="110"/>
      <c r="M606" s="40"/>
      <c r="N606" s="110"/>
      <c r="O606" s="109"/>
      <c r="P606" s="9"/>
      <c r="Q606" s="9"/>
      <c r="R606" s="40"/>
      <c r="S606" s="40"/>
      <c r="T606" s="113" t="s">
        <v>2095</v>
      </c>
      <c r="U606" s="114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 ht="35.25" customHeight="1">
      <c r="A607" s="40">
        <v>45086.0</v>
      </c>
      <c r="B607" s="109">
        <v>3001.0</v>
      </c>
      <c r="C607" s="109"/>
      <c r="D607" s="110" t="s">
        <v>44</v>
      </c>
      <c r="E607" s="110" t="s">
        <v>2265</v>
      </c>
      <c r="F607" s="109">
        <v>1.0</v>
      </c>
      <c r="G607" s="111">
        <v>33.11</v>
      </c>
      <c r="H607" s="112" t="s">
        <v>180</v>
      </c>
      <c r="I607" s="40" t="s">
        <v>2532</v>
      </c>
      <c r="J607" s="109">
        <v>2240.0</v>
      </c>
      <c r="K607" s="109">
        <v>4.50179851E9</v>
      </c>
      <c r="L607" s="110" t="s">
        <v>2532</v>
      </c>
      <c r="M607" s="40" t="s">
        <v>2532</v>
      </c>
      <c r="N607" s="110" t="s">
        <v>2534</v>
      </c>
      <c r="O607" s="109" t="s">
        <v>2535</v>
      </c>
      <c r="P607" s="9"/>
      <c r="Q607" s="9">
        <v>3.0</v>
      </c>
      <c r="R607" s="40" t="s">
        <v>2531</v>
      </c>
      <c r="S607" s="40" t="s">
        <v>2531</v>
      </c>
      <c r="T607" s="113" t="s">
        <v>2536</v>
      </c>
      <c r="U607" s="114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ht="35.25" customHeight="1">
      <c r="A608" s="40">
        <v>45187.0</v>
      </c>
      <c r="B608" s="109">
        <v>3004.0</v>
      </c>
      <c r="C608" s="109"/>
      <c r="D608" s="110" t="s">
        <v>77</v>
      </c>
      <c r="E608" s="110" t="s">
        <v>2537</v>
      </c>
      <c r="F608" s="109">
        <v>1.0</v>
      </c>
      <c r="G608" s="111">
        <v>1463.59</v>
      </c>
      <c r="H608" s="112" t="s">
        <v>2036</v>
      </c>
      <c r="I608" s="40"/>
      <c r="J608" s="109"/>
      <c r="K608" s="109"/>
      <c r="L608" s="110"/>
      <c r="M608" s="40"/>
      <c r="N608" s="110"/>
      <c r="O608" s="109"/>
      <c r="P608" s="9"/>
      <c r="Q608" s="9"/>
      <c r="R608" s="40"/>
      <c r="S608" s="40"/>
      <c r="T608" s="113"/>
      <c r="U608" s="114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 ht="35.25" customHeight="1">
      <c r="A609" s="40">
        <v>45187.0</v>
      </c>
      <c r="B609" s="109">
        <v>3004.0</v>
      </c>
      <c r="C609" s="109"/>
      <c r="D609" s="110" t="s">
        <v>77</v>
      </c>
      <c r="E609" s="110" t="s">
        <v>2521</v>
      </c>
      <c r="F609" s="109">
        <v>1.0</v>
      </c>
      <c r="G609" s="111">
        <v>5329.41</v>
      </c>
      <c r="H609" s="112" t="s">
        <v>2036</v>
      </c>
      <c r="I609" s="40"/>
      <c r="J609" s="109"/>
      <c r="K609" s="109"/>
      <c r="L609" s="110"/>
      <c r="M609" s="40"/>
      <c r="N609" s="110"/>
      <c r="O609" s="109"/>
      <c r="P609" s="9"/>
      <c r="Q609" s="9"/>
      <c r="R609" s="40"/>
      <c r="S609" s="40"/>
      <c r="T609" s="113"/>
      <c r="U609" s="114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ht="35.25" customHeight="1">
      <c r="A610" s="40">
        <v>45187.0</v>
      </c>
      <c r="B610" s="109">
        <v>3004.0</v>
      </c>
      <c r="C610" s="109"/>
      <c r="D610" s="110" t="s">
        <v>77</v>
      </c>
      <c r="E610" s="110" t="s">
        <v>2042</v>
      </c>
      <c r="F610" s="109">
        <v>1.0</v>
      </c>
      <c r="G610" s="111">
        <v>1206.89</v>
      </c>
      <c r="H610" s="112" t="s">
        <v>2036</v>
      </c>
      <c r="I610" s="40"/>
      <c r="J610" s="109"/>
      <c r="K610" s="109"/>
      <c r="L610" s="110"/>
      <c r="M610" s="40"/>
      <c r="N610" s="110"/>
      <c r="O610" s="109"/>
      <c r="P610" s="9"/>
      <c r="Q610" s="9"/>
      <c r="R610" s="40"/>
      <c r="S610" s="40"/>
      <c r="T610" s="113"/>
      <c r="U610" s="114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 ht="35.25" customHeight="1">
      <c r="A611" s="40">
        <v>45187.0</v>
      </c>
      <c r="B611" s="109">
        <v>3004.0</v>
      </c>
      <c r="C611" s="109"/>
      <c r="D611" s="110" t="s">
        <v>77</v>
      </c>
      <c r="E611" s="110" t="s">
        <v>2509</v>
      </c>
      <c r="F611" s="109">
        <v>1.0</v>
      </c>
      <c r="G611" s="111">
        <v>565.47</v>
      </c>
      <c r="H611" s="112" t="s">
        <v>2036</v>
      </c>
      <c r="I611" s="40"/>
      <c r="J611" s="109"/>
      <c r="K611" s="109"/>
      <c r="L611" s="110"/>
      <c r="M611" s="40"/>
      <c r="N611" s="110"/>
      <c r="O611" s="109"/>
      <c r="P611" s="9"/>
      <c r="Q611" s="9"/>
      <c r="R611" s="40"/>
      <c r="S611" s="40"/>
      <c r="T611" s="113"/>
      <c r="U611" s="114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ht="35.25" customHeight="1">
      <c r="A612" s="40">
        <v>45187.0</v>
      </c>
      <c r="B612" s="109">
        <v>3004.0</v>
      </c>
      <c r="C612" s="109"/>
      <c r="D612" s="110" t="s">
        <v>77</v>
      </c>
      <c r="E612" s="110" t="s">
        <v>2508</v>
      </c>
      <c r="F612" s="109">
        <v>1.0</v>
      </c>
      <c r="G612" s="111">
        <v>444.2</v>
      </c>
      <c r="H612" s="112" t="s">
        <v>2036</v>
      </c>
      <c r="I612" s="40"/>
      <c r="J612" s="109"/>
      <c r="K612" s="109"/>
      <c r="L612" s="110"/>
      <c r="M612" s="40"/>
      <c r="N612" s="110"/>
      <c r="O612" s="109"/>
      <c r="P612" s="9"/>
      <c r="Q612" s="9"/>
      <c r="R612" s="40"/>
      <c r="S612" s="40"/>
      <c r="T612" s="113"/>
      <c r="U612" s="114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 ht="35.25" customHeight="1">
      <c r="A613" s="40">
        <v>45187.0</v>
      </c>
      <c r="B613" s="109">
        <v>3005.0</v>
      </c>
      <c r="C613" s="109"/>
      <c r="D613" s="110" t="s">
        <v>77</v>
      </c>
      <c r="E613" s="110" t="s">
        <v>2504</v>
      </c>
      <c r="F613" s="109">
        <v>1.0</v>
      </c>
      <c r="G613" s="111">
        <v>5625.44</v>
      </c>
      <c r="H613" s="112" t="s">
        <v>2036</v>
      </c>
      <c r="I613" s="40"/>
      <c r="J613" s="109"/>
      <c r="K613" s="109"/>
      <c r="L613" s="110"/>
      <c r="M613" s="40"/>
      <c r="N613" s="110"/>
      <c r="O613" s="109"/>
      <c r="P613" s="9"/>
      <c r="Q613" s="9"/>
      <c r="R613" s="40"/>
      <c r="S613" s="40"/>
      <c r="T613" s="113"/>
      <c r="U613" s="114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ht="35.25" customHeight="1">
      <c r="A614" s="40">
        <v>45187.0</v>
      </c>
      <c r="B614" s="109">
        <v>3005.0</v>
      </c>
      <c r="C614" s="109"/>
      <c r="D614" s="110" t="s">
        <v>77</v>
      </c>
      <c r="E614" s="110" t="s">
        <v>2505</v>
      </c>
      <c r="F614" s="109">
        <v>1.0</v>
      </c>
      <c r="G614" s="111">
        <v>6710.09</v>
      </c>
      <c r="H614" s="112" t="s">
        <v>2036</v>
      </c>
      <c r="I614" s="40"/>
      <c r="J614" s="109"/>
      <c r="K614" s="109"/>
      <c r="L614" s="110"/>
      <c r="M614" s="40"/>
      <c r="N614" s="110"/>
      <c r="O614" s="109"/>
      <c r="P614" s="9"/>
      <c r="Q614" s="9"/>
      <c r="R614" s="40"/>
      <c r="S614" s="40"/>
      <c r="T614" s="113"/>
      <c r="U614" s="114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 ht="35.25" customHeight="1">
      <c r="A615" s="40">
        <v>45187.0</v>
      </c>
      <c r="B615" s="109">
        <v>3005.0</v>
      </c>
      <c r="C615" s="109"/>
      <c r="D615" s="110" t="s">
        <v>77</v>
      </c>
      <c r="E615" s="110" t="s">
        <v>2506</v>
      </c>
      <c r="F615" s="109">
        <v>1.0</v>
      </c>
      <c r="G615" s="111">
        <v>1526.41</v>
      </c>
      <c r="H615" s="112" t="s">
        <v>2036</v>
      </c>
      <c r="I615" s="40"/>
      <c r="J615" s="109"/>
      <c r="K615" s="109"/>
      <c r="L615" s="110"/>
      <c r="M615" s="40"/>
      <c r="N615" s="110"/>
      <c r="O615" s="109"/>
      <c r="P615" s="9"/>
      <c r="Q615" s="9"/>
      <c r="R615" s="40"/>
      <c r="S615" s="40"/>
      <c r="T615" s="113"/>
      <c r="U615" s="114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ht="35.25" customHeight="1">
      <c r="A616" s="40">
        <v>45187.0</v>
      </c>
      <c r="B616" s="109">
        <v>3006.0</v>
      </c>
      <c r="C616" s="109"/>
      <c r="D616" s="110" t="s">
        <v>77</v>
      </c>
      <c r="E616" s="110" t="s">
        <v>2503</v>
      </c>
      <c r="F616" s="109">
        <v>1.0</v>
      </c>
      <c r="G616" s="111">
        <v>215.07</v>
      </c>
      <c r="H616" s="110" t="s">
        <v>2036</v>
      </c>
      <c r="I616" s="40"/>
      <c r="J616" s="109"/>
      <c r="K616" s="109"/>
      <c r="L616" s="110"/>
      <c r="M616" s="40"/>
      <c r="N616" s="110"/>
      <c r="O616" s="109"/>
      <c r="P616" s="9"/>
      <c r="Q616" s="9"/>
      <c r="R616" s="40"/>
      <c r="S616" s="40"/>
      <c r="T616" s="113"/>
      <c r="U616" s="114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 ht="35.25" customHeight="1">
      <c r="A617" s="40">
        <v>45187.0</v>
      </c>
      <c r="B617" s="109">
        <v>3006.0</v>
      </c>
      <c r="C617" s="109"/>
      <c r="D617" s="110" t="s">
        <v>77</v>
      </c>
      <c r="E617" s="110" t="s">
        <v>2050</v>
      </c>
      <c r="F617" s="109">
        <v>15.0</v>
      </c>
      <c r="G617" s="111">
        <v>14479.41</v>
      </c>
      <c r="H617" s="110" t="s">
        <v>2036</v>
      </c>
      <c r="I617" s="40"/>
      <c r="J617" s="109"/>
      <c r="K617" s="109"/>
      <c r="L617" s="110"/>
      <c r="M617" s="40"/>
      <c r="N617" s="110"/>
      <c r="O617" s="109"/>
      <c r="P617" s="9"/>
      <c r="Q617" s="9"/>
      <c r="R617" s="40"/>
      <c r="S617" s="40"/>
      <c r="T617" s="113"/>
      <c r="U617" s="114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ht="35.25" customHeight="1">
      <c r="A618" s="40">
        <v>45170.0</v>
      </c>
      <c r="B618" s="109">
        <v>3007.0</v>
      </c>
      <c r="C618" s="109"/>
      <c r="D618" s="110" t="s">
        <v>44</v>
      </c>
      <c r="E618" s="110" t="s">
        <v>2538</v>
      </c>
      <c r="F618" s="109">
        <v>1.0</v>
      </c>
      <c r="G618" s="111">
        <v>480.29</v>
      </c>
      <c r="H618" s="112" t="s">
        <v>180</v>
      </c>
      <c r="I618" s="40" t="s">
        <v>2539</v>
      </c>
      <c r="J618" s="109">
        <v>2254.0</v>
      </c>
      <c r="K618" s="109">
        <v>4.50180462E9</v>
      </c>
      <c r="L618" s="110" t="s">
        <v>2469</v>
      </c>
      <c r="M618" s="40" t="s">
        <v>2540</v>
      </c>
      <c r="N618" s="110" t="s">
        <v>2517</v>
      </c>
      <c r="O618" s="109" t="s">
        <v>2541</v>
      </c>
      <c r="P618" s="9"/>
      <c r="Q618" s="9">
        <v>14.0</v>
      </c>
      <c r="R618" s="40" t="s">
        <v>2540</v>
      </c>
      <c r="S618" s="40" t="s">
        <v>2540</v>
      </c>
      <c r="T618" s="113" t="s">
        <v>2095</v>
      </c>
      <c r="U618" s="114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 ht="35.25" customHeight="1">
      <c r="A619" s="40">
        <v>45197.0</v>
      </c>
      <c r="B619" s="109">
        <v>3008.0</v>
      </c>
      <c r="C619" s="109"/>
      <c r="D619" s="110" t="s">
        <v>44</v>
      </c>
      <c r="E619" s="110" t="s">
        <v>2125</v>
      </c>
      <c r="F619" s="109">
        <v>1.0</v>
      </c>
      <c r="G619" s="111">
        <v>20.55</v>
      </c>
      <c r="H619" s="110" t="s">
        <v>2036</v>
      </c>
      <c r="I619" s="40"/>
      <c r="J619" s="109"/>
      <c r="K619" s="109"/>
      <c r="L619" s="110"/>
      <c r="M619" s="40"/>
      <c r="N619" s="110"/>
      <c r="O619" s="109"/>
      <c r="P619" s="9"/>
      <c r="Q619" s="9"/>
      <c r="R619" s="40"/>
      <c r="S619" s="40"/>
      <c r="T619" s="113"/>
      <c r="U619" s="114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ht="35.25" customHeight="1">
      <c r="A620" s="40" t="s">
        <v>2532</v>
      </c>
      <c r="B620" s="109">
        <v>3009.0</v>
      </c>
      <c r="C620" s="109"/>
      <c r="D620" s="110" t="s">
        <v>44</v>
      </c>
      <c r="E620" s="110" t="s">
        <v>2370</v>
      </c>
      <c r="F620" s="109">
        <v>30.0</v>
      </c>
      <c r="G620" s="111">
        <v>339.69</v>
      </c>
      <c r="H620" s="112" t="s">
        <v>180</v>
      </c>
      <c r="I620" s="40" t="s">
        <v>2539</v>
      </c>
      <c r="J620" s="109">
        <v>2256.0</v>
      </c>
      <c r="K620" s="109">
        <v>4.501806401E9</v>
      </c>
      <c r="L620" s="110" t="s">
        <v>2469</v>
      </c>
      <c r="M620" s="40" t="s">
        <v>2540</v>
      </c>
      <c r="N620" s="110" t="s">
        <v>2517</v>
      </c>
      <c r="O620" s="109" t="s">
        <v>2542</v>
      </c>
      <c r="P620" s="9"/>
      <c r="Q620" s="9">
        <v>19.0</v>
      </c>
      <c r="R620" s="40"/>
      <c r="S620" s="40"/>
      <c r="T620" s="113" t="s">
        <v>2095</v>
      </c>
      <c r="U620" s="114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 ht="35.25" customHeight="1">
      <c r="A621" s="40">
        <v>45187.0</v>
      </c>
      <c r="B621" s="109">
        <v>3010.0</v>
      </c>
      <c r="C621" s="109"/>
      <c r="D621" s="110" t="s">
        <v>44</v>
      </c>
      <c r="E621" s="110" t="s">
        <v>2165</v>
      </c>
      <c r="F621" s="109">
        <v>1.0</v>
      </c>
      <c r="G621" s="111">
        <v>57.13</v>
      </c>
      <c r="H621" s="110" t="s">
        <v>2036</v>
      </c>
      <c r="I621" s="40"/>
      <c r="J621" s="109"/>
      <c r="K621" s="109"/>
      <c r="L621" s="110"/>
      <c r="M621" s="40"/>
      <c r="N621" s="110"/>
      <c r="O621" s="109"/>
      <c r="P621" s="9"/>
      <c r="Q621" s="9"/>
      <c r="R621" s="40"/>
      <c r="S621" s="40"/>
      <c r="T621" s="113"/>
      <c r="U621" s="114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ht="35.25" customHeight="1">
      <c r="A622" s="40">
        <v>45187.0</v>
      </c>
      <c r="B622" s="109">
        <v>3013.0</v>
      </c>
      <c r="C622" s="109"/>
      <c r="D622" s="110" t="s">
        <v>44</v>
      </c>
      <c r="E622" s="110" t="s">
        <v>2543</v>
      </c>
      <c r="F622" s="109">
        <v>1.0</v>
      </c>
      <c r="G622" s="111">
        <v>150.12</v>
      </c>
      <c r="H622" s="110" t="s">
        <v>2036</v>
      </c>
      <c r="I622" s="40"/>
      <c r="J622" s="109"/>
      <c r="K622" s="109"/>
      <c r="L622" s="110"/>
      <c r="M622" s="40"/>
      <c r="N622" s="110"/>
      <c r="O622" s="109"/>
      <c r="P622" s="9"/>
      <c r="Q622" s="9"/>
      <c r="R622" s="40"/>
      <c r="S622" s="40"/>
      <c r="T622" s="113"/>
      <c r="U622" s="114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 ht="35.25" customHeight="1">
      <c r="A623" s="40" t="s">
        <v>2540</v>
      </c>
      <c r="B623" s="109">
        <v>3014.0</v>
      </c>
      <c r="C623" s="109"/>
      <c r="D623" s="110" t="s">
        <v>44</v>
      </c>
      <c r="E623" s="110" t="s">
        <v>2043</v>
      </c>
      <c r="F623" s="109">
        <v>40.0</v>
      </c>
      <c r="G623" s="111">
        <v>1505.0</v>
      </c>
      <c r="H623" s="112" t="s">
        <v>180</v>
      </c>
      <c r="I623" s="40">
        <v>45196.0</v>
      </c>
      <c r="J623" s="109">
        <v>2255.0</v>
      </c>
      <c r="K623" s="109"/>
      <c r="L623" s="110" t="s">
        <v>2469</v>
      </c>
      <c r="M623" s="40" t="s">
        <v>2540</v>
      </c>
      <c r="N623" s="110" t="s">
        <v>2517</v>
      </c>
      <c r="O623" s="109" t="s">
        <v>2544</v>
      </c>
      <c r="P623" s="9"/>
      <c r="Q623" s="9">
        <v>18.0</v>
      </c>
      <c r="R623" s="40"/>
      <c r="S623" s="40"/>
      <c r="T623" s="113" t="s">
        <v>2095</v>
      </c>
      <c r="U623" s="114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ht="35.25" customHeight="1">
      <c r="A624" s="40" t="s">
        <v>2532</v>
      </c>
      <c r="B624" s="109">
        <v>3015.0</v>
      </c>
      <c r="C624" s="109">
        <v>124.0</v>
      </c>
      <c r="D624" s="110" t="s">
        <v>44</v>
      </c>
      <c r="E624" s="110" t="s">
        <v>2545</v>
      </c>
      <c r="F624" s="109">
        <v>27.0</v>
      </c>
      <c r="G624" s="111">
        <v>36817.59</v>
      </c>
      <c r="H624" s="112" t="s">
        <v>1560</v>
      </c>
      <c r="I624" s="40"/>
      <c r="J624" s="109"/>
      <c r="K624" s="109">
        <v>4.50180678E9</v>
      </c>
      <c r="L624" s="110"/>
      <c r="M624" s="40"/>
      <c r="N624" s="110"/>
      <c r="O624" s="109"/>
      <c r="P624" s="9"/>
      <c r="Q624" s="9"/>
      <c r="R624" s="40"/>
      <c r="S624" s="40"/>
      <c r="T624" s="113"/>
      <c r="U624" s="114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 ht="35.25" customHeight="1">
      <c r="A625" s="40" t="s">
        <v>2532</v>
      </c>
      <c r="B625" s="109">
        <v>3016.0</v>
      </c>
      <c r="C625" s="109">
        <v>125.0</v>
      </c>
      <c r="D625" s="110" t="s">
        <v>44</v>
      </c>
      <c r="E625" s="110" t="s">
        <v>2546</v>
      </c>
      <c r="F625" s="109">
        <v>28.0</v>
      </c>
      <c r="G625" s="111">
        <v>38181.21</v>
      </c>
      <c r="H625" s="112" t="s">
        <v>1560</v>
      </c>
      <c r="I625" s="40"/>
      <c r="J625" s="109"/>
      <c r="K625" s="109"/>
      <c r="L625" s="110"/>
      <c r="M625" s="40"/>
      <c r="N625" s="110"/>
      <c r="O625" s="109"/>
      <c r="P625" s="9"/>
      <c r="Q625" s="9"/>
      <c r="R625" s="40"/>
      <c r="S625" s="40"/>
      <c r="T625" s="113"/>
      <c r="U625" s="114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ht="35.25" customHeight="1">
      <c r="A626" s="40" t="s">
        <v>2532</v>
      </c>
      <c r="B626" s="109">
        <v>3017.0</v>
      </c>
      <c r="C626" s="109">
        <v>123.0</v>
      </c>
      <c r="D626" s="110" t="s">
        <v>44</v>
      </c>
      <c r="E626" s="110" t="s">
        <v>2374</v>
      </c>
      <c r="F626" s="109">
        <v>29.0</v>
      </c>
      <c r="G626" s="111">
        <v>41095.92</v>
      </c>
      <c r="H626" s="112" t="s">
        <v>1560</v>
      </c>
      <c r="I626" s="40"/>
      <c r="J626" s="109"/>
      <c r="K626" s="109"/>
      <c r="L626" s="110"/>
      <c r="M626" s="40"/>
      <c r="N626" s="110"/>
      <c r="O626" s="109"/>
      <c r="P626" s="9"/>
      <c r="Q626" s="9"/>
      <c r="R626" s="40"/>
      <c r="S626" s="40"/>
      <c r="T626" s="113"/>
      <c r="U626" s="114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 ht="35.25" customHeight="1">
      <c r="A627" s="40" t="s">
        <v>2532</v>
      </c>
      <c r="B627" s="109">
        <v>3018.0</v>
      </c>
      <c r="C627" s="109"/>
      <c r="D627" s="110" t="s">
        <v>44</v>
      </c>
      <c r="E627" s="110" t="s">
        <v>2090</v>
      </c>
      <c r="F627" s="109">
        <v>5.0</v>
      </c>
      <c r="G627" s="111">
        <v>644.89</v>
      </c>
      <c r="H627" s="112" t="s">
        <v>180</v>
      </c>
      <c r="I627" s="40" t="s">
        <v>2539</v>
      </c>
      <c r="J627" s="109">
        <v>2253.0</v>
      </c>
      <c r="K627" s="109">
        <v>4.501805263E9</v>
      </c>
      <c r="L627" s="110" t="s">
        <v>2469</v>
      </c>
      <c r="M627" s="40" t="s">
        <v>2540</v>
      </c>
      <c r="N627" s="110" t="s">
        <v>2517</v>
      </c>
      <c r="O627" s="109" t="s">
        <v>2547</v>
      </c>
      <c r="P627" s="9"/>
      <c r="Q627" s="9">
        <v>13.0</v>
      </c>
      <c r="R627" s="40" t="s">
        <v>2548</v>
      </c>
      <c r="S627" s="40" t="s">
        <v>2548</v>
      </c>
      <c r="T627" s="113" t="s">
        <v>2095</v>
      </c>
      <c r="U627" s="114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ht="35.25" customHeight="1">
      <c r="A628" s="40" t="s">
        <v>2514</v>
      </c>
      <c r="B628" s="109">
        <v>3019.0</v>
      </c>
      <c r="C628" s="109"/>
      <c r="D628" s="110" t="s">
        <v>188</v>
      </c>
      <c r="E628" s="110" t="s">
        <v>2067</v>
      </c>
      <c r="F628" s="109">
        <v>60.0</v>
      </c>
      <c r="G628" s="111">
        <v>1531.8</v>
      </c>
      <c r="H628" s="112" t="s">
        <v>180</v>
      </c>
      <c r="I628" s="40" t="s">
        <v>2514</v>
      </c>
      <c r="J628" s="109">
        <v>2241.0</v>
      </c>
      <c r="K628" s="109">
        <v>5.2002295789E10</v>
      </c>
      <c r="L628" s="110" t="s">
        <v>2469</v>
      </c>
      <c r="M628" s="40" t="s">
        <v>2516</v>
      </c>
      <c r="N628" s="110" t="s">
        <v>2517</v>
      </c>
      <c r="O628" s="109" t="s">
        <v>2549</v>
      </c>
      <c r="P628" s="9"/>
      <c r="Q628" s="9">
        <v>4.0</v>
      </c>
      <c r="R628" s="40" t="s">
        <v>2516</v>
      </c>
      <c r="S628" s="40" t="s">
        <v>2519</v>
      </c>
      <c r="T628" s="113" t="s">
        <v>2095</v>
      </c>
      <c r="U628" s="114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 ht="35.25" customHeight="1">
      <c r="A629" s="40" t="s">
        <v>2514</v>
      </c>
      <c r="B629" s="109">
        <v>3020.0</v>
      </c>
      <c r="C629" s="109"/>
      <c r="D629" s="110" t="s">
        <v>44</v>
      </c>
      <c r="E629" s="110" t="s">
        <v>2472</v>
      </c>
      <c r="F629" s="109">
        <v>3.0</v>
      </c>
      <c r="G629" s="111">
        <v>1201.99</v>
      </c>
      <c r="H629" s="112" t="s">
        <v>180</v>
      </c>
      <c r="I629" s="40">
        <v>45189.0</v>
      </c>
      <c r="J629" s="109">
        <v>2242.0</v>
      </c>
      <c r="K629" s="109">
        <v>4.501801847E9</v>
      </c>
      <c r="L629" s="110" t="s">
        <v>2469</v>
      </c>
      <c r="M629" s="40" t="s">
        <v>2516</v>
      </c>
      <c r="N629" s="110" t="s">
        <v>2517</v>
      </c>
      <c r="O629" s="109" t="s">
        <v>2550</v>
      </c>
      <c r="P629" s="9"/>
      <c r="Q629" s="9">
        <v>6.0</v>
      </c>
      <c r="R629" s="40" t="s">
        <v>2516</v>
      </c>
      <c r="S629" s="40" t="s">
        <v>2519</v>
      </c>
      <c r="T629" s="113" t="s">
        <v>2095</v>
      </c>
      <c r="U629" s="114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ht="35.25" customHeight="1">
      <c r="A630" s="40">
        <v>45188.0</v>
      </c>
      <c r="B630" s="109">
        <v>3021.0</v>
      </c>
      <c r="C630" s="109"/>
      <c r="D630" s="110" t="s">
        <v>2551</v>
      </c>
      <c r="E630" s="110" t="s">
        <v>2416</v>
      </c>
      <c r="F630" s="109">
        <v>1.0</v>
      </c>
      <c r="G630" s="111">
        <v>2986.71</v>
      </c>
      <c r="H630" s="110" t="s">
        <v>2036</v>
      </c>
      <c r="I630" s="40"/>
      <c r="J630" s="109"/>
      <c r="K630" s="109"/>
      <c r="L630" s="110"/>
      <c r="M630" s="40"/>
      <c r="N630" s="110"/>
      <c r="O630" s="109"/>
      <c r="P630" s="9"/>
      <c r="Q630" s="9"/>
      <c r="R630" s="40"/>
      <c r="S630" s="40"/>
      <c r="T630" s="113"/>
      <c r="U630" s="114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ht="35.25" customHeight="1">
      <c r="A631" s="40">
        <v>45188.0</v>
      </c>
      <c r="B631" s="109">
        <v>3023.0</v>
      </c>
      <c r="C631" s="109"/>
      <c r="D631" s="110" t="s">
        <v>1087</v>
      </c>
      <c r="E631" s="110" t="s">
        <v>2552</v>
      </c>
      <c r="F631" s="109">
        <v>1.0</v>
      </c>
      <c r="G631" s="111">
        <v>5494.52</v>
      </c>
      <c r="H631" s="110" t="s">
        <v>2036</v>
      </c>
      <c r="I631" s="40"/>
      <c r="J631" s="109"/>
      <c r="K631" s="109"/>
      <c r="L631" s="110"/>
      <c r="M631" s="40"/>
      <c r="N631" s="110"/>
      <c r="O631" s="109"/>
      <c r="P631" s="9"/>
      <c r="Q631" s="9"/>
      <c r="R631" s="40"/>
      <c r="S631" s="40"/>
      <c r="T631" s="113"/>
      <c r="U631" s="114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ht="35.25" customHeight="1">
      <c r="A632" s="40">
        <v>45188.0</v>
      </c>
      <c r="B632" s="109">
        <v>3023.0</v>
      </c>
      <c r="C632" s="109"/>
      <c r="D632" s="110" t="s">
        <v>1087</v>
      </c>
      <c r="E632" s="110" t="s">
        <v>2553</v>
      </c>
      <c r="F632" s="109">
        <v>1.0</v>
      </c>
      <c r="G632" s="111">
        <v>4296.27</v>
      </c>
      <c r="H632" s="110" t="s">
        <v>2036</v>
      </c>
      <c r="I632" s="40"/>
      <c r="J632" s="109"/>
      <c r="K632" s="109"/>
      <c r="L632" s="110"/>
      <c r="M632" s="40"/>
      <c r="N632" s="110"/>
      <c r="O632" s="109"/>
      <c r="P632" s="9"/>
      <c r="Q632" s="9"/>
      <c r="R632" s="40"/>
      <c r="S632" s="40"/>
      <c r="T632" s="113"/>
      <c r="U632" s="114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 ht="35.25" customHeight="1">
      <c r="A633" s="40">
        <v>45188.0</v>
      </c>
      <c r="B633" s="109">
        <v>3024.0</v>
      </c>
      <c r="C633" s="109"/>
      <c r="D633" s="110" t="s">
        <v>2554</v>
      </c>
      <c r="E633" s="110" t="s">
        <v>2555</v>
      </c>
      <c r="F633" s="109">
        <v>1.0</v>
      </c>
      <c r="G633" s="111">
        <v>8641.17</v>
      </c>
      <c r="H633" s="110" t="s">
        <v>2036</v>
      </c>
      <c r="I633" s="40"/>
      <c r="J633" s="109"/>
      <c r="K633" s="109"/>
      <c r="L633" s="110"/>
      <c r="M633" s="40"/>
      <c r="N633" s="110"/>
      <c r="O633" s="109"/>
      <c r="P633" s="9"/>
      <c r="Q633" s="9"/>
      <c r="R633" s="40"/>
      <c r="S633" s="40"/>
      <c r="T633" s="113"/>
      <c r="U633" s="114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ht="35.25" customHeight="1">
      <c r="A634" s="40">
        <v>45188.0</v>
      </c>
      <c r="B634" s="109">
        <v>3024.0</v>
      </c>
      <c r="C634" s="109"/>
      <c r="D634" s="110" t="s">
        <v>2554</v>
      </c>
      <c r="E634" s="110" t="s">
        <v>2556</v>
      </c>
      <c r="F634" s="109">
        <v>1.0</v>
      </c>
      <c r="G634" s="111">
        <v>6254.69</v>
      </c>
      <c r="H634" s="110" t="s">
        <v>2036</v>
      </c>
      <c r="I634" s="40"/>
      <c r="J634" s="109"/>
      <c r="K634" s="109"/>
      <c r="L634" s="110"/>
      <c r="M634" s="40"/>
      <c r="N634" s="110"/>
      <c r="O634" s="109"/>
      <c r="P634" s="9"/>
      <c r="Q634" s="9"/>
      <c r="R634" s="40"/>
      <c r="S634" s="40"/>
      <c r="T634" s="113"/>
      <c r="U634" s="114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 ht="35.25" customHeight="1">
      <c r="A635" s="40">
        <v>45188.0</v>
      </c>
      <c r="B635" s="109">
        <v>3025.0</v>
      </c>
      <c r="C635" s="109"/>
      <c r="D635" s="110" t="s">
        <v>44</v>
      </c>
      <c r="E635" s="110" t="s">
        <v>2264</v>
      </c>
      <c r="F635" s="109">
        <v>50.0</v>
      </c>
      <c r="G635" s="111">
        <v>776.5</v>
      </c>
      <c r="H635" s="110" t="s">
        <v>2036</v>
      </c>
      <c r="I635" s="40"/>
      <c r="J635" s="109"/>
      <c r="K635" s="109"/>
      <c r="L635" s="110"/>
      <c r="M635" s="40"/>
      <c r="N635" s="110"/>
      <c r="O635" s="109"/>
      <c r="P635" s="9"/>
      <c r="Q635" s="9"/>
      <c r="R635" s="40"/>
      <c r="S635" s="40"/>
      <c r="T635" s="113"/>
      <c r="U635" s="114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ht="35.25" customHeight="1">
      <c r="A636" s="40" t="s">
        <v>2514</v>
      </c>
      <c r="B636" s="109">
        <v>3026.0</v>
      </c>
      <c r="C636" s="109"/>
      <c r="D636" s="110" t="s">
        <v>44</v>
      </c>
      <c r="E636" s="110" t="s">
        <v>2265</v>
      </c>
      <c r="F636" s="109">
        <v>98.0</v>
      </c>
      <c r="G636" s="111">
        <v>3267.69</v>
      </c>
      <c r="H636" s="112" t="s">
        <v>180</v>
      </c>
      <c r="I636" s="40">
        <v>45026.0</v>
      </c>
      <c r="J636" s="109">
        <v>2269.0</v>
      </c>
      <c r="K636" s="109">
        <v>4.501808117E9</v>
      </c>
      <c r="L636" s="110" t="s">
        <v>2557</v>
      </c>
      <c r="M636" s="40">
        <v>45056.0</v>
      </c>
      <c r="N636" s="110" t="s">
        <v>2534</v>
      </c>
      <c r="O636" s="109">
        <v>4.501808117E9</v>
      </c>
      <c r="P636" s="9"/>
      <c r="Q636" s="9">
        <v>23.0</v>
      </c>
      <c r="R636" s="40">
        <v>45204.0</v>
      </c>
      <c r="S636" s="40">
        <v>45204.0</v>
      </c>
      <c r="T636" s="113" t="s">
        <v>2095</v>
      </c>
      <c r="U636" s="114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 ht="35.25" customHeight="1">
      <c r="A637" s="40">
        <v>45188.0</v>
      </c>
      <c r="B637" s="109">
        <v>3027.0</v>
      </c>
      <c r="C637" s="109"/>
      <c r="D637" s="110" t="s">
        <v>44</v>
      </c>
      <c r="E637" s="110" t="s">
        <v>2558</v>
      </c>
      <c r="F637" s="109">
        <v>1.0</v>
      </c>
      <c r="G637" s="111">
        <v>200.0</v>
      </c>
      <c r="H637" s="110" t="s">
        <v>2036</v>
      </c>
      <c r="I637" s="40"/>
      <c r="J637" s="109"/>
      <c r="K637" s="109"/>
      <c r="L637" s="110"/>
      <c r="M637" s="40"/>
      <c r="N637" s="110"/>
      <c r="O637" s="109"/>
      <c r="P637" s="9"/>
      <c r="Q637" s="9"/>
      <c r="R637" s="40"/>
      <c r="S637" s="40"/>
      <c r="T637" s="113"/>
      <c r="U637" s="114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ht="35.25" customHeight="1">
      <c r="A638" s="40" t="s">
        <v>2514</v>
      </c>
      <c r="B638" s="109">
        <v>3028.0</v>
      </c>
      <c r="C638" s="109"/>
      <c r="D638" s="110" t="s">
        <v>19</v>
      </c>
      <c r="E638" s="110" t="s">
        <v>2370</v>
      </c>
      <c r="F638" s="109">
        <v>1.0</v>
      </c>
      <c r="G638" s="111">
        <v>15.2</v>
      </c>
      <c r="H638" s="112" t="s">
        <v>180</v>
      </c>
      <c r="I638" s="40" t="s">
        <v>2559</v>
      </c>
      <c r="J638" s="109">
        <v>2246.0</v>
      </c>
      <c r="K638" s="109">
        <v>4.500446219E9</v>
      </c>
      <c r="L638" s="110"/>
      <c r="M638" s="40"/>
      <c r="N638" s="110"/>
      <c r="O638" s="109"/>
      <c r="P638" s="9"/>
      <c r="Q638" s="9"/>
      <c r="R638" s="40"/>
      <c r="S638" s="40"/>
      <c r="T638" s="113"/>
      <c r="U638" s="114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 ht="35.25" customHeight="1">
      <c r="A639" s="40" t="s">
        <v>2514</v>
      </c>
      <c r="B639" s="109">
        <v>3029.0</v>
      </c>
      <c r="C639" s="109"/>
      <c r="D639" s="110" t="s">
        <v>19</v>
      </c>
      <c r="E639" s="110" t="s">
        <v>2049</v>
      </c>
      <c r="F639" s="109">
        <v>2.0</v>
      </c>
      <c r="G639" s="111">
        <v>2598.72</v>
      </c>
      <c r="H639" s="112" t="s">
        <v>180</v>
      </c>
      <c r="I639" s="40" t="s">
        <v>2559</v>
      </c>
      <c r="J639" s="109">
        <v>2245.0</v>
      </c>
      <c r="K639" s="109">
        <v>4.500446416E9</v>
      </c>
      <c r="L639" s="110"/>
      <c r="M639" s="40"/>
      <c r="N639" s="110"/>
      <c r="O639" s="109"/>
      <c r="P639" s="9"/>
      <c r="Q639" s="9"/>
      <c r="R639" s="40"/>
      <c r="S639" s="40"/>
      <c r="T639" s="113"/>
      <c r="U639" s="114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ht="35.25" customHeight="1">
      <c r="A640" s="40" t="s">
        <v>2514</v>
      </c>
      <c r="B640" s="109">
        <v>3030.0</v>
      </c>
      <c r="C640" s="109"/>
      <c r="D640" s="110" t="s">
        <v>19</v>
      </c>
      <c r="E640" s="110" t="s">
        <v>2049</v>
      </c>
      <c r="F640" s="109">
        <v>1.0</v>
      </c>
      <c r="G640" s="111">
        <v>3898.08</v>
      </c>
      <c r="H640" s="112" t="s">
        <v>180</v>
      </c>
      <c r="I640" s="40">
        <v>44995.0</v>
      </c>
      <c r="J640" s="109">
        <v>2265.0</v>
      </c>
      <c r="K640" s="109">
        <v>4.500447694E9</v>
      </c>
      <c r="L640" s="110" t="s">
        <v>2469</v>
      </c>
      <c r="M640" s="40">
        <v>45203.0</v>
      </c>
      <c r="N640" s="110" t="s">
        <v>2560</v>
      </c>
      <c r="O640" s="109"/>
      <c r="P640" s="9"/>
      <c r="Q640" s="9">
        <v>27.0</v>
      </c>
      <c r="R640" s="40"/>
      <c r="S640" s="40"/>
      <c r="T640" s="113" t="s">
        <v>2561</v>
      </c>
      <c r="U640" s="114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 ht="35.25" customHeight="1">
      <c r="A641" s="40" t="s">
        <v>2516</v>
      </c>
      <c r="B641" s="109">
        <v>3031.0</v>
      </c>
      <c r="C641" s="109"/>
      <c r="D641" s="110" t="s">
        <v>19</v>
      </c>
      <c r="E641" s="110" t="s">
        <v>2107</v>
      </c>
      <c r="F641" s="109">
        <v>140.0</v>
      </c>
      <c r="G641" s="111">
        <v>448.0</v>
      </c>
      <c r="H641" s="112" t="s">
        <v>180</v>
      </c>
      <c r="I641" s="40" t="s">
        <v>2516</v>
      </c>
      <c r="J641" s="109">
        <v>2247.0</v>
      </c>
      <c r="K641" s="109">
        <v>4.500446293E9</v>
      </c>
      <c r="L641" s="110"/>
      <c r="M641" s="40"/>
      <c r="N641" s="110"/>
      <c r="O641" s="109"/>
      <c r="P641" s="9"/>
      <c r="Q641" s="9"/>
      <c r="R641" s="40"/>
      <c r="S641" s="40"/>
      <c r="T641" s="113"/>
      <c r="U641" s="114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ht="35.25" customHeight="1">
      <c r="A642" s="40">
        <v>45189.0</v>
      </c>
      <c r="B642" s="109">
        <v>3032.0</v>
      </c>
      <c r="C642" s="109"/>
      <c r="D642" s="110" t="s">
        <v>2562</v>
      </c>
      <c r="E642" s="110" t="s">
        <v>2128</v>
      </c>
      <c r="F642" s="109">
        <v>1.0</v>
      </c>
      <c r="G642" s="111">
        <v>669.74</v>
      </c>
      <c r="H642" s="110" t="s">
        <v>2036</v>
      </c>
      <c r="I642" s="40"/>
      <c r="J642" s="109"/>
      <c r="K642" s="109"/>
      <c r="L642" s="110"/>
      <c r="M642" s="40"/>
      <c r="N642" s="110"/>
      <c r="O642" s="109"/>
      <c r="P642" s="9"/>
      <c r="Q642" s="9"/>
      <c r="R642" s="40"/>
      <c r="S642" s="40"/>
      <c r="T642" s="113"/>
      <c r="U642" s="114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 ht="35.25" customHeight="1">
      <c r="A643" s="40" t="s">
        <v>2563</v>
      </c>
      <c r="B643" s="109">
        <v>3033.0</v>
      </c>
      <c r="C643" s="109">
        <v>46.0</v>
      </c>
      <c r="D643" s="110" t="s">
        <v>44</v>
      </c>
      <c r="E643" s="110" t="s">
        <v>2564</v>
      </c>
      <c r="F643" s="109">
        <v>10.0</v>
      </c>
      <c r="G643" s="111">
        <v>366.6</v>
      </c>
      <c r="H643" s="112" t="s">
        <v>1560</v>
      </c>
      <c r="I643" s="40"/>
      <c r="J643" s="109"/>
      <c r="K643" s="109"/>
      <c r="L643" s="110"/>
      <c r="M643" s="40"/>
      <c r="N643" s="110"/>
      <c r="O643" s="109"/>
      <c r="P643" s="9"/>
      <c r="Q643" s="9"/>
      <c r="R643" s="40"/>
      <c r="S643" s="40"/>
      <c r="T643" s="113"/>
      <c r="U643" s="114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ht="35.25" customHeight="1">
      <c r="A644" s="40" t="s">
        <v>2516</v>
      </c>
      <c r="B644" s="109">
        <v>3034.0</v>
      </c>
      <c r="C644" s="109"/>
      <c r="D644" s="110" t="s">
        <v>188</v>
      </c>
      <c r="E644" s="110" t="s">
        <v>2565</v>
      </c>
      <c r="F644" s="109">
        <v>2.0</v>
      </c>
      <c r="G644" s="111">
        <v>30768.49</v>
      </c>
      <c r="H644" s="112" t="s">
        <v>180</v>
      </c>
      <c r="I644" s="40" t="s">
        <v>2540</v>
      </c>
      <c r="J644" s="109">
        <v>2261.0</v>
      </c>
      <c r="K644" s="109">
        <v>4.3466174E7</v>
      </c>
      <c r="L644" s="110"/>
      <c r="M644" s="40"/>
      <c r="N644" s="110"/>
      <c r="O644" s="109"/>
      <c r="P644" s="9"/>
      <c r="Q644" s="9"/>
      <c r="R644" s="40"/>
      <c r="S644" s="40"/>
      <c r="T644" s="113"/>
      <c r="U644" s="114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 ht="35.25" customHeight="1">
      <c r="A645" s="40" t="s">
        <v>2516</v>
      </c>
      <c r="B645" s="109">
        <v>3034.0</v>
      </c>
      <c r="C645" s="109"/>
      <c r="D645" s="110" t="s">
        <v>188</v>
      </c>
      <c r="E645" s="110" t="s">
        <v>2566</v>
      </c>
      <c r="F645" s="109">
        <v>80.0</v>
      </c>
      <c r="G645" s="111">
        <v>91014.52</v>
      </c>
      <c r="H645" s="112" t="s">
        <v>180</v>
      </c>
      <c r="I645" s="40" t="s">
        <v>2540</v>
      </c>
      <c r="J645" s="109">
        <v>2261.0</v>
      </c>
      <c r="K645" s="109">
        <v>4.3466174E7</v>
      </c>
      <c r="L645" s="110"/>
      <c r="M645" s="40"/>
      <c r="N645" s="110"/>
      <c r="O645" s="109"/>
      <c r="P645" s="9"/>
      <c r="Q645" s="9"/>
      <c r="R645" s="40"/>
      <c r="S645" s="40"/>
      <c r="T645" s="113"/>
      <c r="U645" s="114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ht="35.25" customHeight="1">
      <c r="A646" s="40" t="s">
        <v>2516</v>
      </c>
      <c r="B646" s="109">
        <v>3034.0</v>
      </c>
      <c r="C646" s="109"/>
      <c r="D646" s="110" t="s">
        <v>188</v>
      </c>
      <c r="E646" s="110" t="s">
        <v>2567</v>
      </c>
      <c r="F646" s="109">
        <v>1.0</v>
      </c>
      <c r="G646" s="111">
        <v>85469.43</v>
      </c>
      <c r="H646" s="112" t="s">
        <v>180</v>
      </c>
      <c r="I646" s="40" t="s">
        <v>2540</v>
      </c>
      <c r="J646" s="109">
        <v>2261.0</v>
      </c>
      <c r="K646" s="109">
        <v>4.3466174E7</v>
      </c>
      <c r="L646" s="110"/>
      <c r="M646" s="40"/>
      <c r="N646" s="110"/>
      <c r="O646" s="109"/>
      <c r="P646" s="9"/>
      <c r="Q646" s="9"/>
      <c r="R646" s="40"/>
      <c r="S646" s="40"/>
      <c r="T646" s="113"/>
      <c r="U646" s="114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 ht="35.25" customHeight="1">
      <c r="A647" s="40" t="s">
        <v>2516</v>
      </c>
      <c r="B647" s="109">
        <v>3034.0</v>
      </c>
      <c r="C647" s="109"/>
      <c r="D647" s="110" t="s">
        <v>188</v>
      </c>
      <c r="E647" s="110" t="s">
        <v>2568</v>
      </c>
      <c r="F647" s="109">
        <v>1.0</v>
      </c>
      <c r="G647" s="111">
        <v>58491.15</v>
      </c>
      <c r="H647" s="112" t="s">
        <v>180</v>
      </c>
      <c r="I647" s="40" t="s">
        <v>2540</v>
      </c>
      <c r="J647" s="109">
        <v>2261.0</v>
      </c>
      <c r="K647" s="109">
        <v>4.3466174E7</v>
      </c>
      <c r="L647" s="110"/>
      <c r="M647" s="40"/>
      <c r="N647" s="110"/>
      <c r="O647" s="109"/>
      <c r="P647" s="9"/>
      <c r="Q647" s="9"/>
      <c r="R647" s="40"/>
      <c r="S647" s="40"/>
      <c r="T647" s="113"/>
      <c r="U647" s="114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ht="35.25" customHeight="1">
      <c r="A648" s="40">
        <v>45190.0</v>
      </c>
      <c r="B648" s="109">
        <v>3036.0</v>
      </c>
      <c r="C648" s="109"/>
      <c r="D648" s="110" t="s">
        <v>2569</v>
      </c>
      <c r="E648" s="110" t="s">
        <v>2570</v>
      </c>
      <c r="F648" s="109">
        <v>1.0</v>
      </c>
      <c r="G648" s="111">
        <v>35315.53</v>
      </c>
      <c r="H648" s="110" t="s">
        <v>2036</v>
      </c>
      <c r="I648" s="40"/>
      <c r="J648" s="109"/>
      <c r="K648" s="109"/>
      <c r="L648" s="110"/>
      <c r="M648" s="40"/>
      <c r="N648" s="110"/>
      <c r="O648" s="109"/>
      <c r="P648" s="9"/>
      <c r="Q648" s="9"/>
      <c r="R648" s="40"/>
      <c r="S648" s="40"/>
      <c r="T648" s="113"/>
      <c r="U648" s="114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 ht="35.25" customHeight="1">
      <c r="A649" s="40">
        <v>45190.0</v>
      </c>
      <c r="B649" s="109">
        <v>3036.0</v>
      </c>
      <c r="C649" s="109"/>
      <c r="D649" s="110" t="s">
        <v>2569</v>
      </c>
      <c r="E649" s="110" t="s">
        <v>2571</v>
      </c>
      <c r="F649" s="109">
        <v>1.0</v>
      </c>
      <c r="G649" s="111">
        <v>1702.02</v>
      </c>
      <c r="H649" s="110" t="s">
        <v>2036</v>
      </c>
      <c r="I649" s="40"/>
      <c r="J649" s="109"/>
      <c r="K649" s="109"/>
      <c r="L649" s="110"/>
      <c r="M649" s="40"/>
      <c r="N649" s="110"/>
      <c r="O649" s="109"/>
      <c r="P649" s="9"/>
      <c r="Q649" s="9"/>
      <c r="R649" s="40"/>
      <c r="S649" s="40"/>
      <c r="T649" s="113"/>
      <c r="U649" s="114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ht="35.25" customHeight="1">
      <c r="A650" s="40">
        <v>45190.0</v>
      </c>
      <c r="B650" s="109">
        <v>3036.0</v>
      </c>
      <c r="C650" s="109"/>
      <c r="D650" s="110" t="s">
        <v>2569</v>
      </c>
      <c r="E650" s="110" t="s">
        <v>2572</v>
      </c>
      <c r="F650" s="109">
        <v>1.0</v>
      </c>
      <c r="G650" s="111">
        <v>6522.45</v>
      </c>
      <c r="H650" s="110" t="s">
        <v>2036</v>
      </c>
      <c r="I650" s="40"/>
      <c r="J650" s="109"/>
      <c r="K650" s="109"/>
      <c r="L650" s="110"/>
      <c r="M650" s="40"/>
      <c r="N650" s="110"/>
      <c r="O650" s="109"/>
      <c r="P650" s="9"/>
      <c r="Q650" s="9"/>
      <c r="R650" s="40"/>
      <c r="S650" s="40"/>
      <c r="T650" s="113"/>
      <c r="U650" s="114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 ht="35.25" customHeight="1">
      <c r="A651" s="40">
        <v>45190.0</v>
      </c>
      <c r="B651" s="109">
        <v>3036.0</v>
      </c>
      <c r="C651" s="109"/>
      <c r="D651" s="110" t="s">
        <v>2569</v>
      </c>
      <c r="E651" s="110" t="s">
        <v>2573</v>
      </c>
      <c r="F651" s="109">
        <v>1.0</v>
      </c>
      <c r="G651" s="111">
        <v>4322.7</v>
      </c>
      <c r="H651" s="110" t="s">
        <v>2036</v>
      </c>
      <c r="I651" s="40"/>
      <c r="J651" s="109"/>
      <c r="K651" s="109"/>
      <c r="L651" s="110"/>
      <c r="M651" s="40"/>
      <c r="N651" s="110"/>
      <c r="O651" s="109"/>
      <c r="P651" s="9"/>
      <c r="Q651" s="9"/>
      <c r="R651" s="40"/>
      <c r="S651" s="40"/>
      <c r="T651" s="113"/>
      <c r="U651" s="114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ht="35.25" customHeight="1">
      <c r="A652" s="40">
        <v>45190.0</v>
      </c>
      <c r="B652" s="109">
        <v>3040.0</v>
      </c>
      <c r="C652" s="109"/>
      <c r="D652" s="110" t="s">
        <v>188</v>
      </c>
      <c r="E652" s="110" t="s">
        <v>2574</v>
      </c>
      <c r="F652" s="109">
        <v>6.0</v>
      </c>
      <c r="G652" s="111">
        <v>4399.06</v>
      </c>
      <c r="H652" s="110" t="s">
        <v>2036</v>
      </c>
      <c r="I652" s="40"/>
      <c r="J652" s="109"/>
      <c r="K652" s="109"/>
      <c r="L652" s="110"/>
      <c r="M652" s="40"/>
      <c r="N652" s="110"/>
      <c r="O652" s="109"/>
      <c r="P652" s="9"/>
      <c r="Q652" s="9"/>
      <c r="R652" s="40"/>
      <c r="S652" s="40"/>
      <c r="T652" s="113"/>
      <c r="U652" s="114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 ht="35.25" customHeight="1">
      <c r="A653" s="40">
        <v>45190.0</v>
      </c>
      <c r="B653" s="109">
        <v>3040.0</v>
      </c>
      <c r="C653" s="109"/>
      <c r="D653" s="110" t="s">
        <v>188</v>
      </c>
      <c r="E653" s="110" t="s">
        <v>2575</v>
      </c>
      <c r="F653" s="109">
        <v>400.0</v>
      </c>
      <c r="G653" s="111">
        <v>62204.8</v>
      </c>
      <c r="H653" s="110" t="s">
        <v>2036</v>
      </c>
      <c r="I653" s="40"/>
      <c r="J653" s="109"/>
      <c r="K653" s="109"/>
      <c r="L653" s="110"/>
      <c r="M653" s="40"/>
      <c r="N653" s="110"/>
      <c r="O653" s="109"/>
      <c r="P653" s="9"/>
      <c r="Q653" s="9"/>
      <c r="R653" s="40"/>
      <c r="S653" s="40"/>
      <c r="T653" s="113"/>
      <c r="U653" s="114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ht="35.25" customHeight="1">
      <c r="A654" s="40">
        <v>45190.0</v>
      </c>
      <c r="B654" s="109">
        <v>3040.0</v>
      </c>
      <c r="C654" s="109"/>
      <c r="D654" s="110" t="s">
        <v>188</v>
      </c>
      <c r="E654" s="110" t="s">
        <v>2576</v>
      </c>
      <c r="F654" s="109">
        <v>1.0</v>
      </c>
      <c r="G654" s="111">
        <v>1492.53</v>
      </c>
      <c r="H654" s="110" t="s">
        <v>2036</v>
      </c>
      <c r="I654" s="40"/>
      <c r="J654" s="109"/>
      <c r="K654" s="109"/>
      <c r="L654" s="110"/>
      <c r="M654" s="40"/>
      <c r="N654" s="110"/>
      <c r="O654" s="109"/>
      <c r="P654" s="9"/>
      <c r="Q654" s="9"/>
      <c r="R654" s="40"/>
      <c r="S654" s="40"/>
      <c r="T654" s="113"/>
      <c r="U654" s="114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 ht="35.25" customHeight="1">
      <c r="A655" s="40">
        <v>45190.0</v>
      </c>
      <c r="B655" s="109">
        <v>3040.0</v>
      </c>
      <c r="C655" s="109"/>
      <c r="D655" s="110" t="s">
        <v>188</v>
      </c>
      <c r="E655" s="110" t="s">
        <v>2577</v>
      </c>
      <c r="F655" s="109">
        <v>200.0</v>
      </c>
      <c r="G655" s="111">
        <v>37690.5</v>
      </c>
      <c r="H655" s="110" t="s">
        <v>2036</v>
      </c>
      <c r="I655" s="40"/>
      <c r="J655" s="109"/>
      <c r="K655" s="109"/>
      <c r="L655" s="110"/>
      <c r="M655" s="40"/>
      <c r="N655" s="110"/>
      <c r="O655" s="109"/>
      <c r="P655" s="9"/>
      <c r="Q655" s="9"/>
      <c r="R655" s="40"/>
      <c r="S655" s="40"/>
      <c r="T655" s="113"/>
      <c r="U655" s="114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ht="35.25" customHeight="1">
      <c r="A656" s="40">
        <v>45190.0</v>
      </c>
      <c r="B656" s="109">
        <v>3040.0</v>
      </c>
      <c r="C656" s="109"/>
      <c r="D656" s="110" t="s">
        <v>188</v>
      </c>
      <c r="E656" s="110" t="s">
        <v>2578</v>
      </c>
      <c r="F656" s="109">
        <v>1.0</v>
      </c>
      <c r="G656" s="111">
        <v>3927.74</v>
      </c>
      <c r="H656" s="110" t="s">
        <v>2036</v>
      </c>
      <c r="I656" s="40"/>
      <c r="J656" s="109"/>
      <c r="K656" s="109"/>
      <c r="L656" s="110"/>
      <c r="M656" s="40"/>
      <c r="N656" s="110"/>
      <c r="O656" s="109"/>
      <c r="P656" s="9"/>
      <c r="Q656" s="9"/>
      <c r="R656" s="40"/>
      <c r="S656" s="40"/>
      <c r="T656" s="113"/>
      <c r="U656" s="114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 ht="35.25" customHeight="1">
      <c r="A657" s="40">
        <v>45190.0</v>
      </c>
      <c r="B657" s="109">
        <v>3040.0</v>
      </c>
      <c r="C657" s="109"/>
      <c r="D657" s="110" t="s">
        <v>188</v>
      </c>
      <c r="E657" s="110" t="s">
        <v>2579</v>
      </c>
      <c r="F657" s="109">
        <v>1.0</v>
      </c>
      <c r="G657" s="111">
        <v>5236.95</v>
      </c>
      <c r="H657" s="110" t="s">
        <v>2036</v>
      </c>
      <c r="I657" s="40"/>
      <c r="J657" s="109"/>
      <c r="K657" s="109"/>
      <c r="L657" s="110"/>
      <c r="M657" s="40"/>
      <c r="N657" s="110"/>
      <c r="O657" s="109"/>
      <c r="P657" s="9"/>
      <c r="Q657" s="9"/>
      <c r="R657" s="40"/>
      <c r="S657" s="40"/>
      <c r="T657" s="113"/>
      <c r="U657" s="114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ht="35.25" customHeight="1">
      <c r="A658" s="40" t="s">
        <v>2519</v>
      </c>
      <c r="B658" s="109">
        <v>3041.0</v>
      </c>
      <c r="C658" s="109"/>
      <c r="D658" s="110" t="s">
        <v>19</v>
      </c>
      <c r="E658" s="110" t="s">
        <v>2201</v>
      </c>
      <c r="F658" s="109">
        <v>240.0</v>
      </c>
      <c r="G658" s="111">
        <v>840.0</v>
      </c>
      <c r="H658" s="112" t="s">
        <v>180</v>
      </c>
      <c r="I658" s="40">
        <v>44967.0</v>
      </c>
      <c r="J658" s="109">
        <v>2263.0</v>
      </c>
      <c r="K658" s="109"/>
      <c r="L658" s="110" t="s">
        <v>2469</v>
      </c>
      <c r="M658" s="40" t="s">
        <v>2563</v>
      </c>
      <c r="N658" s="110" t="s">
        <v>2560</v>
      </c>
      <c r="O658" s="109"/>
      <c r="P658" s="9"/>
      <c r="Q658" s="9">
        <v>15.0</v>
      </c>
      <c r="R658" s="40">
        <v>45025.0</v>
      </c>
      <c r="S658" s="40">
        <v>45025.0</v>
      </c>
      <c r="T658" s="113" t="s">
        <v>2095</v>
      </c>
      <c r="U658" s="114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ht="35.25" customHeight="1">
      <c r="A659" s="40">
        <v>45197.0</v>
      </c>
      <c r="B659" s="109">
        <v>3045.0</v>
      </c>
      <c r="C659" s="109"/>
      <c r="D659" s="110" t="s">
        <v>44</v>
      </c>
      <c r="E659" s="110" t="s">
        <v>2580</v>
      </c>
      <c r="F659" s="109">
        <v>10.0</v>
      </c>
      <c r="G659" s="111">
        <v>13921.9</v>
      </c>
      <c r="H659" s="110" t="s">
        <v>2036</v>
      </c>
      <c r="I659" s="40"/>
      <c r="J659" s="109"/>
      <c r="K659" s="109"/>
      <c r="L659" s="110"/>
      <c r="M659" s="40"/>
      <c r="N659" s="110"/>
      <c r="O659" s="109"/>
      <c r="P659" s="9"/>
      <c r="Q659" s="9"/>
      <c r="R659" s="40"/>
      <c r="S659" s="40"/>
      <c r="T659" s="113"/>
      <c r="U659" s="114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ht="35.25" customHeight="1">
      <c r="A660" s="40" t="s">
        <v>2540</v>
      </c>
      <c r="B660" s="109">
        <v>3046.0</v>
      </c>
      <c r="C660" s="109"/>
      <c r="D660" s="110" t="s">
        <v>188</v>
      </c>
      <c r="E660" s="110" t="s">
        <v>2416</v>
      </c>
      <c r="F660" s="109">
        <v>1.0</v>
      </c>
      <c r="G660" s="111">
        <v>998.42</v>
      </c>
      <c r="H660" s="112" t="s">
        <v>180</v>
      </c>
      <c r="I660" s="40">
        <v>45056.0</v>
      </c>
      <c r="J660" s="109">
        <v>2270.0</v>
      </c>
      <c r="K660" s="109">
        <v>4.400628696E9</v>
      </c>
      <c r="L660" s="113">
        <v>45200.0</v>
      </c>
      <c r="M660" s="40">
        <v>45204.0</v>
      </c>
      <c r="N660" s="110" t="s">
        <v>2517</v>
      </c>
      <c r="O660" s="109" t="s">
        <v>2581</v>
      </c>
      <c r="P660" s="9"/>
      <c r="Q660" s="9">
        <v>28.0</v>
      </c>
      <c r="R660" s="40"/>
      <c r="S660" s="40"/>
      <c r="T660" s="113" t="s">
        <v>2095</v>
      </c>
      <c r="U660" s="114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 ht="35.25" customHeight="1">
      <c r="A661" s="40" t="s">
        <v>2559</v>
      </c>
      <c r="B661" s="109">
        <v>3048.0</v>
      </c>
      <c r="C661" s="109"/>
      <c r="D661" s="110" t="s">
        <v>44</v>
      </c>
      <c r="E661" s="110" t="s">
        <v>2136</v>
      </c>
      <c r="F661" s="109">
        <v>39.0</v>
      </c>
      <c r="G661" s="111">
        <v>7494.06</v>
      </c>
      <c r="H661" s="112" t="s">
        <v>1560</v>
      </c>
      <c r="I661" s="40"/>
      <c r="J661" s="109"/>
      <c r="K661" s="109">
        <v>4.501813671E9</v>
      </c>
      <c r="L661" s="110"/>
      <c r="M661" s="40"/>
      <c r="N661" s="110"/>
      <c r="O661" s="109"/>
      <c r="P661" s="9"/>
      <c r="Q661" s="9"/>
      <c r="R661" s="40"/>
      <c r="S661" s="40"/>
      <c r="T661" s="113"/>
      <c r="U661" s="114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ht="35.25" customHeight="1">
      <c r="A662" s="40">
        <v>45087.0</v>
      </c>
      <c r="B662" s="109">
        <v>3049.0</v>
      </c>
      <c r="C662" s="109"/>
      <c r="D662" s="110" t="s">
        <v>44</v>
      </c>
      <c r="E662" s="110" t="s">
        <v>2156</v>
      </c>
      <c r="F662" s="109">
        <v>39.0</v>
      </c>
      <c r="G662" s="111">
        <v>2644.69</v>
      </c>
      <c r="H662" s="112" t="s">
        <v>167</v>
      </c>
      <c r="I662" s="40"/>
      <c r="J662" s="109"/>
      <c r="K662" s="109"/>
      <c r="L662" s="110"/>
      <c r="M662" s="40"/>
      <c r="N662" s="110"/>
      <c r="O662" s="109"/>
      <c r="P662" s="9"/>
      <c r="Q662" s="9"/>
      <c r="R662" s="40"/>
      <c r="S662" s="40"/>
      <c r="T662" s="113"/>
      <c r="U662" s="114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 ht="35.25" customHeight="1">
      <c r="A663" s="40">
        <v>45087.0</v>
      </c>
      <c r="B663" s="109">
        <v>3049.0</v>
      </c>
      <c r="C663" s="109"/>
      <c r="D663" s="110" t="s">
        <v>44</v>
      </c>
      <c r="E663" s="110" t="s">
        <v>2317</v>
      </c>
      <c r="F663" s="109">
        <v>1.0</v>
      </c>
      <c r="G663" s="111">
        <v>1549.6</v>
      </c>
      <c r="H663" s="112" t="s">
        <v>167</v>
      </c>
      <c r="I663" s="40"/>
      <c r="J663" s="109"/>
      <c r="K663" s="109"/>
      <c r="L663" s="110"/>
      <c r="M663" s="40"/>
      <c r="N663" s="110"/>
      <c r="O663" s="109"/>
      <c r="P663" s="9"/>
      <c r="Q663" s="9"/>
      <c r="R663" s="40"/>
      <c r="S663" s="40"/>
      <c r="T663" s="113"/>
      <c r="U663" s="114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ht="35.25" customHeight="1">
      <c r="A664" s="40">
        <v>45087.0</v>
      </c>
      <c r="B664" s="109">
        <v>3049.0</v>
      </c>
      <c r="C664" s="109">
        <v>288.0</v>
      </c>
      <c r="D664" s="110" t="s">
        <v>44</v>
      </c>
      <c r="E664" s="110" t="s">
        <v>2125</v>
      </c>
      <c r="F664" s="109">
        <v>48.0</v>
      </c>
      <c r="G664" s="111">
        <v>872.5</v>
      </c>
      <c r="H664" s="110" t="s">
        <v>180</v>
      </c>
      <c r="I664" s="40">
        <v>45205.0</v>
      </c>
      <c r="J664" s="109">
        <v>2276.0</v>
      </c>
      <c r="K664" s="109">
        <v>4.501813658E9</v>
      </c>
      <c r="L664" s="110" t="s">
        <v>2469</v>
      </c>
      <c r="M664" s="40">
        <v>45212.0</v>
      </c>
      <c r="N664" s="110" t="s">
        <v>2517</v>
      </c>
      <c r="O664" s="109" t="s">
        <v>2582</v>
      </c>
      <c r="P664" s="40">
        <v>45208.0</v>
      </c>
      <c r="Q664" s="9">
        <v>32.0</v>
      </c>
      <c r="R664" s="40">
        <v>45208.0</v>
      </c>
      <c r="S664" s="40" t="s">
        <v>2583</v>
      </c>
      <c r="T664" s="110" t="s">
        <v>2095</v>
      </c>
      <c r="U664" s="114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 ht="35.25" customHeight="1">
      <c r="A665" s="40">
        <v>45056.0</v>
      </c>
      <c r="B665" s="109">
        <v>3049.0</v>
      </c>
      <c r="C665" s="109"/>
      <c r="D665" s="110" t="s">
        <v>44</v>
      </c>
      <c r="E665" s="110" t="s">
        <v>2156</v>
      </c>
      <c r="F665" s="109">
        <v>39.0</v>
      </c>
      <c r="G665" s="111">
        <v>2644.69</v>
      </c>
      <c r="H665" s="112" t="s">
        <v>1560</v>
      </c>
      <c r="I665" s="40"/>
      <c r="J665" s="109"/>
      <c r="K665" s="109">
        <v>4.5001813658E10</v>
      </c>
      <c r="L665" s="110"/>
      <c r="M665" s="40"/>
      <c r="N665" s="110"/>
      <c r="O665" s="109"/>
      <c r="P665" s="9"/>
      <c r="Q665" s="9"/>
      <c r="R665" s="40"/>
      <c r="S665" s="40"/>
      <c r="T665" s="113"/>
      <c r="U665" s="114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ht="35.25" customHeight="1">
      <c r="A666" s="40">
        <v>45056.0</v>
      </c>
      <c r="B666" s="109">
        <v>3049.0</v>
      </c>
      <c r="C666" s="109"/>
      <c r="D666" s="110" t="s">
        <v>44</v>
      </c>
      <c r="E666" s="110" t="s">
        <v>2317</v>
      </c>
      <c r="F666" s="109">
        <v>1.0</v>
      </c>
      <c r="G666" s="111">
        <v>1559.0</v>
      </c>
      <c r="H666" s="112" t="s">
        <v>1560</v>
      </c>
      <c r="I666" s="40"/>
      <c r="J666" s="109"/>
      <c r="K666" s="109">
        <v>4.5001813658E10</v>
      </c>
      <c r="L666" s="110"/>
      <c r="M666" s="40"/>
      <c r="N666" s="110"/>
      <c r="O666" s="109"/>
      <c r="P666" s="9"/>
      <c r="Q666" s="9"/>
      <c r="R666" s="40"/>
      <c r="S666" s="40"/>
      <c r="T666" s="113"/>
      <c r="U666" s="114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 ht="35.25" customHeight="1">
      <c r="A667" s="40">
        <v>45194.0</v>
      </c>
      <c r="B667" s="109">
        <v>3050.0</v>
      </c>
      <c r="C667" s="109"/>
      <c r="D667" s="110" t="s">
        <v>77</v>
      </c>
      <c r="E667" s="110" t="s">
        <v>2136</v>
      </c>
      <c r="F667" s="109">
        <v>50.0</v>
      </c>
      <c r="G667" s="111">
        <v>9570.23</v>
      </c>
      <c r="H667" s="110" t="s">
        <v>2036</v>
      </c>
      <c r="I667" s="40"/>
      <c r="J667" s="109"/>
      <c r="K667" s="109"/>
      <c r="L667" s="110"/>
      <c r="M667" s="40"/>
      <c r="N667" s="110"/>
      <c r="O667" s="109"/>
      <c r="P667" s="9"/>
      <c r="Q667" s="9"/>
      <c r="R667" s="40"/>
      <c r="S667" s="40"/>
      <c r="T667" s="113"/>
      <c r="U667" s="114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ht="35.25" customHeight="1">
      <c r="A668" s="40" t="s">
        <v>2559</v>
      </c>
      <c r="B668" s="109">
        <v>3053.0</v>
      </c>
      <c r="C668" s="109"/>
      <c r="D668" s="110" t="s">
        <v>19</v>
      </c>
      <c r="E668" s="110" t="s">
        <v>2370</v>
      </c>
      <c r="F668" s="109">
        <v>149.0</v>
      </c>
      <c r="G668" s="111">
        <v>2264.8</v>
      </c>
      <c r="H668" s="112" t="s">
        <v>1560</v>
      </c>
      <c r="I668" s="40" t="s">
        <v>2559</v>
      </c>
      <c r="J668" s="109">
        <v>2249.0</v>
      </c>
      <c r="K668" s="109">
        <v>4.500446219E9</v>
      </c>
      <c r="L668" s="110"/>
      <c r="M668" s="40"/>
      <c r="N668" s="110"/>
      <c r="O668" s="109"/>
      <c r="P668" s="9"/>
      <c r="Q668" s="9"/>
      <c r="R668" s="40"/>
      <c r="S668" s="40"/>
      <c r="T668" s="113"/>
      <c r="U668" s="114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 ht="35.25" customHeight="1">
      <c r="A669" s="40" t="s">
        <v>2563</v>
      </c>
      <c r="B669" s="109">
        <v>3055.0</v>
      </c>
      <c r="C669" s="109"/>
      <c r="D669" s="110" t="s">
        <v>188</v>
      </c>
      <c r="E669" s="110" t="s">
        <v>2367</v>
      </c>
      <c r="F669" s="109">
        <v>20.0</v>
      </c>
      <c r="G669" s="111">
        <v>596.0</v>
      </c>
      <c r="H669" s="112" t="s">
        <v>180</v>
      </c>
      <c r="I669" s="40">
        <v>44967.0</v>
      </c>
      <c r="J669" s="109">
        <v>2264.0</v>
      </c>
      <c r="K669" s="109">
        <v>4.40628057E8</v>
      </c>
      <c r="L669" s="110" t="s">
        <v>2469</v>
      </c>
      <c r="M669" s="40">
        <v>44967.0</v>
      </c>
      <c r="N669" s="110" t="s">
        <v>2517</v>
      </c>
      <c r="O669" s="109" t="s">
        <v>2584</v>
      </c>
      <c r="P669" s="9"/>
      <c r="Q669" s="9">
        <v>22.0</v>
      </c>
      <c r="R669" s="40" t="s">
        <v>2540</v>
      </c>
      <c r="S669" s="40" t="s">
        <v>2540</v>
      </c>
      <c r="T669" s="113" t="s">
        <v>2095</v>
      </c>
      <c r="U669" s="114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ht="35.25" customHeight="1">
      <c r="A670" s="40" t="s">
        <v>2466</v>
      </c>
      <c r="B670" s="109">
        <v>3058.0</v>
      </c>
      <c r="C670" s="109">
        <v>226834.0</v>
      </c>
      <c r="D670" s="110" t="s">
        <v>2562</v>
      </c>
      <c r="E670" s="110" t="s">
        <v>2585</v>
      </c>
      <c r="F670" s="109">
        <v>1.0</v>
      </c>
      <c r="G670" s="111">
        <v>442.01</v>
      </c>
      <c r="H670" s="112" t="s">
        <v>180</v>
      </c>
      <c r="I670" s="40" t="s">
        <v>2540</v>
      </c>
      <c r="J670" s="109">
        <v>2260.0</v>
      </c>
      <c r="K670" s="109" t="s">
        <v>2586</v>
      </c>
      <c r="L670" s="110" t="s">
        <v>2469</v>
      </c>
      <c r="M670" s="40" t="s">
        <v>2587</v>
      </c>
      <c r="N670" s="110" t="s">
        <v>2588</v>
      </c>
      <c r="O670" s="109">
        <v>17054.0</v>
      </c>
      <c r="P670" s="9"/>
      <c r="Q670" s="9">
        <v>20.0</v>
      </c>
      <c r="R670" s="40">
        <v>45026.0</v>
      </c>
      <c r="S670" s="40"/>
      <c r="T670" s="113" t="s">
        <v>2095</v>
      </c>
      <c r="U670" s="114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 ht="35.25" customHeight="1">
      <c r="A671" s="40" t="s">
        <v>2563</v>
      </c>
      <c r="B671" s="109">
        <v>3059.0</v>
      </c>
      <c r="C671" s="109"/>
      <c r="D671" s="110" t="s">
        <v>44</v>
      </c>
      <c r="E671" s="110" t="s">
        <v>2076</v>
      </c>
      <c r="F671" s="109">
        <v>1.0</v>
      </c>
      <c r="G671" s="111">
        <v>5593.65</v>
      </c>
      <c r="H671" s="112" t="s">
        <v>180</v>
      </c>
      <c r="I671" s="40" t="s">
        <v>2539</v>
      </c>
      <c r="J671" s="109">
        <v>2257.0</v>
      </c>
      <c r="K671" s="109">
        <v>4.501804606E9</v>
      </c>
      <c r="L671" s="110" t="s">
        <v>2469</v>
      </c>
      <c r="M671" s="40" t="s">
        <v>2540</v>
      </c>
      <c r="N671" s="110" t="s">
        <v>2517</v>
      </c>
      <c r="O671" s="109"/>
      <c r="P671" s="9"/>
      <c r="Q671" s="9">
        <v>21.0</v>
      </c>
      <c r="R671" s="40"/>
      <c r="S671" s="40"/>
      <c r="T671" s="113"/>
      <c r="U671" s="114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ht="35.25" customHeight="1">
      <c r="A672" s="40" t="s">
        <v>2563</v>
      </c>
      <c r="B672" s="109">
        <v>3059.0</v>
      </c>
      <c r="C672" s="109"/>
      <c r="D672" s="110" t="s">
        <v>44</v>
      </c>
      <c r="E672" s="110" t="s">
        <v>2522</v>
      </c>
      <c r="F672" s="109">
        <v>1.0</v>
      </c>
      <c r="G672" s="111">
        <v>292.7</v>
      </c>
      <c r="H672" s="112" t="s">
        <v>180</v>
      </c>
      <c r="I672" s="40" t="s">
        <v>2539</v>
      </c>
      <c r="J672" s="109">
        <v>2257.0</v>
      </c>
      <c r="K672" s="109">
        <v>4.501804606E9</v>
      </c>
      <c r="L672" s="110" t="s">
        <v>2469</v>
      </c>
      <c r="M672" s="40" t="s">
        <v>2540</v>
      </c>
      <c r="N672" s="110" t="s">
        <v>2517</v>
      </c>
      <c r="O672" s="109"/>
      <c r="P672" s="9"/>
      <c r="Q672" s="9">
        <v>21.0</v>
      </c>
      <c r="R672" s="40"/>
      <c r="S672" s="40"/>
      <c r="T672" s="113"/>
      <c r="U672" s="114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 ht="35.25" customHeight="1">
      <c r="A673" s="40" t="s">
        <v>2563</v>
      </c>
      <c r="B673" s="109">
        <v>3059.0</v>
      </c>
      <c r="C673" s="109"/>
      <c r="D673" s="110" t="s">
        <v>44</v>
      </c>
      <c r="E673" s="110" t="s">
        <v>2042</v>
      </c>
      <c r="F673" s="109">
        <v>1.0</v>
      </c>
      <c r="G673" s="111">
        <v>1206.89</v>
      </c>
      <c r="H673" s="112" t="s">
        <v>180</v>
      </c>
      <c r="I673" s="40" t="s">
        <v>2539</v>
      </c>
      <c r="J673" s="109">
        <v>2257.0</v>
      </c>
      <c r="K673" s="109">
        <v>4.501804606E9</v>
      </c>
      <c r="L673" s="110" t="s">
        <v>2469</v>
      </c>
      <c r="M673" s="40" t="s">
        <v>2540</v>
      </c>
      <c r="N673" s="110" t="s">
        <v>2517</v>
      </c>
      <c r="O673" s="109"/>
      <c r="P673" s="9"/>
      <c r="Q673" s="9">
        <v>21.0</v>
      </c>
      <c r="R673" s="40"/>
      <c r="S673" s="40"/>
      <c r="T673" s="113"/>
      <c r="U673" s="114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ht="35.25" customHeight="1">
      <c r="A674" s="40" t="s">
        <v>2563</v>
      </c>
      <c r="B674" s="109">
        <v>3059.0</v>
      </c>
      <c r="C674" s="109"/>
      <c r="D674" s="110" t="s">
        <v>44</v>
      </c>
      <c r="E674" s="110" t="s">
        <v>2509</v>
      </c>
      <c r="F674" s="109">
        <v>1.0</v>
      </c>
      <c r="G674" s="111">
        <v>565.47</v>
      </c>
      <c r="H674" s="112" t="s">
        <v>180</v>
      </c>
      <c r="I674" s="40" t="s">
        <v>2539</v>
      </c>
      <c r="J674" s="109">
        <v>2257.0</v>
      </c>
      <c r="K674" s="109">
        <v>4.501804606E9</v>
      </c>
      <c r="L674" s="110" t="s">
        <v>2469</v>
      </c>
      <c r="M674" s="40" t="s">
        <v>2540</v>
      </c>
      <c r="N674" s="110" t="s">
        <v>2517</v>
      </c>
      <c r="O674" s="109"/>
      <c r="P674" s="9"/>
      <c r="Q674" s="9">
        <v>21.0</v>
      </c>
      <c r="R674" s="40"/>
      <c r="S674" s="40"/>
      <c r="T674" s="113"/>
      <c r="U674" s="114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 ht="35.25" customHeight="1">
      <c r="A675" s="40" t="s">
        <v>2563</v>
      </c>
      <c r="B675" s="109">
        <v>3059.0</v>
      </c>
      <c r="C675" s="109"/>
      <c r="D675" s="110" t="s">
        <v>44</v>
      </c>
      <c r="E675" s="110" t="s">
        <v>2508</v>
      </c>
      <c r="F675" s="109">
        <v>1.0</v>
      </c>
      <c r="G675" s="111">
        <v>444.2</v>
      </c>
      <c r="H675" s="112" t="s">
        <v>180</v>
      </c>
      <c r="I675" s="40" t="s">
        <v>2539</v>
      </c>
      <c r="J675" s="109">
        <v>2257.0</v>
      </c>
      <c r="K675" s="109">
        <v>4.501804606E9</v>
      </c>
      <c r="L675" s="110" t="s">
        <v>2469</v>
      </c>
      <c r="M675" s="40" t="s">
        <v>2540</v>
      </c>
      <c r="N675" s="110" t="s">
        <v>2517</v>
      </c>
      <c r="O675" s="109"/>
      <c r="P675" s="9"/>
      <c r="Q675" s="9">
        <v>21.0</v>
      </c>
      <c r="R675" s="40"/>
      <c r="S675" s="40"/>
      <c r="T675" s="113"/>
      <c r="U675" s="114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ht="35.25" customHeight="1">
      <c r="A676" s="40" t="s">
        <v>2563</v>
      </c>
      <c r="B676" s="109">
        <v>3059.0</v>
      </c>
      <c r="C676" s="109"/>
      <c r="D676" s="110" t="s">
        <v>44</v>
      </c>
      <c r="E676" s="110" t="s">
        <v>2507</v>
      </c>
      <c r="F676" s="109">
        <v>1.0</v>
      </c>
      <c r="G676" s="111">
        <v>5637.88</v>
      </c>
      <c r="H676" s="112" t="s">
        <v>180</v>
      </c>
      <c r="I676" s="40" t="s">
        <v>2539</v>
      </c>
      <c r="J676" s="109">
        <v>2257.0</v>
      </c>
      <c r="K676" s="109">
        <v>4.501804606E9</v>
      </c>
      <c r="L676" s="110" t="s">
        <v>2469</v>
      </c>
      <c r="M676" s="40" t="s">
        <v>2540</v>
      </c>
      <c r="N676" s="110" t="s">
        <v>2517</v>
      </c>
      <c r="O676" s="109"/>
      <c r="P676" s="9"/>
      <c r="Q676" s="9">
        <v>21.0</v>
      </c>
      <c r="R676" s="40"/>
      <c r="S676" s="40"/>
      <c r="T676" s="113"/>
      <c r="U676" s="114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 ht="35.25" customHeight="1">
      <c r="A677" s="40">
        <v>45196.0</v>
      </c>
      <c r="B677" s="109">
        <v>3061.0</v>
      </c>
      <c r="C677" s="109"/>
      <c r="D677" s="110" t="s">
        <v>75</v>
      </c>
      <c r="E677" s="110" t="s">
        <v>2589</v>
      </c>
      <c r="F677" s="109">
        <v>2.0</v>
      </c>
      <c r="G677" s="111">
        <v>242.33</v>
      </c>
      <c r="H677" s="110" t="s">
        <v>2036</v>
      </c>
      <c r="I677" s="40"/>
      <c r="J677" s="109"/>
      <c r="K677" s="109"/>
      <c r="L677" s="110"/>
      <c r="M677" s="40"/>
      <c r="N677" s="110"/>
      <c r="O677" s="109"/>
      <c r="P677" s="9"/>
      <c r="Q677" s="9"/>
      <c r="R677" s="40"/>
      <c r="S677" s="40"/>
      <c r="T677" s="113"/>
      <c r="U677" s="114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ht="35.25" customHeight="1">
      <c r="A678" s="40">
        <v>45196.0</v>
      </c>
      <c r="B678" s="109">
        <v>3061.0</v>
      </c>
      <c r="C678" s="109"/>
      <c r="D678" s="110" t="s">
        <v>75</v>
      </c>
      <c r="E678" s="110" t="s">
        <v>2590</v>
      </c>
      <c r="F678" s="109">
        <v>20.0</v>
      </c>
      <c r="G678" s="111">
        <v>375.22</v>
      </c>
      <c r="H678" s="110" t="s">
        <v>2036</v>
      </c>
      <c r="I678" s="40"/>
      <c r="J678" s="109"/>
      <c r="K678" s="109"/>
      <c r="L678" s="110"/>
      <c r="M678" s="40"/>
      <c r="N678" s="110"/>
      <c r="O678" s="109"/>
      <c r="P678" s="9"/>
      <c r="Q678" s="9"/>
      <c r="R678" s="40"/>
      <c r="S678" s="40"/>
      <c r="T678" s="113"/>
      <c r="U678" s="114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 ht="35.25" customHeight="1">
      <c r="A679" s="40">
        <v>45198.0</v>
      </c>
      <c r="B679" s="109">
        <v>3070.0</v>
      </c>
      <c r="C679" s="109"/>
      <c r="D679" s="110" t="s">
        <v>2591</v>
      </c>
      <c r="E679" s="110" t="s">
        <v>2416</v>
      </c>
      <c r="F679" s="109">
        <v>1.0</v>
      </c>
      <c r="G679" s="111">
        <v>2947.84</v>
      </c>
      <c r="H679" s="110" t="s">
        <v>180</v>
      </c>
      <c r="I679" s="40">
        <v>45203.0</v>
      </c>
      <c r="J679" s="109">
        <v>2266.0</v>
      </c>
      <c r="K679" s="109">
        <v>4.708331783E9</v>
      </c>
      <c r="L679" s="110" t="s">
        <v>165</v>
      </c>
      <c r="M679" s="40" t="s">
        <v>165</v>
      </c>
      <c r="N679" s="110" t="s">
        <v>165</v>
      </c>
      <c r="O679" s="109" t="s">
        <v>165</v>
      </c>
      <c r="P679" s="9"/>
      <c r="Q679" s="9">
        <v>26.0</v>
      </c>
      <c r="R679" s="40">
        <v>45050.0</v>
      </c>
      <c r="S679" s="40">
        <v>45050.0</v>
      </c>
      <c r="T679" s="113" t="s">
        <v>2095</v>
      </c>
      <c r="U679" s="114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ht="35.25" customHeight="1">
      <c r="A680" s="40">
        <v>45206.0</v>
      </c>
      <c r="B680" s="109">
        <v>3073.0</v>
      </c>
      <c r="C680" s="109">
        <v>6809.0</v>
      </c>
      <c r="D680" s="110" t="s">
        <v>44</v>
      </c>
      <c r="E680" s="110" t="s">
        <v>1209</v>
      </c>
      <c r="F680" s="109">
        <v>4.0</v>
      </c>
      <c r="G680" s="111">
        <v>5084.12</v>
      </c>
      <c r="H680" s="112" t="s">
        <v>180</v>
      </c>
      <c r="I680" s="40">
        <v>45218.0</v>
      </c>
      <c r="J680" s="109">
        <v>2280.0</v>
      </c>
      <c r="K680" s="109">
        <v>4.501767554E9</v>
      </c>
      <c r="L680" s="110" t="s">
        <v>2469</v>
      </c>
      <c r="M680" s="40">
        <v>45222.0</v>
      </c>
      <c r="N680" s="110" t="s">
        <v>2534</v>
      </c>
      <c r="O680" s="9" t="s">
        <v>2592</v>
      </c>
      <c r="P680" s="40">
        <v>45222.0</v>
      </c>
      <c r="Q680" s="9">
        <v>35.0</v>
      </c>
      <c r="R680" s="40">
        <v>45222.0</v>
      </c>
      <c r="S680" s="40">
        <v>45222.0</v>
      </c>
      <c r="T680" s="113" t="s">
        <v>2095</v>
      </c>
      <c r="U680" s="114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 ht="35.25" customHeight="1">
      <c r="A681" s="40">
        <v>44995.0</v>
      </c>
      <c r="B681" s="109">
        <v>3075.0</v>
      </c>
      <c r="C681" s="109"/>
      <c r="D681" s="110" t="s">
        <v>2593</v>
      </c>
      <c r="E681" s="110" t="s">
        <v>2320</v>
      </c>
      <c r="F681" s="109">
        <v>2.0</v>
      </c>
      <c r="G681" s="111">
        <v>291.64</v>
      </c>
      <c r="H681" s="112" t="s">
        <v>180</v>
      </c>
      <c r="I681" s="40">
        <v>45026.0</v>
      </c>
      <c r="J681" s="109">
        <v>2268.0</v>
      </c>
      <c r="K681" s="109" t="s">
        <v>165</v>
      </c>
      <c r="L681" s="110" t="s">
        <v>165</v>
      </c>
      <c r="M681" s="40" t="s">
        <v>165</v>
      </c>
      <c r="N681" s="110" t="s">
        <v>165</v>
      </c>
      <c r="O681" s="109" t="s">
        <v>165</v>
      </c>
      <c r="P681" s="9"/>
      <c r="Q681" s="9">
        <v>30.0</v>
      </c>
      <c r="R681" s="40" t="s">
        <v>2594</v>
      </c>
      <c r="S681" s="40" t="s">
        <v>2594</v>
      </c>
      <c r="T681" s="113" t="s">
        <v>2095</v>
      </c>
      <c r="U681" s="114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ht="35.25" customHeight="1">
      <c r="A682" s="40">
        <v>45204.0</v>
      </c>
      <c r="B682" s="109">
        <v>3081.0</v>
      </c>
      <c r="C682" s="109"/>
      <c r="D682" s="110" t="s">
        <v>44</v>
      </c>
      <c r="E682" s="110" t="s">
        <v>2395</v>
      </c>
      <c r="F682" s="109">
        <v>1.0</v>
      </c>
      <c r="G682" s="111">
        <v>43381.07</v>
      </c>
      <c r="H682" s="112" t="s">
        <v>180</v>
      </c>
      <c r="I682" s="40">
        <v>45212.0</v>
      </c>
      <c r="J682" s="109">
        <v>2290.0</v>
      </c>
      <c r="K682" s="109">
        <v>4.501816205E9</v>
      </c>
      <c r="L682" s="40" t="s">
        <v>2469</v>
      </c>
      <c r="M682" s="40">
        <v>45219.0</v>
      </c>
      <c r="N682" s="110" t="s">
        <v>2534</v>
      </c>
      <c r="O682" s="109" t="s">
        <v>2595</v>
      </c>
      <c r="P682" s="9"/>
      <c r="Q682" s="9">
        <v>40.0</v>
      </c>
      <c r="R682" s="40">
        <v>45218.0</v>
      </c>
      <c r="S682" s="40">
        <v>45222.0</v>
      </c>
      <c r="T682" s="113" t="s">
        <v>2095</v>
      </c>
      <c r="U682" s="114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 ht="35.25" customHeight="1">
      <c r="A683" s="40">
        <v>45011.0</v>
      </c>
      <c r="B683" s="109">
        <v>3086.0</v>
      </c>
      <c r="C683" s="109">
        <v>352.0</v>
      </c>
      <c r="D683" s="110" t="s">
        <v>44</v>
      </c>
      <c r="E683" s="110" t="s">
        <v>2596</v>
      </c>
      <c r="F683" s="109">
        <v>20.0</v>
      </c>
      <c r="G683" s="111">
        <v>957.37</v>
      </c>
      <c r="H683" s="110" t="s">
        <v>180</v>
      </c>
      <c r="I683" s="40">
        <v>45131.0</v>
      </c>
      <c r="J683" s="109">
        <v>2275.0</v>
      </c>
      <c r="K683" s="109">
        <v>4.5017005205E10</v>
      </c>
      <c r="L683" s="110" t="s">
        <v>2469</v>
      </c>
      <c r="M683" s="40">
        <v>45212.0</v>
      </c>
      <c r="N683" s="110" t="s">
        <v>2517</v>
      </c>
      <c r="O683" s="109" t="s">
        <v>2597</v>
      </c>
      <c r="P683" s="40">
        <v>45208.0</v>
      </c>
      <c r="Q683" s="9">
        <v>33.0</v>
      </c>
      <c r="R683" s="40">
        <v>45208.0</v>
      </c>
      <c r="S683" s="40">
        <v>45222.0</v>
      </c>
      <c r="T683" s="110" t="s">
        <v>2095</v>
      </c>
      <c r="U683" s="114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ht="35.25" customHeight="1">
      <c r="A684" s="40">
        <v>45216.0</v>
      </c>
      <c r="B684" s="109">
        <v>3103.0</v>
      </c>
      <c r="C684" s="109"/>
      <c r="D684" s="110" t="s">
        <v>44</v>
      </c>
      <c r="E684" s="110" t="s">
        <v>2598</v>
      </c>
      <c r="F684" s="109">
        <v>1.0</v>
      </c>
      <c r="G684" s="111">
        <v>1443.55</v>
      </c>
      <c r="H684" s="112" t="s">
        <v>180</v>
      </c>
      <c r="I684" s="40">
        <v>45218.0</v>
      </c>
      <c r="J684" s="109">
        <v>2283.0</v>
      </c>
      <c r="K684" s="109">
        <v>4.501763334E9</v>
      </c>
      <c r="L684" s="110" t="s">
        <v>2469</v>
      </c>
      <c r="M684" s="40">
        <v>45218.0</v>
      </c>
      <c r="N684" s="110" t="s">
        <v>2534</v>
      </c>
      <c r="O684" s="109" t="s">
        <v>2599</v>
      </c>
      <c r="P684" s="9"/>
      <c r="Q684" s="9">
        <v>38.0</v>
      </c>
      <c r="R684" s="40">
        <v>45218.0</v>
      </c>
      <c r="S684" s="40">
        <v>45222.0</v>
      </c>
      <c r="T684" s="113" t="s">
        <v>2095</v>
      </c>
      <c r="U684" s="114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 ht="33.75" customHeight="1">
      <c r="A685" s="40">
        <v>45216.0</v>
      </c>
      <c r="B685" s="109">
        <v>3104.0</v>
      </c>
      <c r="C685" s="109"/>
      <c r="D685" s="110" t="s">
        <v>44</v>
      </c>
      <c r="E685" s="110" t="s">
        <v>2373</v>
      </c>
      <c r="F685" s="109">
        <v>1.0</v>
      </c>
      <c r="G685" s="111">
        <v>1489.43</v>
      </c>
      <c r="H685" s="112" t="s">
        <v>180</v>
      </c>
      <c r="I685" s="40">
        <v>45218.0</v>
      </c>
      <c r="J685" s="109">
        <v>2282.0</v>
      </c>
      <c r="K685" s="9">
        <v>4.501763433E9</v>
      </c>
      <c r="L685" s="110" t="s">
        <v>2469</v>
      </c>
      <c r="M685" s="40">
        <v>45218.0</v>
      </c>
      <c r="N685" s="110" t="s">
        <v>2534</v>
      </c>
      <c r="O685" s="9" t="s">
        <v>2600</v>
      </c>
      <c r="P685" s="9"/>
      <c r="Q685" s="9">
        <v>37.0</v>
      </c>
      <c r="R685" s="40">
        <v>45218.0</v>
      </c>
      <c r="S685" s="40">
        <v>45222.0</v>
      </c>
      <c r="T685" s="113" t="s">
        <v>2095</v>
      </c>
      <c r="U685" s="114"/>
      <c r="V685" s="9"/>
    </row>
    <row r="686" ht="35.25" customHeight="1">
      <c r="A686" s="40">
        <v>45216.0</v>
      </c>
      <c r="B686" s="109">
        <v>3105.0</v>
      </c>
      <c r="C686" s="109"/>
      <c r="D686" s="110" t="s">
        <v>44</v>
      </c>
      <c r="E686" s="110" t="s">
        <v>2601</v>
      </c>
      <c r="F686" s="109">
        <v>3.0</v>
      </c>
      <c r="G686" s="111">
        <v>4330.65</v>
      </c>
      <c r="H686" s="112" t="s">
        <v>180</v>
      </c>
      <c r="I686" s="40">
        <v>45218.0</v>
      </c>
      <c r="J686" s="109">
        <v>2284.0</v>
      </c>
      <c r="K686" s="109">
        <v>4.501753133E9</v>
      </c>
      <c r="L686" s="110" t="s">
        <v>2469</v>
      </c>
      <c r="M686" s="40">
        <v>45218.0</v>
      </c>
      <c r="N686" s="110" t="s">
        <v>2534</v>
      </c>
      <c r="O686" s="136" t="s">
        <v>2602</v>
      </c>
      <c r="P686" s="9"/>
      <c r="Q686" s="9">
        <v>39.0</v>
      </c>
      <c r="R686" s="40">
        <v>45218.0</v>
      </c>
      <c r="S686" s="40">
        <v>45222.0</v>
      </c>
      <c r="T686" s="113"/>
      <c r="U686" s="114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 ht="35.25" customHeight="1">
      <c r="A687" s="40">
        <v>45216.0</v>
      </c>
      <c r="B687" s="109">
        <v>3105.0</v>
      </c>
      <c r="C687" s="109"/>
      <c r="D687" s="110" t="s">
        <v>44</v>
      </c>
      <c r="E687" s="110" t="s">
        <v>2317</v>
      </c>
      <c r="F687" s="109">
        <v>2.0</v>
      </c>
      <c r="G687" s="111">
        <v>2974.82</v>
      </c>
      <c r="H687" s="112" t="s">
        <v>180</v>
      </c>
      <c r="I687" s="40">
        <v>45218.0</v>
      </c>
      <c r="J687" s="109">
        <v>2284.0</v>
      </c>
      <c r="K687" s="109">
        <v>4.501753133E9</v>
      </c>
      <c r="L687" s="110" t="s">
        <v>2469</v>
      </c>
      <c r="M687" s="40">
        <v>45218.0</v>
      </c>
      <c r="N687" s="110" t="s">
        <v>2534</v>
      </c>
      <c r="O687" s="136" t="s">
        <v>2602</v>
      </c>
      <c r="P687" s="9"/>
      <c r="Q687" s="9">
        <v>39.0</v>
      </c>
      <c r="R687" s="40">
        <v>45218.0</v>
      </c>
      <c r="S687" s="40">
        <v>45222.0</v>
      </c>
      <c r="T687" s="113"/>
      <c r="U687" s="114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ht="35.25" customHeight="1">
      <c r="A688" s="40">
        <v>44963.0</v>
      </c>
      <c r="B688" s="109" t="s">
        <v>2603</v>
      </c>
      <c r="C688" s="109"/>
      <c r="D688" s="110" t="s">
        <v>188</v>
      </c>
      <c r="E688" s="110" t="s">
        <v>2604</v>
      </c>
      <c r="F688" s="109">
        <v>80.0</v>
      </c>
      <c r="G688" s="111">
        <v>2042.74</v>
      </c>
      <c r="H688" s="112" t="s">
        <v>180</v>
      </c>
      <c r="I688" s="40">
        <v>44964.0</v>
      </c>
      <c r="J688" s="109">
        <v>2054.0</v>
      </c>
      <c r="K688" s="109">
        <v>4.400584035E9</v>
      </c>
      <c r="L688" s="110"/>
      <c r="M688" s="40"/>
      <c r="N688" s="110"/>
      <c r="O688" s="109"/>
      <c r="P688" s="9"/>
      <c r="Q688" s="9"/>
      <c r="R688" s="40"/>
      <c r="S688" s="40"/>
      <c r="T688" s="113"/>
      <c r="U688" s="114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 ht="35.25" customHeight="1">
      <c r="A689" s="40">
        <v>44965.0</v>
      </c>
      <c r="B689" s="109" t="s">
        <v>2605</v>
      </c>
      <c r="C689" s="109"/>
      <c r="D689" s="110" t="s">
        <v>19</v>
      </c>
      <c r="E689" s="110" t="s">
        <v>487</v>
      </c>
      <c r="F689" s="109">
        <v>200.0</v>
      </c>
      <c r="G689" s="111">
        <v>7416.62</v>
      </c>
      <c r="H689" s="112" t="s">
        <v>180</v>
      </c>
      <c r="I689" s="40">
        <v>45035.0</v>
      </c>
      <c r="J689" s="109">
        <v>2085.0</v>
      </c>
      <c r="K689" s="109">
        <v>4.500423264E9</v>
      </c>
      <c r="L689" s="110"/>
      <c r="M689" s="40"/>
      <c r="N689" s="110"/>
      <c r="O689" s="109"/>
      <c r="P689" s="9"/>
      <c r="Q689" s="9"/>
      <c r="R689" s="40"/>
      <c r="S689" s="40"/>
      <c r="T689" s="113"/>
      <c r="U689" s="114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ht="35.25" customHeight="1">
      <c r="A690" s="40">
        <v>44994.0</v>
      </c>
      <c r="B690" s="109" t="s">
        <v>2606</v>
      </c>
      <c r="C690" s="109"/>
      <c r="D690" s="110" t="s">
        <v>188</v>
      </c>
      <c r="E690" s="110" t="s">
        <v>2607</v>
      </c>
      <c r="F690" s="109">
        <v>5.0</v>
      </c>
      <c r="G690" s="111">
        <v>583.07</v>
      </c>
      <c r="H690" s="112" t="str">
        <f t="shared" ref="H690:H697" si="11">IF($J690&lt;&gt;"","FATURADO",IF($K690&lt;&gt;"","GANHOU"," "))</f>
        <v>FATURADO</v>
      </c>
      <c r="I690" s="40">
        <v>45129.0</v>
      </c>
      <c r="J690" s="109">
        <v>2153.0</v>
      </c>
      <c r="K690" s="109">
        <v>4.400592432E9</v>
      </c>
      <c r="L690" s="110"/>
      <c r="M690" s="40"/>
      <c r="N690" s="110"/>
      <c r="O690" s="109"/>
      <c r="P690" s="9"/>
      <c r="Q690" s="9"/>
      <c r="R690" s="40"/>
      <c r="S690" s="40"/>
      <c r="T690" s="113"/>
      <c r="U690" s="114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 ht="35.25" customHeight="1">
      <c r="A691" s="40">
        <v>44994.0</v>
      </c>
      <c r="B691" s="109" t="s">
        <v>2608</v>
      </c>
      <c r="C691" s="109"/>
      <c r="D691" s="110" t="s">
        <v>44</v>
      </c>
      <c r="E691" s="110" t="s">
        <v>2609</v>
      </c>
      <c r="F691" s="109">
        <v>20.0</v>
      </c>
      <c r="G691" s="111">
        <v>280.83</v>
      </c>
      <c r="H691" s="112" t="str">
        <f t="shared" si="11"/>
        <v>FATURADO</v>
      </c>
      <c r="I691" s="40">
        <v>45141.0</v>
      </c>
      <c r="J691" s="109">
        <v>2203.0</v>
      </c>
      <c r="K691" s="109">
        <v>4.501705205E9</v>
      </c>
      <c r="L691" s="110"/>
      <c r="M691" s="40"/>
      <c r="N691" s="110"/>
      <c r="O691" s="109"/>
      <c r="P691" s="9"/>
      <c r="Q691" s="9"/>
      <c r="R691" s="40"/>
      <c r="S691" s="40"/>
      <c r="T691" s="113"/>
      <c r="U691" s="114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ht="35.25" customHeight="1">
      <c r="A692" s="40">
        <v>44994.0</v>
      </c>
      <c r="B692" s="109" t="s">
        <v>2608</v>
      </c>
      <c r="C692" s="109"/>
      <c r="D692" s="110" t="s">
        <v>44</v>
      </c>
      <c r="E692" s="110" t="s">
        <v>2610</v>
      </c>
      <c r="F692" s="109">
        <v>20.0</v>
      </c>
      <c r="G692" s="111">
        <v>2781.25</v>
      </c>
      <c r="H692" s="112" t="str">
        <f t="shared" si="11"/>
        <v>FATURADO</v>
      </c>
      <c r="I692" s="40">
        <v>45141.0</v>
      </c>
      <c r="J692" s="109">
        <v>2203.0</v>
      </c>
      <c r="K692" s="109">
        <v>4.501705205E9</v>
      </c>
      <c r="L692" s="110"/>
      <c r="M692" s="40"/>
      <c r="N692" s="110"/>
      <c r="O692" s="109"/>
      <c r="P692" s="9"/>
      <c r="Q692" s="9"/>
      <c r="R692" s="40"/>
      <c r="S692" s="40"/>
      <c r="T692" s="113"/>
      <c r="U692" s="114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 ht="35.25" customHeight="1">
      <c r="A693" s="40">
        <v>44994.0</v>
      </c>
      <c r="B693" s="109" t="s">
        <v>2608</v>
      </c>
      <c r="C693" s="109"/>
      <c r="D693" s="110" t="s">
        <v>44</v>
      </c>
      <c r="E693" s="110" t="s">
        <v>2611</v>
      </c>
      <c r="F693" s="109">
        <v>5.0</v>
      </c>
      <c r="G693" s="111">
        <v>293.58</v>
      </c>
      <c r="H693" s="112" t="str">
        <f t="shared" si="11"/>
        <v>FATURADO</v>
      </c>
      <c r="I693" s="40">
        <v>45020.0</v>
      </c>
      <c r="J693" s="109">
        <v>2097.0</v>
      </c>
      <c r="K693" s="109">
        <v>4.501705205E9</v>
      </c>
      <c r="L693" s="110"/>
      <c r="M693" s="40"/>
      <c r="N693" s="110"/>
      <c r="O693" s="109"/>
      <c r="P693" s="9"/>
      <c r="Q693" s="9"/>
      <c r="R693" s="40"/>
      <c r="S693" s="40"/>
      <c r="T693" s="113"/>
      <c r="U693" s="114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ht="35.25" customHeight="1">
      <c r="A694" s="40">
        <v>44994.0</v>
      </c>
      <c r="B694" s="109" t="s">
        <v>2608</v>
      </c>
      <c r="C694" s="109"/>
      <c r="D694" s="110" t="s">
        <v>44</v>
      </c>
      <c r="E694" s="110" t="s">
        <v>2612</v>
      </c>
      <c r="F694" s="109">
        <v>2.0</v>
      </c>
      <c r="G694" s="111">
        <v>2611.44</v>
      </c>
      <c r="H694" s="112" t="str">
        <f t="shared" si="11"/>
        <v>FATURADO</v>
      </c>
      <c r="I694" s="40">
        <v>45020.0</v>
      </c>
      <c r="J694" s="109">
        <v>2097.0</v>
      </c>
      <c r="K694" s="109">
        <v>4.501705205E9</v>
      </c>
      <c r="L694" s="110"/>
      <c r="M694" s="40"/>
      <c r="N694" s="110"/>
      <c r="O694" s="109"/>
      <c r="P694" s="9"/>
      <c r="Q694" s="9"/>
      <c r="R694" s="40"/>
      <c r="S694" s="40"/>
      <c r="T694" s="113"/>
      <c r="U694" s="114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 ht="35.25" customHeight="1">
      <c r="A695" s="40">
        <v>44994.0</v>
      </c>
      <c r="B695" s="109" t="s">
        <v>2608</v>
      </c>
      <c r="C695" s="109"/>
      <c r="D695" s="110" t="s">
        <v>44</v>
      </c>
      <c r="E695" s="110" t="s">
        <v>136</v>
      </c>
      <c r="F695" s="109">
        <v>5.0</v>
      </c>
      <c r="G695" s="111">
        <v>183.7</v>
      </c>
      <c r="H695" s="112" t="str">
        <f t="shared" si="11"/>
        <v>FATURADO</v>
      </c>
      <c r="I695" s="40">
        <v>45020.0</v>
      </c>
      <c r="J695" s="109">
        <v>2097.0</v>
      </c>
      <c r="K695" s="109">
        <v>4.501705205E9</v>
      </c>
      <c r="L695" s="110"/>
      <c r="M695" s="40"/>
      <c r="N695" s="110"/>
      <c r="O695" s="109"/>
      <c r="P695" s="9"/>
      <c r="Q695" s="9"/>
      <c r="R695" s="40"/>
      <c r="S695" s="40"/>
      <c r="T695" s="113"/>
      <c r="U695" s="114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ht="35.25" customHeight="1">
      <c r="A696" s="40">
        <v>44994.0</v>
      </c>
      <c r="B696" s="109" t="s">
        <v>2608</v>
      </c>
      <c r="C696" s="109"/>
      <c r="D696" s="110" t="s">
        <v>44</v>
      </c>
      <c r="E696" s="110" t="s">
        <v>2613</v>
      </c>
      <c r="F696" s="109">
        <v>2.0</v>
      </c>
      <c r="G696" s="111">
        <v>1023.04</v>
      </c>
      <c r="H696" s="112" t="str">
        <f t="shared" si="11"/>
        <v>FATURADO</v>
      </c>
      <c r="I696" s="40">
        <v>45020.0</v>
      </c>
      <c r="J696" s="109">
        <v>2097.0</v>
      </c>
      <c r="K696" s="109">
        <v>4.501705205E9</v>
      </c>
      <c r="L696" s="110"/>
      <c r="M696" s="40"/>
      <c r="N696" s="110"/>
      <c r="O696" s="109"/>
      <c r="P696" s="9"/>
      <c r="Q696" s="9"/>
      <c r="R696" s="40"/>
      <c r="S696" s="40"/>
      <c r="T696" s="113"/>
      <c r="U696" s="114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 ht="35.25" customHeight="1">
      <c r="A697" s="40">
        <v>44994.0</v>
      </c>
      <c r="B697" s="109" t="s">
        <v>2608</v>
      </c>
      <c r="C697" s="109"/>
      <c r="D697" s="110" t="s">
        <v>44</v>
      </c>
      <c r="E697" s="110" t="s">
        <v>2614</v>
      </c>
      <c r="F697" s="109">
        <v>20.0</v>
      </c>
      <c r="G697" s="111">
        <v>2781.26</v>
      </c>
      <c r="H697" s="112" t="str">
        <f t="shared" si="11"/>
        <v>GANHOU</v>
      </c>
      <c r="I697" s="40"/>
      <c r="J697" s="109"/>
      <c r="K697" s="109">
        <v>4.501705205E9</v>
      </c>
      <c r="L697" s="110"/>
      <c r="M697" s="40"/>
      <c r="N697" s="110"/>
      <c r="O697" s="109"/>
      <c r="P697" s="9"/>
      <c r="Q697" s="9"/>
      <c r="R697" s="40"/>
      <c r="S697" s="40"/>
      <c r="T697" s="113"/>
      <c r="U697" s="114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ht="35.25" customHeight="1">
      <c r="A698" s="40"/>
      <c r="B698" s="109" t="s">
        <v>2615</v>
      </c>
      <c r="C698" s="109"/>
      <c r="D698" s="110" t="s">
        <v>44</v>
      </c>
      <c r="E698" s="110" t="s">
        <v>2040</v>
      </c>
      <c r="F698" s="109">
        <v>1.0</v>
      </c>
      <c r="G698" s="111">
        <v>17654.55</v>
      </c>
      <c r="H698" s="112" t="s">
        <v>180</v>
      </c>
      <c r="I698" s="40">
        <v>45189.0</v>
      </c>
      <c r="J698" s="137">
        <v>117610.0</v>
      </c>
      <c r="K698" s="109"/>
      <c r="L698" s="110"/>
      <c r="M698" s="40"/>
      <c r="N698" s="110"/>
      <c r="O698" s="109"/>
      <c r="P698" s="9"/>
      <c r="Q698" s="9"/>
      <c r="R698" s="40"/>
      <c r="S698" s="40"/>
      <c r="T698" s="113"/>
      <c r="U698" s="114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 ht="35.25" customHeight="1">
      <c r="A699" s="40">
        <v>45009.0</v>
      </c>
      <c r="B699" s="109" t="s">
        <v>2616</v>
      </c>
      <c r="C699" s="109"/>
      <c r="D699" s="110" t="s">
        <v>19</v>
      </c>
      <c r="E699" s="110" t="s">
        <v>240</v>
      </c>
      <c r="F699" s="109">
        <v>1.0</v>
      </c>
      <c r="G699" s="111">
        <v>5135.48</v>
      </c>
      <c r="H699" s="112" t="str">
        <f t="shared" ref="H699:H702" si="12">IF($J699&lt;&gt;"","FATURADO",IF($K699&lt;&gt;"","GANHOU"," "))</f>
        <v>FATURADO</v>
      </c>
      <c r="I699" s="40">
        <v>45009.0</v>
      </c>
      <c r="J699" s="109">
        <v>2231.0</v>
      </c>
      <c r="K699" s="109">
        <v>4.500430291E9</v>
      </c>
      <c r="L699" s="110"/>
      <c r="M699" s="40"/>
      <c r="N699" s="110"/>
      <c r="O699" s="109"/>
      <c r="P699" s="9"/>
      <c r="Q699" s="9"/>
      <c r="R699" s="40"/>
      <c r="S699" s="40"/>
      <c r="T699" s="113"/>
      <c r="U699" s="114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ht="35.25" customHeight="1">
      <c r="A700" s="40">
        <v>45015.0</v>
      </c>
      <c r="B700" s="109" t="s">
        <v>2617</v>
      </c>
      <c r="C700" s="109"/>
      <c r="D700" s="110" t="s">
        <v>44</v>
      </c>
      <c r="E700" s="110" t="s">
        <v>2618</v>
      </c>
      <c r="F700" s="109">
        <v>2.0</v>
      </c>
      <c r="G700" s="111">
        <v>7479.4</v>
      </c>
      <c r="H700" s="112" t="str">
        <f t="shared" si="12"/>
        <v>FATURADO</v>
      </c>
      <c r="I700" s="40">
        <v>45097.0</v>
      </c>
      <c r="J700" s="109">
        <v>2172.0</v>
      </c>
      <c r="K700" s="109">
        <v>4.501709356E9</v>
      </c>
      <c r="L700" s="110"/>
      <c r="M700" s="40"/>
      <c r="N700" s="110"/>
      <c r="O700" s="109"/>
      <c r="P700" s="9"/>
      <c r="Q700" s="9"/>
      <c r="R700" s="40"/>
      <c r="S700" s="40"/>
      <c r="T700" s="113"/>
      <c r="U700" s="114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 ht="35.25" customHeight="1">
      <c r="A701" s="40">
        <v>45041.0</v>
      </c>
      <c r="B701" s="109" t="s">
        <v>2619</v>
      </c>
      <c r="C701" s="109"/>
      <c r="D701" s="110" t="s">
        <v>77</v>
      </c>
      <c r="E701" s="110" t="s">
        <v>2085</v>
      </c>
      <c r="F701" s="109">
        <v>2.0</v>
      </c>
      <c r="G701" s="129">
        <v>3256.11</v>
      </c>
      <c r="H701" s="112" t="str">
        <f t="shared" si="12"/>
        <v>GANHOU</v>
      </c>
      <c r="I701" s="40"/>
      <c r="J701" s="109"/>
      <c r="K701" s="109">
        <v>173754.0</v>
      </c>
      <c r="L701" s="110"/>
      <c r="M701" s="40"/>
      <c r="N701" s="110"/>
      <c r="O701" s="109"/>
      <c r="P701" s="9"/>
      <c r="Q701" s="9"/>
      <c r="R701" s="40"/>
      <c r="S701" s="40"/>
      <c r="T701" s="113"/>
      <c r="U701" s="114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ht="35.25" customHeight="1">
      <c r="A702" s="40">
        <v>45043.0</v>
      </c>
      <c r="B702" s="109" t="s">
        <v>2620</v>
      </c>
      <c r="C702" s="109"/>
      <c r="D702" s="110" t="s">
        <v>1222</v>
      </c>
      <c r="E702" s="110" t="s">
        <v>2621</v>
      </c>
      <c r="F702" s="109">
        <v>11.0</v>
      </c>
      <c r="G702" s="129">
        <v>9790.22</v>
      </c>
      <c r="H702" s="112" t="str">
        <f t="shared" si="12"/>
        <v>FATURADO</v>
      </c>
      <c r="I702" s="40">
        <v>45159.0</v>
      </c>
      <c r="J702" s="109">
        <v>2228.0</v>
      </c>
      <c r="K702" s="109">
        <v>9.0544682E8</v>
      </c>
      <c r="L702" s="110"/>
      <c r="M702" s="40"/>
      <c r="N702" s="110"/>
      <c r="O702" s="109"/>
      <c r="P702" s="9"/>
      <c r="Q702" s="9"/>
      <c r="R702" s="40"/>
      <c r="S702" s="40"/>
      <c r="T702" s="113"/>
      <c r="U702" s="114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 ht="35.25" customHeight="1">
      <c r="A703" s="40">
        <v>45078.0</v>
      </c>
      <c r="B703" s="109" t="s">
        <v>2622</v>
      </c>
      <c r="C703" s="109"/>
      <c r="D703" s="110" t="s">
        <v>19</v>
      </c>
      <c r="E703" s="110" t="s">
        <v>2623</v>
      </c>
      <c r="F703" s="109">
        <v>2.0</v>
      </c>
      <c r="G703" s="111">
        <v>2413.1</v>
      </c>
      <c r="H703" s="112" t="s">
        <v>180</v>
      </c>
      <c r="I703" s="40">
        <v>45090.0</v>
      </c>
      <c r="J703" s="109">
        <v>2164.0</v>
      </c>
      <c r="K703" s="109">
        <v>4.500436806E9</v>
      </c>
      <c r="L703" s="110"/>
      <c r="M703" s="40"/>
      <c r="N703" s="110"/>
      <c r="O703" s="109"/>
      <c r="P703" s="9"/>
      <c r="Q703" s="9"/>
      <c r="R703" s="40"/>
      <c r="S703" s="40"/>
      <c r="T703" s="113"/>
      <c r="U703" s="114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ht="35.25" customHeight="1">
      <c r="A704" s="40">
        <v>45078.0</v>
      </c>
      <c r="B704" s="109" t="s">
        <v>2622</v>
      </c>
      <c r="C704" s="109"/>
      <c r="D704" s="110" t="s">
        <v>19</v>
      </c>
      <c r="E704" s="110" t="s">
        <v>2624</v>
      </c>
      <c r="F704" s="109">
        <v>1.0</v>
      </c>
      <c r="G704" s="111">
        <v>4772.44</v>
      </c>
      <c r="H704" s="112" t="s">
        <v>180</v>
      </c>
      <c r="I704" s="40">
        <v>45090.0</v>
      </c>
      <c r="J704" s="109">
        <v>2164.0</v>
      </c>
      <c r="K704" s="109">
        <v>4.500436806E9</v>
      </c>
      <c r="L704" s="110"/>
      <c r="M704" s="40"/>
      <c r="N704" s="110"/>
      <c r="O704" s="109"/>
      <c r="P704" s="9"/>
      <c r="Q704" s="9"/>
      <c r="R704" s="40"/>
      <c r="S704" s="40"/>
      <c r="T704" s="113"/>
      <c r="U704" s="114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 ht="35.25" customHeight="1">
      <c r="A705" s="40">
        <v>45091.0</v>
      </c>
      <c r="B705" s="109" t="s">
        <v>2625</v>
      </c>
      <c r="C705" s="109"/>
      <c r="D705" s="110" t="s">
        <v>44</v>
      </c>
      <c r="E705" s="110" t="s">
        <v>2263</v>
      </c>
      <c r="F705" s="109">
        <v>20.0</v>
      </c>
      <c r="G705" s="111">
        <v>138.54</v>
      </c>
      <c r="H705" s="112" t="s">
        <v>180</v>
      </c>
      <c r="I705" s="40">
        <v>45091.0</v>
      </c>
      <c r="J705" s="109">
        <v>2176.0</v>
      </c>
      <c r="K705" s="109">
        <v>4.501753133E9</v>
      </c>
      <c r="L705" s="110"/>
      <c r="M705" s="40"/>
      <c r="N705" s="110"/>
      <c r="O705" s="109"/>
      <c r="P705" s="9"/>
      <c r="Q705" s="9"/>
      <c r="R705" s="40"/>
      <c r="S705" s="40"/>
      <c r="T705" s="113"/>
      <c r="U705" s="114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ht="35.25" customHeight="1">
      <c r="A706" s="40">
        <v>45091.0</v>
      </c>
      <c r="B706" s="109" t="s">
        <v>2625</v>
      </c>
      <c r="C706" s="109"/>
      <c r="D706" s="110" t="s">
        <v>44</v>
      </c>
      <c r="E706" s="110" t="s">
        <v>2369</v>
      </c>
      <c r="F706" s="109">
        <v>20.0</v>
      </c>
      <c r="G706" s="111">
        <v>75.6</v>
      </c>
      <c r="H706" s="112" t="s">
        <v>180</v>
      </c>
      <c r="I706" s="40">
        <v>45091.0</v>
      </c>
      <c r="J706" s="109">
        <v>2176.0</v>
      </c>
      <c r="K706" s="109">
        <v>4.501753133E9</v>
      </c>
      <c r="L706" s="110"/>
      <c r="M706" s="40"/>
      <c r="N706" s="110"/>
      <c r="O706" s="109"/>
      <c r="P706" s="9"/>
      <c r="Q706" s="9"/>
      <c r="R706" s="40"/>
      <c r="S706" s="40"/>
      <c r="T706" s="113"/>
      <c r="U706" s="114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 ht="35.25" customHeight="1">
      <c r="A707" s="40">
        <v>45091.0</v>
      </c>
      <c r="B707" s="109" t="s">
        <v>2625</v>
      </c>
      <c r="C707" s="109"/>
      <c r="D707" s="110" t="s">
        <v>44</v>
      </c>
      <c r="E707" s="110" t="s">
        <v>2370</v>
      </c>
      <c r="F707" s="109">
        <v>20.0</v>
      </c>
      <c r="G707" s="111">
        <v>276.46</v>
      </c>
      <c r="H707" s="112" t="s">
        <v>180</v>
      </c>
      <c r="I707" s="40">
        <v>45091.0</v>
      </c>
      <c r="J707" s="109">
        <v>2176.0</v>
      </c>
      <c r="K707" s="109">
        <v>4.501753133E9</v>
      </c>
      <c r="L707" s="110"/>
      <c r="M707" s="40"/>
      <c r="N707" s="110"/>
      <c r="O707" s="109"/>
      <c r="P707" s="9"/>
      <c r="Q707" s="9"/>
      <c r="R707" s="40"/>
      <c r="S707" s="40"/>
      <c r="T707" s="113"/>
      <c r="U707" s="114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ht="35.25" customHeight="1">
      <c r="A708" s="40">
        <v>45091.0</v>
      </c>
      <c r="B708" s="109" t="s">
        <v>2625</v>
      </c>
      <c r="C708" s="109"/>
      <c r="D708" s="110" t="s">
        <v>44</v>
      </c>
      <c r="E708" s="110" t="s">
        <v>2264</v>
      </c>
      <c r="F708" s="109">
        <v>20.0</v>
      </c>
      <c r="G708" s="111">
        <v>277.29</v>
      </c>
      <c r="H708" s="112" t="s">
        <v>180</v>
      </c>
      <c r="I708" s="40">
        <v>45091.0</v>
      </c>
      <c r="J708" s="109">
        <v>2176.0</v>
      </c>
      <c r="K708" s="109">
        <v>4.501753133E9</v>
      </c>
      <c r="L708" s="110"/>
      <c r="M708" s="40"/>
      <c r="N708" s="110"/>
      <c r="O708" s="109"/>
      <c r="P708" s="9"/>
      <c r="Q708" s="9"/>
      <c r="R708" s="40"/>
      <c r="S708" s="40"/>
      <c r="T708" s="113"/>
      <c r="U708" s="114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 ht="35.25" customHeight="1">
      <c r="A709" s="40">
        <v>45091.0</v>
      </c>
      <c r="B709" s="109" t="s">
        <v>2625</v>
      </c>
      <c r="C709" s="109"/>
      <c r="D709" s="110" t="s">
        <v>44</v>
      </c>
      <c r="E709" s="110" t="s">
        <v>2125</v>
      </c>
      <c r="F709" s="109">
        <v>20.0</v>
      </c>
      <c r="G709" s="111">
        <v>365.42</v>
      </c>
      <c r="H709" s="112" t="s">
        <v>180</v>
      </c>
      <c r="I709" s="40">
        <v>45091.0</v>
      </c>
      <c r="J709" s="109">
        <v>2176.0</v>
      </c>
      <c r="K709" s="109">
        <v>4.501753133E9</v>
      </c>
      <c r="L709" s="110"/>
      <c r="M709" s="40"/>
      <c r="N709" s="110"/>
      <c r="O709" s="109"/>
      <c r="P709" s="9"/>
      <c r="Q709" s="9"/>
      <c r="R709" s="40"/>
      <c r="S709" s="40"/>
      <c r="T709" s="113"/>
      <c r="U709" s="114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ht="35.25" customHeight="1">
      <c r="A710" s="40">
        <v>45091.0</v>
      </c>
      <c r="B710" s="109" t="s">
        <v>2625</v>
      </c>
      <c r="C710" s="109"/>
      <c r="D710" s="110" t="s">
        <v>44</v>
      </c>
      <c r="E710" s="110" t="s">
        <v>2265</v>
      </c>
      <c r="F710" s="109">
        <v>20.0</v>
      </c>
      <c r="G710" s="111">
        <v>594.17</v>
      </c>
      <c r="H710" s="112" t="s">
        <v>180</v>
      </c>
      <c r="I710" s="40">
        <v>45091.0</v>
      </c>
      <c r="J710" s="109">
        <v>2176.0</v>
      </c>
      <c r="K710" s="109">
        <v>4.501753133E9</v>
      </c>
      <c r="L710" s="110"/>
      <c r="M710" s="40"/>
      <c r="N710" s="110"/>
      <c r="O710" s="109"/>
      <c r="P710" s="9"/>
      <c r="Q710" s="9"/>
      <c r="R710" s="40"/>
      <c r="S710" s="40"/>
      <c r="T710" s="113"/>
      <c r="U710" s="114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 ht="35.25" customHeight="1">
      <c r="A711" s="40">
        <v>45091.0</v>
      </c>
      <c r="B711" s="109" t="s">
        <v>2625</v>
      </c>
      <c r="C711" s="109"/>
      <c r="D711" s="110" t="s">
        <v>44</v>
      </c>
      <c r="E711" s="110" t="s">
        <v>2626</v>
      </c>
      <c r="F711" s="109">
        <v>20.0</v>
      </c>
      <c r="G711" s="111">
        <v>628.75</v>
      </c>
      <c r="H711" s="112" t="s">
        <v>180</v>
      </c>
      <c r="I711" s="40">
        <v>45091.0</v>
      </c>
      <c r="J711" s="109">
        <v>2176.0</v>
      </c>
      <c r="K711" s="109">
        <v>4.501753133E9</v>
      </c>
      <c r="L711" s="110"/>
      <c r="M711" s="40"/>
      <c r="N711" s="110"/>
      <c r="O711" s="109"/>
      <c r="P711" s="9"/>
      <c r="Q711" s="9"/>
      <c r="R711" s="40"/>
      <c r="S711" s="40"/>
      <c r="T711" s="113"/>
      <c r="U711" s="114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ht="35.25" customHeight="1">
      <c r="A712" s="40">
        <v>45091.0</v>
      </c>
      <c r="B712" s="109" t="s">
        <v>2625</v>
      </c>
      <c r="C712" s="109"/>
      <c r="D712" s="110" t="s">
        <v>44</v>
      </c>
      <c r="E712" s="110" t="s">
        <v>2627</v>
      </c>
      <c r="F712" s="109">
        <v>10.0</v>
      </c>
      <c r="G712" s="111">
        <v>1703.12</v>
      </c>
      <c r="H712" s="112" t="s">
        <v>180</v>
      </c>
      <c r="I712" s="40">
        <v>45091.0</v>
      </c>
      <c r="J712" s="109">
        <v>2176.0</v>
      </c>
      <c r="K712" s="109">
        <v>4.501753133E9</v>
      </c>
      <c r="L712" s="110"/>
      <c r="M712" s="40"/>
      <c r="N712" s="110"/>
      <c r="O712" s="109"/>
      <c r="P712" s="9"/>
      <c r="Q712" s="9"/>
      <c r="R712" s="40"/>
      <c r="S712" s="40"/>
      <c r="T712" s="113"/>
      <c r="U712" s="114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 ht="35.25" customHeight="1">
      <c r="A713" s="40">
        <v>45091.0</v>
      </c>
      <c r="B713" s="109" t="s">
        <v>2625</v>
      </c>
      <c r="C713" s="109"/>
      <c r="D713" s="110" t="s">
        <v>44</v>
      </c>
      <c r="E713" s="110" t="s">
        <v>2043</v>
      </c>
      <c r="F713" s="109">
        <v>100.0</v>
      </c>
      <c r="G713" s="111">
        <v>3612.5</v>
      </c>
      <c r="H713" s="112" t="s">
        <v>180</v>
      </c>
      <c r="I713" s="40">
        <v>45091.0</v>
      </c>
      <c r="J713" s="109">
        <v>2176.0</v>
      </c>
      <c r="K713" s="109">
        <v>4.501753133E9</v>
      </c>
      <c r="L713" s="110"/>
      <c r="M713" s="40"/>
      <c r="N713" s="110"/>
      <c r="O713" s="109"/>
      <c r="P713" s="9"/>
      <c r="Q713" s="9"/>
      <c r="R713" s="40"/>
      <c r="S713" s="40"/>
      <c r="T713" s="113"/>
      <c r="U713" s="114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ht="35.25" customHeight="1">
      <c r="A714" s="40">
        <v>45091.0</v>
      </c>
      <c r="B714" s="109" t="s">
        <v>2625</v>
      </c>
      <c r="C714" s="109"/>
      <c r="D714" s="110" t="s">
        <v>44</v>
      </c>
      <c r="E714" s="110" t="s">
        <v>2085</v>
      </c>
      <c r="F714" s="109">
        <v>5.0</v>
      </c>
      <c r="G714" s="111">
        <v>7217.76</v>
      </c>
      <c r="H714" s="112" t="s">
        <v>180</v>
      </c>
      <c r="I714" s="40">
        <v>45091.0</v>
      </c>
      <c r="J714" s="109">
        <v>2176.0</v>
      </c>
      <c r="K714" s="109">
        <v>4.501753133E9</v>
      </c>
      <c r="L714" s="110"/>
      <c r="M714" s="40"/>
      <c r="N714" s="110"/>
      <c r="O714" s="109"/>
      <c r="P714" s="9"/>
      <c r="Q714" s="9"/>
      <c r="R714" s="40"/>
      <c r="S714" s="40"/>
      <c r="T714" s="113"/>
      <c r="U714" s="114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 ht="35.25" customHeight="1">
      <c r="A715" s="40">
        <v>45091.0</v>
      </c>
      <c r="B715" s="109" t="s">
        <v>2625</v>
      </c>
      <c r="C715" s="109"/>
      <c r="D715" s="110" t="s">
        <v>44</v>
      </c>
      <c r="E715" s="110" t="s">
        <v>2317</v>
      </c>
      <c r="F715" s="109">
        <v>3.0</v>
      </c>
      <c r="G715" s="111">
        <v>4462.22</v>
      </c>
      <c r="H715" s="112" t="s">
        <v>180</v>
      </c>
      <c r="I715" s="40">
        <v>45091.0</v>
      </c>
      <c r="J715" s="109">
        <v>2176.0</v>
      </c>
      <c r="K715" s="109">
        <v>4.501753133E9</v>
      </c>
      <c r="L715" s="110"/>
      <c r="M715" s="40"/>
      <c r="N715" s="110"/>
      <c r="O715" s="109"/>
      <c r="P715" s="9"/>
      <c r="Q715" s="9"/>
      <c r="R715" s="40"/>
      <c r="S715" s="40"/>
      <c r="T715" s="113"/>
      <c r="U715" s="114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ht="35.25" customHeight="1">
      <c r="A716" s="40">
        <v>45091.0</v>
      </c>
      <c r="B716" s="109" t="s">
        <v>2625</v>
      </c>
      <c r="C716" s="109"/>
      <c r="D716" s="110" t="s">
        <v>44</v>
      </c>
      <c r="E716" s="110" t="s">
        <v>2373</v>
      </c>
      <c r="F716" s="109">
        <v>5.0</v>
      </c>
      <c r="G716" s="111">
        <v>7447.14</v>
      </c>
      <c r="H716" s="112" t="s">
        <v>180</v>
      </c>
      <c r="I716" s="40">
        <v>45091.0</v>
      </c>
      <c r="J716" s="109">
        <v>2176.0</v>
      </c>
      <c r="K716" s="109">
        <v>4.501753133E9</v>
      </c>
      <c r="L716" s="110"/>
      <c r="M716" s="40"/>
      <c r="N716" s="110"/>
      <c r="O716" s="109"/>
      <c r="P716" s="9"/>
      <c r="Q716" s="9"/>
      <c r="R716" s="40"/>
      <c r="S716" s="40"/>
      <c r="T716" s="113"/>
      <c r="U716" s="114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 ht="35.25" customHeight="1">
      <c r="A717" s="40">
        <v>45091.0</v>
      </c>
      <c r="B717" s="109" t="s">
        <v>2625</v>
      </c>
      <c r="C717" s="109"/>
      <c r="D717" s="110" t="s">
        <v>44</v>
      </c>
      <c r="E717" s="110" t="s">
        <v>2374</v>
      </c>
      <c r="F717" s="109">
        <v>5.0</v>
      </c>
      <c r="G717" s="111">
        <v>7739.27</v>
      </c>
      <c r="H717" s="112" t="s">
        <v>180</v>
      </c>
      <c r="I717" s="40">
        <v>45091.0</v>
      </c>
      <c r="J717" s="109">
        <v>2176.0</v>
      </c>
      <c r="K717" s="109">
        <v>4.501753133E9</v>
      </c>
      <c r="L717" s="110"/>
      <c r="M717" s="40"/>
      <c r="N717" s="110"/>
      <c r="O717" s="109"/>
      <c r="P717" s="9"/>
      <c r="Q717" s="9"/>
      <c r="R717" s="40"/>
      <c r="S717" s="40"/>
      <c r="T717" s="113"/>
      <c r="U717" s="114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ht="35.25" customHeight="1">
      <c r="A718" s="40">
        <v>45103.0</v>
      </c>
      <c r="B718" s="109" t="s">
        <v>2628</v>
      </c>
      <c r="C718" s="109"/>
      <c r="D718" s="110" t="s">
        <v>19</v>
      </c>
      <c r="E718" s="110" t="s">
        <v>2370</v>
      </c>
      <c r="F718" s="109">
        <v>230.0</v>
      </c>
      <c r="G718" s="111">
        <v>3496.0</v>
      </c>
      <c r="H718" s="110" t="s">
        <v>180</v>
      </c>
      <c r="I718" s="40">
        <v>45103.0</v>
      </c>
      <c r="J718" s="109">
        <v>2177.0</v>
      </c>
      <c r="K718" s="109">
        <v>4.500438638E9</v>
      </c>
      <c r="L718" s="110"/>
      <c r="M718" s="40"/>
      <c r="N718" s="110"/>
      <c r="O718" s="109"/>
      <c r="P718" s="9"/>
      <c r="Q718" s="9"/>
      <c r="R718" s="40"/>
      <c r="S718" s="40"/>
      <c r="T718" s="113"/>
      <c r="U718" s="114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 ht="35.25" customHeight="1">
      <c r="A719" s="40">
        <v>45103.0</v>
      </c>
      <c r="B719" s="109" t="s">
        <v>2628</v>
      </c>
      <c r="C719" s="109"/>
      <c r="D719" s="110" t="s">
        <v>19</v>
      </c>
      <c r="E719" s="110" t="s">
        <v>2201</v>
      </c>
      <c r="F719" s="109">
        <v>300.0</v>
      </c>
      <c r="G719" s="111">
        <v>1050.0</v>
      </c>
      <c r="H719" s="110" t="s">
        <v>180</v>
      </c>
      <c r="I719" s="40">
        <v>45103.0</v>
      </c>
      <c r="J719" s="109">
        <v>2177.0</v>
      </c>
      <c r="K719" s="109">
        <v>4.500438638E9</v>
      </c>
      <c r="L719" s="110"/>
      <c r="M719" s="40"/>
      <c r="N719" s="110"/>
      <c r="O719" s="109"/>
      <c r="P719" s="9"/>
      <c r="Q719" s="9"/>
      <c r="R719" s="40"/>
      <c r="S719" s="40"/>
      <c r="T719" s="113"/>
      <c r="U719" s="114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ht="35.25" customHeight="1">
      <c r="A720" s="40">
        <v>45103.0</v>
      </c>
      <c r="B720" s="109" t="s">
        <v>2628</v>
      </c>
      <c r="C720" s="109"/>
      <c r="D720" s="110" t="s">
        <v>19</v>
      </c>
      <c r="E720" s="110" t="s">
        <v>2107</v>
      </c>
      <c r="F720" s="109">
        <v>220.0</v>
      </c>
      <c r="G720" s="111">
        <v>704.0</v>
      </c>
      <c r="H720" s="110" t="s">
        <v>180</v>
      </c>
      <c r="I720" s="40">
        <v>45103.0</v>
      </c>
      <c r="J720" s="109">
        <v>2177.0</v>
      </c>
      <c r="K720" s="109">
        <v>4.500438638E9</v>
      </c>
      <c r="L720" s="110"/>
      <c r="M720" s="40"/>
      <c r="N720" s="110"/>
      <c r="O720" s="109"/>
      <c r="P720" s="9"/>
      <c r="Q720" s="9"/>
      <c r="R720" s="40"/>
      <c r="S720" s="40"/>
      <c r="T720" s="113"/>
      <c r="U720" s="114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 ht="35.25" customHeight="1">
      <c r="A721" s="40">
        <v>45114.0</v>
      </c>
      <c r="B721" s="109" t="s">
        <v>2629</v>
      </c>
      <c r="C721" s="109"/>
      <c r="D721" s="110" t="s">
        <v>44</v>
      </c>
      <c r="E721" s="110" t="s">
        <v>2259</v>
      </c>
      <c r="F721" s="109">
        <v>10.0</v>
      </c>
      <c r="G721" s="111">
        <v>668.26</v>
      </c>
      <c r="H721" s="110" t="s">
        <v>2036</v>
      </c>
      <c r="I721" s="40"/>
      <c r="J721" s="109"/>
      <c r="K721" s="109"/>
      <c r="L721" s="110"/>
      <c r="M721" s="40"/>
      <c r="N721" s="110"/>
      <c r="O721" s="109"/>
      <c r="P721" s="9"/>
      <c r="Q721" s="9"/>
      <c r="R721" s="40"/>
      <c r="S721" s="40"/>
      <c r="T721" s="113"/>
      <c r="U721" s="114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ht="35.25" customHeight="1">
      <c r="A722" s="40">
        <v>45114.0</v>
      </c>
      <c r="B722" s="109" t="s">
        <v>2629</v>
      </c>
      <c r="C722" s="109"/>
      <c r="D722" s="110" t="s">
        <v>44</v>
      </c>
      <c r="E722" s="110" t="s">
        <v>2090</v>
      </c>
      <c r="F722" s="109">
        <v>10.0</v>
      </c>
      <c r="G722" s="111">
        <v>1374.27</v>
      </c>
      <c r="H722" s="110" t="s">
        <v>2036</v>
      </c>
      <c r="I722" s="40"/>
      <c r="J722" s="109"/>
      <c r="K722" s="109"/>
      <c r="L722" s="110"/>
      <c r="M722" s="40"/>
      <c r="N722" s="110"/>
      <c r="O722" s="109"/>
      <c r="P722" s="9"/>
      <c r="Q722" s="9"/>
      <c r="R722" s="40"/>
      <c r="S722" s="40"/>
      <c r="T722" s="113"/>
      <c r="U722" s="114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 ht="35.25" customHeight="1">
      <c r="A723" s="40">
        <v>45114.0</v>
      </c>
      <c r="B723" s="109" t="s">
        <v>2629</v>
      </c>
      <c r="C723" s="109"/>
      <c r="D723" s="110" t="s">
        <v>44</v>
      </c>
      <c r="E723" s="110" t="s">
        <v>2630</v>
      </c>
      <c r="F723" s="109">
        <v>10.0</v>
      </c>
      <c r="G723" s="111">
        <v>2848.4</v>
      </c>
      <c r="H723" s="110" t="s">
        <v>2036</v>
      </c>
      <c r="I723" s="40"/>
      <c r="J723" s="109"/>
      <c r="K723" s="109"/>
      <c r="L723" s="110"/>
      <c r="M723" s="40"/>
      <c r="N723" s="110"/>
      <c r="O723" s="109"/>
      <c r="P723" s="9"/>
      <c r="Q723" s="9"/>
      <c r="R723" s="40"/>
      <c r="S723" s="40"/>
      <c r="T723" s="113"/>
      <c r="U723" s="114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ht="35.25" customHeight="1">
      <c r="A724" s="40">
        <v>45114.0</v>
      </c>
      <c r="B724" s="109" t="s">
        <v>2629</v>
      </c>
      <c r="C724" s="109"/>
      <c r="D724" s="110" t="s">
        <v>44</v>
      </c>
      <c r="E724" s="110" t="s">
        <v>2631</v>
      </c>
      <c r="F724" s="109">
        <v>20.0</v>
      </c>
      <c r="G724" s="111">
        <v>3708.2</v>
      </c>
      <c r="H724" s="110" t="s">
        <v>2036</v>
      </c>
      <c r="I724" s="40"/>
      <c r="J724" s="109"/>
      <c r="K724" s="109"/>
      <c r="L724" s="110"/>
      <c r="M724" s="40"/>
      <c r="N724" s="110"/>
      <c r="O724" s="109"/>
      <c r="P724" s="9"/>
      <c r="Q724" s="9"/>
      <c r="R724" s="40"/>
      <c r="S724" s="40"/>
      <c r="T724" s="113"/>
      <c r="U724" s="114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 ht="35.25" customHeight="1">
      <c r="A725" s="40">
        <v>45114.0</v>
      </c>
      <c r="B725" s="109" t="s">
        <v>2629</v>
      </c>
      <c r="C725" s="109"/>
      <c r="D725" s="110" t="s">
        <v>44</v>
      </c>
      <c r="E725" s="110" t="s">
        <v>2632</v>
      </c>
      <c r="F725" s="109">
        <v>1.0</v>
      </c>
      <c r="G725" s="111">
        <v>0.0</v>
      </c>
      <c r="H725" s="110" t="s">
        <v>2036</v>
      </c>
      <c r="I725" s="40"/>
      <c r="J725" s="109"/>
      <c r="K725" s="109"/>
      <c r="L725" s="110"/>
      <c r="M725" s="40"/>
      <c r="N725" s="110"/>
      <c r="O725" s="109"/>
      <c r="P725" s="9"/>
      <c r="Q725" s="9"/>
      <c r="R725" s="40"/>
      <c r="S725" s="40"/>
      <c r="T725" s="113"/>
      <c r="U725" s="114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ht="35.25" customHeight="1">
      <c r="A726" s="40">
        <v>45147.0</v>
      </c>
      <c r="B726" s="109" t="s">
        <v>2633</v>
      </c>
      <c r="C726" s="109"/>
      <c r="D726" s="110" t="s">
        <v>188</v>
      </c>
      <c r="E726" s="110" t="s">
        <v>2460</v>
      </c>
      <c r="F726" s="109">
        <v>4.0</v>
      </c>
      <c r="G726" s="111">
        <v>148079.97</v>
      </c>
      <c r="H726" s="110" t="s">
        <v>2036</v>
      </c>
      <c r="I726" s="40"/>
      <c r="J726" s="109"/>
      <c r="K726" s="109"/>
      <c r="L726" s="110"/>
      <c r="M726" s="40"/>
      <c r="N726" s="110"/>
      <c r="O726" s="109"/>
      <c r="P726" s="9"/>
      <c r="Q726" s="9"/>
      <c r="R726" s="40"/>
      <c r="S726" s="40"/>
      <c r="T726" s="113"/>
      <c r="U726" s="114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 ht="35.25" customHeight="1">
      <c r="A727" s="40">
        <v>45154.0</v>
      </c>
      <c r="B727" s="109" t="s">
        <v>2634</v>
      </c>
      <c r="C727" s="109"/>
      <c r="D727" s="110" t="s">
        <v>2476</v>
      </c>
      <c r="E727" s="110" t="s">
        <v>2050</v>
      </c>
      <c r="F727" s="109">
        <v>15.0</v>
      </c>
      <c r="G727" s="111">
        <v>12218.04</v>
      </c>
      <c r="H727" s="110" t="s">
        <v>2036</v>
      </c>
      <c r="I727" s="40"/>
      <c r="J727" s="109"/>
      <c r="K727" s="109"/>
      <c r="L727" s="110"/>
      <c r="M727" s="40"/>
      <c r="N727" s="110"/>
      <c r="O727" s="109"/>
      <c r="P727" s="9"/>
      <c r="Q727" s="9"/>
      <c r="R727" s="40"/>
      <c r="S727" s="40"/>
      <c r="T727" s="113"/>
      <c r="U727" s="114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ht="35.25" customHeight="1">
      <c r="A728" s="40">
        <v>45154.0</v>
      </c>
      <c r="B728" s="109" t="s">
        <v>2634</v>
      </c>
      <c r="C728" s="109"/>
      <c r="D728" s="110" t="s">
        <v>2476</v>
      </c>
      <c r="E728" s="110" t="s">
        <v>2050</v>
      </c>
      <c r="F728" s="109">
        <v>5.0</v>
      </c>
      <c r="G728" s="111">
        <v>4072.68</v>
      </c>
      <c r="H728" s="110" t="s">
        <v>2036</v>
      </c>
      <c r="I728" s="40"/>
      <c r="J728" s="109"/>
      <c r="K728" s="109"/>
      <c r="L728" s="110"/>
      <c r="M728" s="40"/>
      <c r="N728" s="110"/>
      <c r="O728" s="109"/>
      <c r="P728" s="9"/>
      <c r="Q728" s="9"/>
      <c r="R728" s="40"/>
      <c r="S728" s="40"/>
      <c r="T728" s="113"/>
      <c r="U728" s="114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 ht="35.25" customHeight="1">
      <c r="A729" s="40">
        <v>45155.0</v>
      </c>
      <c r="B729" s="109" t="s">
        <v>2635</v>
      </c>
      <c r="C729" s="109"/>
      <c r="D729" s="110" t="s">
        <v>2477</v>
      </c>
      <c r="E729" s="110" t="s">
        <v>2478</v>
      </c>
      <c r="F729" s="109">
        <v>2.0</v>
      </c>
      <c r="G729" s="111">
        <v>9329.7</v>
      </c>
      <c r="H729" s="110" t="s">
        <v>2036</v>
      </c>
      <c r="I729" s="40"/>
      <c r="J729" s="109"/>
      <c r="K729" s="109"/>
      <c r="L729" s="110"/>
      <c r="M729" s="40"/>
      <c r="N729" s="110"/>
      <c r="O729" s="109"/>
      <c r="P729" s="9"/>
      <c r="Q729" s="9"/>
      <c r="R729" s="40"/>
      <c r="S729" s="40"/>
      <c r="T729" s="113"/>
      <c r="U729" s="114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ht="35.25" customHeight="1">
      <c r="A730" s="40">
        <v>45155.0</v>
      </c>
      <c r="B730" s="109" t="s">
        <v>2635</v>
      </c>
      <c r="C730" s="109"/>
      <c r="D730" s="110" t="s">
        <v>2477</v>
      </c>
      <c r="E730" s="110" t="s">
        <v>2636</v>
      </c>
      <c r="F730" s="109">
        <v>13.0</v>
      </c>
      <c r="G730" s="111">
        <v>371638.93</v>
      </c>
      <c r="H730" s="110" t="s">
        <v>2036</v>
      </c>
      <c r="I730" s="40"/>
      <c r="J730" s="109"/>
      <c r="K730" s="109"/>
      <c r="L730" s="110"/>
      <c r="M730" s="40"/>
      <c r="N730" s="110"/>
      <c r="O730" s="109"/>
      <c r="P730" s="9"/>
      <c r="Q730" s="9"/>
      <c r="R730" s="40"/>
      <c r="S730" s="40"/>
      <c r="T730" s="113"/>
      <c r="U730" s="114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 ht="35.25" customHeight="1">
      <c r="A731" s="40" t="s">
        <v>2519</v>
      </c>
      <c r="B731" s="109" t="s">
        <v>2637</v>
      </c>
      <c r="C731" s="109"/>
      <c r="D731" s="110" t="s">
        <v>44</v>
      </c>
      <c r="E731" s="110" t="s">
        <v>2521</v>
      </c>
      <c r="F731" s="109">
        <v>1.0</v>
      </c>
      <c r="G731" s="111">
        <v>5329.41</v>
      </c>
      <c r="H731" s="112" t="s">
        <v>180</v>
      </c>
      <c r="I731" s="40" t="s">
        <v>2539</v>
      </c>
      <c r="J731" s="109">
        <v>2252.0</v>
      </c>
      <c r="K731" s="109">
        <v>4.501804606E9</v>
      </c>
      <c r="L731" s="110" t="s">
        <v>2469</v>
      </c>
      <c r="M731" s="40" t="s">
        <v>2540</v>
      </c>
      <c r="N731" s="110" t="s">
        <v>2517</v>
      </c>
      <c r="O731" s="109" t="s">
        <v>2638</v>
      </c>
      <c r="P731" s="9"/>
      <c r="Q731" s="9">
        <v>12.0</v>
      </c>
      <c r="R731" s="40"/>
      <c r="S731" s="40"/>
      <c r="T731" s="113"/>
      <c r="U731" s="114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ht="35.25" customHeight="1">
      <c r="A732" s="40" t="s">
        <v>2519</v>
      </c>
      <c r="B732" s="109" t="s">
        <v>2639</v>
      </c>
      <c r="C732" s="109"/>
      <c r="D732" s="110" t="s">
        <v>44</v>
      </c>
      <c r="E732" s="110" t="s">
        <v>2510</v>
      </c>
      <c r="F732" s="109">
        <v>1.0</v>
      </c>
      <c r="G732" s="111">
        <v>662.3</v>
      </c>
      <c r="H732" s="112" t="s">
        <v>180</v>
      </c>
      <c r="I732" s="40" t="s">
        <v>2539</v>
      </c>
      <c r="J732" s="109">
        <v>2251.0</v>
      </c>
      <c r="K732" s="109">
        <v>4.501804618E9</v>
      </c>
      <c r="L732" s="110" t="s">
        <v>2469</v>
      </c>
      <c r="M732" s="40" t="s">
        <v>2540</v>
      </c>
      <c r="N732" s="110" t="s">
        <v>2517</v>
      </c>
      <c r="O732" s="109" t="s">
        <v>2640</v>
      </c>
      <c r="P732" s="9"/>
      <c r="Q732" s="9">
        <v>11.0</v>
      </c>
      <c r="R732" s="40"/>
      <c r="S732" s="40"/>
      <c r="T732" s="113"/>
      <c r="U732" s="114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 ht="35.25" customHeight="1">
      <c r="A733" s="40" t="s">
        <v>2519</v>
      </c>
      <c r="B733" s="109" t="s">
        <v>2639</v>
      </c>
      <c r="C733" s="109"/>
      <c r="D733" s="110" t="s">
        <v>44</v>
      </c>
      <c r="E733" s="110" t="s">
        <v>2511</v>
      </c>
      <c r="F733" s="109">
        <v>1.0</v>
      </c>
      <c r="G733" s="111">
        <v>129.81</v>
      </c>
      <c r="H733" s="112" t="s">
        <v>180</v>
      </c>
      <c r="I733" s="40" t="s">
        <v>2539</v>
      </c>
      <c r="J733" s="109">
        <v>2251.0</v>
      </c>
      <c r="K733" s="109">
        <v>4.501804618E9</v>
      </c>
      <c r="L733" s="110" t="s">
        <v>2469</v>
      </c>
      <c r="M733" s="40" t="s">
        <v>2540</v>
      </c>
      <c r="N733" s="110" t="s">
        <v>2517</v>
      </c>
      <c r="O733" s="109" t="s">
        <v>2640</v>
      </c>
      <c r="P733" s="9"/>
      <c r="Q733" s="9">
        <v>11.0</v>
      </c>
      <c r="R733" s="40"/>
      <c r="S733" s="40"/>
      <c r="T733" s="113"/>
      <c r="U733" s="114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ht="35.25" customHeight="1">
      <c r="A734" s="40" t="s">
        <v>2519</v>
      </c>
      <c r="B734" s="109" t="s">
        <v>2639</v>
      </c>
      <c r="C734" s="109"/>
      <c r="D734" s="110" t="s">
        <v>44</v>
      </c>
      <c r="E734" s="110" t="s">
        <v>2512</v>
      </c>
      <c r="F734" s="109">
        <v>1.0</v>
      </c>
      <c r="G734" s="111">
        <v>1683.31</v>
      </c>
      <c r="H734" s="112" t="s">
        <v>180</v>
      </c>
      <c r="I734" s="40" t="s">
        <v>2539</v>
      </c>
      <c r="J734" s="109">
        <v>2251.0</v>
      </c>
      <c r="K734" s="109">
        <v>4.501804618E9</v>
      </c>
      <c r="L734" s="110" t="s">
        <v>2469</v>
      </c>
      <c r="M734" s="40" t="s">
        <v>2540</v>
      </c>
      <c r="N734" s="110" t="s">
        <v>2517</v>
      </c>
      <c r="O734" s="109" t="s">
        <v>2640</v>
      </c>
      <c r="P734" s="9"/>
      <c r="Q734" s="9">
        <v>11.0</v>
      </c>
      <c r="R734" s="40"/>
      <c r="S734" s="40"/>
      <c r="T734" s="113"/>
      <c r="U734" s="114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 ht="35.25" customHeight="1">
      <c r="A735" s="40">
        <v>45216.0</v>
      </c>
      <c r="B735" s="9">
        <v>3106.0</v>
      </c>
      <c r="D735" s="110" t="s">
        <v>44</v>
      </c>
      <c r="E735" s="9" t="s">
        <v>2641</v>
      </c>
      <c r="F735" s="109">
        <v>1.0</v>
      </c>
      <c r="G735" s="111">
        <v>1088.76</v>
      </c>
      <c r="H735" s="112" t="s">
        <v>1560</v>
      </c>
      <c r="K735" s="9">
        <v>4.501818504E9</v>
      </c>
      <c r="L735" s="9" t="s">
        <v>2469</v>
      </c>
      <c r="M735" s="40">
        <v>45224.0</v>
      </c>
      <c r="N735" s="9" t="s">
        <v>2642</v>
      </c>
      <c r="Q735" s="9">
        <v>41.0</v>
      </c>
      <c r="U735" s="95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ht="35.25" customHeight="1">
      <c r="A736" s="40">
        <v>45190.0</v>
      </c>
      <c r="B736" s="109">
        <v>3039.0</v>
      </c>
      <c r="C736" s="109"/>
      <c r="D736" s="110" t="s">
        <v>188</v>
      </c>
      <c r="E736" s="110" t="s">
        <v>2643</v>
      </c>
      <c r="F736" s="109">
        <v>120.0</v>
      </c>
      <c r="G736" s="111">
        <v>15881.96</v>
      </c>
      <c r="H736" s="112" t="s">
        <v>1560</v>
      </c>
      <c r="I736" s="40"/>
      <c r="J736" s="109"/>
      <c r="K736" s="109"/>
      <c r="L736" s="110"/>
      <c r="M736" s="40"/>
      <c r="N736" s="110"/>
      <c r="O736" s="109"/>
      <c r="P736" s="9"/>
      <c r="Q736" s="9"/>
      <c r="R736" s="40"/>
      <c r="S736" s="40"/>
      <c r="T736" s="113"/>
      <c r="U736" s="114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 ht="35.25" customHeight="1">
      <c r="A737" s="40">
        <v>45190.0</v>
      </c>
      <c r="B737" s="109">
        <v>3039.0</v>
      </c>
      <c r="C737" s="109"/>
      <c r="D737" s="110" t="s">
        <v>188</v>
      </c>
      <c r="E737" s="110" t="s">
        <v>2644</v>
      </c>
      <c r="F737" s="109">
        <v>120.0</v>
      </c>
      <c r="G737" s="111">
        <v>11010.91</v>
      </c>
      <c r="H737" s="112" t="s">
        <v>1560</v>
      </c>
      <c r="I737" s="40"/>
      <c r="J737" s="109"/>
      <c r="K737" s="109"/>
      <c r="L737" s="110"/>
      <c r="M737" s="40"/>
      <c r="N737" s="110"/>
      <c r="O737" s="109"/>
      <c r="P737" s="9"/>
      <c r="Q737" s="9"/>
      <c r="R737" s="40"/>
      <c r="S737" s="40"/>
      <c r="T737" s="113"/>
      <c r="U737" s="114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ht="35.25" customHeight="1">
      <c r="A738" s="40">
        <v>45190.0</v>
      </c>
      <c r="B738" s="109">
        <v>3039.0</v>
      </c>
      <c r="C738" s="109"/>
      <c r="D738" s="110" t="s">
        <v>188</v>
      </c>
      <c r="E738" s="110" t="s">
        <v>2645</v>
      </c>
      <c r="F738" s="109">
        <v>2.0</v>
      </c>
      <c r="G738" s="111">
        <v>3825.42</v>
      </c>
      <c r="H738" s="112" t="s">
        <v>1560</v>
      </c>
      <c r="I738" s="40"/>
      <c r="J738" s="109"/>
      <c r="K738" s="109"/>
      <c r="L738" s="110"/>
      <c r="M738" s="40"/>
      <c r="N738" s="110"/>
      <c r="O738" s="109"/>
      <c r="P738" s="9"/>
      <c r="Q738" s="9"/>
      <c r="R738" s="40"/>
      <c r="S738" s="40"/>
      <c r="T738" s="113"/>
      <c r="U738" s="114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 ht="35.25" customHeight="1">
      <c r="A739" s="40">
        <v>45190.0</v>
      </c>
      <c r="B739" s="109">
        <v>3039.0</v>
      </c>
      <c r="C739" s="109"/>
      <c r="D739" s="110" t="s">
        <v>188</v>
      </c>
      <c r="E739" s="110" t="s">
        <v>2646</v>
      </c>
      <c r="F739" s="109">
        <v>2.0</v>
      </c>
      <c r="G739" s="111">
        <v>583.02</v>
      </c>
      <c r="H739" s="112" t="s">
        <v>1560</v>
      </c>
      <c r="I739" s="40"/>
      <c r="J739" s="109"/>
      <c r="K739" s="109"/>
      <c r="L739" s="110"/>
      <c r="M739" s="40"/>
      <c r="N739" s="110"/>
      <c r="O739" s="109"/>
      <c r="P739" s="9"/>
      <c r="Q739" s="9"/>
      <c r="R739" s="40"/>
      <c r="S739" s="40"/>
      <c r="T739" s="113"/>
      <c r="U739" s="114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ht="35.25" customHeight="1">
      <c r="A740" s="40">
        <v>45190.0</v>
      </c>
      <c r="B740" s="109">
        <v>3039.0</v>
      </c>
      <c r="C740" s="109"/>
      <c r="D740" s="110" t="s">
        <v>188</v>
      </c>
      <c r="E740" s="110" t="s">
        <v>2646</v>
      </c>
      <c r="F740" s="109">
        <v>2.0</v>
      </c>
      <c r="G740" s="111">
        <v>178.95</v>
      </c>
      <c r="H740" s="112" t="s">
        <v>1560</v>
      </c>
      <c r="I740" s="40"/>
      <c r="J740" s="109"/>
      <c r="K740" s="109"/>
      <c r="L740" s="110"/>
      <c r="M740" s="40"/>
      <c r="N740" s="110"/>
      <c r="O740" s="109"/>
      <c r="P740" s="9"/>
      <c r="Q740" s="9"/>
      <c r="R740" s="40"/>
      <c r="S740" s="40"/>
      <c r="T740" s="113"/>
      <c r="U740" s="114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 ht="35.25" customHeight="1">
      <c r="A741" s="40">
        <v>45190.0</v>
      </c>
      <c r="B741" s="109">
        <v>3039.0</v>
      </c>
      <c r="C741" s="109"/>
      <c r="D741" s="110" t="s">
        <v>188</v>
      </c>
      <c r="E741" s="110" t="s">
        <v>2647</v>
      </c>
      <c r="F741" s="109">
        <v>2.0</v>
      </c>
      <c r="G741" s="111">
        <v>66.39</v>
      </c>
      <c r="H741" s="112" t="s">
        <v>1560</v>
      </c>
      <c r="I741" s="40"/>
      <c r="J741" s="109"/>
      <c r="K741" s="109"/>
      <c r="L741" s="110"/>
      <c r="M741" s="40"/>
      <c r="N741" s="110"/>
      <c r="O741" s="109"/>
      <c r="P741" s="9"/>
      <c r="Q741" s="9"/>
      <c r="R741" s="40"/>
      <c r="S741" s="40"/>
      <c r="T741" s="113"/>
      <c r="U741" s="114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ht="35.25" customHeight="1">
      <c r="A742" s="40"/>
      <c r="B742" s="109"/>
      <c r="C742" s="109"/>
      <c r="D742" s="110"/>
      <c r="E742" s="110"/>
      <c r="F742" s="109"/>
      <c r="G742" s="111"/>
      <c r="H742" s="112"/>
      <c r="I742" s="40"/>
      <c r="J742" s="109"/>
      <c r="K742" s="109"/>
      <c r="L742" s="110"/>
      <c r="M742" s="40"/>
      <c r="N742" s="110"/>
      <c r="O742" s="109"/>
      <c r="P742" s="9"/>
      <c r="Q742" s="9"/>
      <c r="R742" s="40"/>
      <c r="S742" s="40"/>
      <c r="T742" s="113"/>
      <c r="U742" s="114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 ht="35.25" customHeight="1">
      <c r="A743" s="40"/>
      <c r="B743" s="109"/>
      <c r="C743" s="109"/>
      <c r="D743" s="110"/>
      <c r="E743" s="110"/>
      <c r="F743" s="109"/>
      <c r="G743" s="111"/>
      <c r="H743" s="112"/>
      <c r="I743" s="40"/>
      <c r="J743" s="109"/>
      <c r="K743" s="109"/>
      <c r="L743" s="110"/>
      <c r="M743" s="40"/>
      <c r="N743" s="110"/>
      <c r="O743" s="109"/>
      <c r="P743" s="9"/>
      <c r="Q743" s="9"/>
      <c r="R743" s="40"/>
      <c r="S743" s="40"/>
      <c r="T743" s="113"/>
      <c r="U743" s="114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ht="35.25" customHeight="1">
      <c r="A744" s="40"/>
      <c r="B744" s="109"/>
      <c r="C744" s="109"/>
      <c r="D744" s="110"/>
      <c r="E744" s="110"/>
      <c r="F744" s="109"/>
      <c r="G744" s="111"/>
      <c r="H744" s="112"/>
      <c r="I744" s="40"/>
      <c r="J744" s="109"/>
      <c r="K744" s="109"/>
      <c r="L744" s="110"/>
      <c r="M744" s="40"/>
      <c r="N744" s="110"/>
      <c r="O744" s="109"/>
      <c r="P744" s="9"/>
      <c r="Q744" s="9"/>
      <c r="R744" s="40"/>
      <c r="S744" s="40"/>
      <c r="T744" s="113"/>
      <c r="U744" s="114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 ht="35.25" customHeight="1">
      <c r="A745" s="40"/>
      <c r="B745" s="109"/>
      <c r="C745" s="109"/>
      <c r="D745" s="110"/>
      <c r="E745" s="110"/>
      <c r="F745" s="109"/>
      <c r="G745" s="111"/>
      <c r="H745" s="112"/>
      <c r="I745" s="40"/>
      <c r="J745" s="109"/>
      <c r="K745" s="109"/>
      <c r="L745" s="110"/>
      <c r="M745" s="40"/>
      <c r="N745" s="110"/>
      <c r="O745" s="109"/>
      <c r="P745" s="9"/>
      <c r="Q745" s="9"/>
      <c r="R745" s="40"/>
      <c r="S745" s="40"/>
      <c r="T745" s="113"/>
      <c r="U745" s="114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ht="35.25" customHeight="1">
      <c r="A746" s="40"/>
      <c r="B746" s="109"/>
      <c r="C746" s="109"/>
      <c r="D746" s="110"/>
      <c r="E746" s="110"/>
      <c r="F746" s="109"/>
      <c r="G746" s="111"/>
      <c r="H746" s="112"/>
      <c r="I746" s="40"/>
      <c r="J746" s="109"/>
      <c r="K746" s="109"/>
      <c r="L746" s="110"/>
      <c r="M746" s="40"/>
      <c r="N746" s="110"/>
      <c r="O746" s="109"/>
      <c r="P746" s="9"/>
      <c r="Q746" s="9"/>
      <c r="R746" s="40"/>
      <c r="S746" s="40"/>
      <c r="T746" s="113"/>
      <c r="U746" s="114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 ht="35.25" customHeight="1">
      <c r="A747" s="40"/>
      <c r="B747" s="109"/>
      <c r="C747" s="109"/>
      <c r="D747" s="110"/>
      <c r="E747" s="110"/>
      <c r="F747" s="109"/>
      <c r="G747" s="111"/>
      <c r="H747" s="112"/>
      <c r="I747" s="40"/>
      <c r="J747" s="109"/>
      <c r="K747" s="109"/>
      <c r="L747" s="110"/>
      <c r="M747" s="40"/>
      <c r="N747" s="110"/>
      <c r="O747" s="109"/>
      <c r="P747" s="9"/>
      <c r="Q747" s="9"/>
      <c r="R747" s="40"/>
      <c r="S747" s="40"/>
      <c r="T747" s="113"/>
      <c r="U747" s="114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ht="35.25" customHeight="1">
      <c r="A748" s="40"/>
      <c r="B748" s="109"/>
      <c r="C748" s="109"/>
      <c r="D748" s="110"/>
      <c r="E748" s="110"/>
      <c r="F748" s="109"/>
      <c r="G748" s="111"/>
      <c r="H748" s="112"/>
      <c r="I748" s="40"/>
      <c r="J748" s="109"/>
      <c r="K748" s="109"/>
      <c r="L748" s="110"/>
      <c r="M748" s="40"/>
      <c r="N748" s="110"/>
      <c r="O748" s="109"/>
      <c r="P748" s="9"/>
      <c r="Q748" s="9"/>
      <c r="R748" s="40"/>
      <c r="S748" s="40"/>
      <c r="T748" s="113"/>
      <c r="U748" s="114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 ht="35.25" customHeight="1">
      <c r="A749" s="40"/>
      <c r="B749" s="109"/>
      <c r="C749" s="109"/>
      <c r="D749" s="110"/>
      <c r="E749" s="110"/>
      <c r="F749" s="109"/>
      <c r="G749" s="111"/>
      <c r="H749" s="112"/>
      <c r="I749" s="40"/>
      <c r="J749" s="109"/>
      <c r="K749" s="109"/>
      <c r="L749" s="110"/>
      <c r="M749" s="40"/>
      <c r="N749" s="110"/>
      <c r="O749" s="109"/>
      <c r="P749" s="9"/>
      <c r="Q749" s="9"/>
      <c r="R749" s="40"/>
      <c r="S749" s="40"/>
      <c r="T749" s="113"/>
      <c r="U749" s="114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ht="35.25" customHeight="1">
      <c r="A750" s="40"/>
      <c r="B750" s="109"/>
      <c r="C750" s="109"/>
      <c r="D750" s="110"/>
      <c r="E750" s="110"/>
      <c r="F750" s="109"/>
      <c r="G750" s="111"/>
      <c r="H750" s="112"/>
      <c r="I750" s="40"/>
      <c r="J750" s="109"/>
      <c r="K750" s="109"/>
      <c r="L750" s="110"/>
      <c r="M750" s="40"/>
      <c r="N750" s="110"/>
      <c r="O750" s="109"/>
      <c r="P750" s="9"/>
      <c r="Q750" s="9"/>
      <c r="R750" s="40"/>
      <c r="S750" s="40"/>
      <c r="T750" s="113"/>
      <c r="U750" s="114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</sheetData>
  <autoFilter ref="$A$1:$V$741">
    <sortState ref="A1:V741">
      <sortCondition ref="B1:B741"/>
    </sortState>
  </autoFilter>
  <conditionalFormatting sqref="H1:H439 O140:O142">
    <cfRule type="cellIs" dxfId="4" priority="1" operator="equal">
      <formula>"FATURADO"</formula>
    </cfRule>
  </conditionalFormatting>
  <conditionalFormatting sqref="H1:H439 O140:O142">
    <cfRule type="cellIs" dxfId="5" priority="2" operator="equal">
      <formula>"Em andamento "</formula>
    </cfRule>
  </conditionalFormatting>
  <conditionalFormatting sqref="H1:H439 O140:O142">
    <cfRule type="cellIs" dxfId="6" priority="3" operator="equal">
      <formula>"Em andamento"</formula>
    </cfRule>
  </conditionalFormatting>
  <conditionalFormatting sqref="H1:H439 O140:O142">
    <cfRule type="cellIs" dxfId="7" priority="4" operator="equal">
      <formula>"Em andamento"</formula>
    </cfRule>
  </conditionalFormatting>
  <conditionalFormatting sqref="H1:H439 O140:O142">
    <cfRule type="cellIs" dxfId="8" priority="5" operator="equal">
      <formula>"GANHOU"</formula>
    </cfRule>
  </conditionalFormatting>
  <conditionalFormatting sqref="H1:H439 O140:O142">
    <cfRule type="cellIs" dxfId="4" priority="6" operator="equal">
      <formula>"FATURADO "</formula>
    </cfRule>
  </conditionalFormatting>
  <conditionalFormatting sqref="H1:H439 O140:O142">
    <cfRule type="cellIs" dxfId="5" priority="7" operator="equal">
      <formula>"Em andamento"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8.71"/>
    <col customWidth="1" min="3" max="3" width="32.29"/>
    <col customWidth="1" min="4" max="4" width="14.29"/>
    <col customWidth="1" min="5" max="5" width="17.14"/>
    <col customWidth="1" min="6" max="6" width="8.57"/>
    <col customWidth="1" min="7" max="7" width="17.14"/>
    <col customWidth="1" min="8" max="8" width="10.14"/>
    <col customWidth="1" min="9" max="9" width="9.57"/>
    <col customWidth="1" min="10" max="26" width="8.71"/>
  </cols>
  <sheetData>
    <row r="1">
      <c r="A1" s="138" t="s">
        <v>2648</v>
      </c>
      <c r="B1" s="138" t="s">
        <v>2649</v>
      </c>
      <c r="C1" s="138" t="s">
        <v>2650</v>
      </c>
      <c r="D1" s="139" t="s">
        <v>2651</v>
      </c>
      <c r="E1" s="139" t="s">
        <v>2652</v>
      </c>
      <c r="F1" s="138" t="s">
        <v>2653</v>
      </c>
      <c r="G1" s="140" t="s">
        <v>2654</v>
      </c>
      <c r="H1" s="141" t="s">
        <v>2655</v>
      </c>
      <c r="I1" s="142" t="s">
        <v>2656</v>
      </c>
      <c r="J1" s="143" t="s">
        <v>2657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4" t="s">
        <v>2658</v>
      </c>
      <c r="B2" s="144" t="s">
        <v>2659</v>
      </c>
      <c r="C2" s="144" t="s">
        <v>2660</v>
      </c>
      <c r="D2" s="145">
        <v>44939.0</v>
      </c>
      <c r="E2" s="145">
        <v>44919.0</v>
      </c>
      <c r="F2" s="144">
        <v>2135998.0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44" t="s">
        <v>2661</v>
      </c>
      <c r="B3" s="144" t="s">
        <v>2662</v>
      </c>
      <c r="C3" s="144" t="s">
        <v>2660</v>
      </c>
      <c r="D3" s="145">
        <v>44939.0</v>
      </c>
      <c r="E3" s="145">
        <v>44885.0</v>
      </c>
      <c r="F3" s="144">
        <v>2135998.0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1711</v>
      </c>
      <c r="B4" s="11" t="s">
        <v>2663</v>
      </c>
      <c r="C4" s="146" t="s">
        <v>1712</v>
      </c>
      <c r="D4" s="10">
        <v>44981.0</v>
      </c>
      <c r="E4" s="10" t="s">
        <v>2664</v>
      </c>
      <c r="F4" s="11" t="s">
        <v>2665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2658</v>
      </c>
      <c r="B5" s="11" t="s">
        <v>2666</v>
      </c>
      <c r="C5" s="11" t="s">
        <v>2667</v>
      </c>
      <c r="D5" s="10">
        <v>44973.0</v>
      </c>
      <c r="E5" s="10"/>
      <c r="F5" s="11" t="s">
        <v>2665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2658</v>
      </c>
      <c r="B6" s="11" t="s">
        <v>2666</v>
      </c>
      <c r="C6" s="11" t="s">
        <v>2668</v>
      </c>
      <c r="D6" s="10">
        <v>44888.0</v>
      </c>
      <c r="E6" s="10"/>
      <c r="F6" s="11" t="s">
        <v>2669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2658</v>
      </c>
      <c r="B7" s="11" t="s">
        <v>2666</v>
      </c>
      <c r="C7" s="11" t="s">
        <v>2668</v>
      </c>
      <c r="D7" s="10"/>
      <c r="E7" s="10"/>
      <c r="F7" s="11" t="s">
        <v>2665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2658</v>
      </c>
      <c r="B8" s="11" t="s">
        <v>2666</v>
      </c>
      <c r="C8" s="27" t="s">
        <v>2670</v>
      </c>
      <c r="D8" s="10">
        <v>44994.0</v>
      </c>
      <c r="E8" s="10"/>
      <c r="F8" s="11" t="s">
        <v>2665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2671</v>
      </c>
      <c r="B9" s="11" t="s">
        <v>2672</v>
      </c>
      <c r="C9" s="147" t="s">
        <v>1786</v>
      </c>
      <c r="D9" s="148">
        <v>45007.0</v>
      </c>
      <c r="E9" s="10">
        <v>44919.0</v>
      </c>
      <c r="F9" s="11" t="s">
        <v>2673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 t="s">
        <v>393</v>
      </c>
      <c r="B10" s="11" t="s">
        <v>2674</v>
      </c>
      <c r="C10" s="11" t="s">
        <v>2675</v>
      </c>
      <c r="D10" s="10">
        <v>44986.0</v>
      </c>
      <c r="E10" s="10">
        <v>44626.0</v>
      </c>
      <c r="F10" s="11" t="s">
        <v>2669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393</v>
      </c>
      <c r="B11" s="11" t="s">
        <v>2674</v>
      </c>
      <c r="C11" s="11" t="s">
        <v>2676</v>
      </c>
      <c r="D11" s="10">
        <v>44986.0</v>
      </c>
      <c r="E11" s="10">
        <v>44626.0</v>
      </c>
      <c r="F11" s="11" t="s">
        <v>2669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 t="s">
        <v>2677</v>
      </c>
      <c r="B12" s="11" t="s">
        <v>2678</v>
      </c>
      <c r="C12" s="149" t="s">
        <v>2679</v>
      </c>
      <c r="D12" s="148">
        <v>44987.0</v>
      </c>
      <c r="E12" s="10"/>
      <c r="F12" s="34" t="s">
        <v>2665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2680</v>
      </c>
      <c r="B13" s="11" t="s">
        <v>2678</v>
      </c>
      <c r="C13" s="150" t="s">
        <v>1218</v>
      </c>
      <c r="D13" s="10">
        <v>44987.0</v>
      </c>
      <c r="E13" s="10"/>
      <c r="F13" s="34" t="s">
        <v>2665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2680</v>
      </c>
      <c r="B14" s="11" t="s">
        <v>2681</v>
      </c>
      <c r="C14" s="150" t="s">
        <v>1218</v>
      </c>
      <c r="D14" s="10">
        <v>44987.0</v>
      </c>
      <c r="E14" s="10"/>
      <c r="F14" s="34" t="s">
        <v>2665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2682</v>
      </c>
      <c r="B15" s="11" t="s">
        <v>2683</v>
      </c>
      <c r="C15" s="11" t="s">
        <v>2684</v>
      </c>
      <c r="D15" s="10">
        <v>44928.0</v>
      </c>
      <c r="E15" s="10"/>
      <c r="F15" s="11" t="s">
        <v>2685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2680</v>
      </c>
      <c r="B16" s="11" t="s">
        <v>2686</v>
      </c>
      <c r="C16" s="11" t="s">
        <v>2687</v>
      </c>
      <c r="D16" s="10">
        <v>44984.0</v>
      </c>
      <c r="E16" s="10"/>
      <c r="F16" s="34" t="s">
        <v>2665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2680</v>
      </c>
      <c r="B17" s="11" t="s">
        <v>2688</v>
      </c>
      <c r="C17" s="11" t="s">
        <v>2689</v>
      </c>
      <c r="D17" s="10"/>
      <c r="E17" s="10"/>
      <c r="F17" s="34" t="s">
        <v>2690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2691</v>
      </c>
      <c r="B18" s="11" t="s">
        <v>2692</v>
      </c>
      <c r="C18" s="11" t="s">
        <v>2693</v>
      </c>
      <c r="D18" s="10"/>
      <c r="E18" s="10"/>
      <c r="F18" s="34" t="s">
        <v>2690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 t="s">
        <v>2691</v>
      </c>
      <c r="B19" s="11" t="s">
        <v>2692</v>
      </c>
      <c r="C19" s="11" t="s">
        <v>2694</v>
      </c>
      <c r="D19" s="10"/>
      <c r="E19" s="10"/>
      <c r="F19" s="34" t="s">
        <v>2690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 t="s">
        <v>2680</v>
      </c>
      <c r="B20" s="11" t="s">
        <v>2695</v>
      </c>
      <c r="C20" s="11" t="s">
        <v>2696</v>
      </c>
      <c r="D20" s="10">
        <v>44958.0</v>
      </c>
      <c r="E20" s="10"/>
      <c r="F20" s="34" t="s">
        <v>2697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1" t="s">
        <v>2658</v>
      </c>
      <c r="B21" s="11" t="s">
        <v>2698</v>
      </c>
      <c r="C21" s="11" t="s">
        <v>2699</v>
      </c>
      <c r="D21" s="10"/>
      <c r="E21" s="10">
        <v>45101.0</v>
      </c>
      <c r="F21" s="34" t="s">
        <v>2690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1" t="s">
        <v>1756</v>
      </c>
      <c r="B22" s="146" t="s">
        <v>2700</v>
      </c>
      <c r="C22" s="146" t="s">
        <v>1834</v>
      </c>
      <c r="D22" s="148"/>
      <c r="E22" s="148">
        <v>45108.0</v>
      </c>
      <c r="F22" s="34" t="s">
        <v>2690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1" t="s">
        <v>1756</v>
      </c>
      <c r="B23" s="146" t="s">
        <v>2700</v>
      </c>
      <c r="C23" s="146" t="s">
        <v>1835</v>
      </c>
      <c r="D23" s="148"/>
      <c r="E23" s="148">
        <v>45108.0</v>
      </c>
      <c r="F23" s="34" t="s">
        <v>2690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1" t="s">
        <v>1756</v>
      </c>
      <c r="B24" s="146" t="s">
        <v>2700</v>
      </c>
      <c r="C24" s="146" t="s">
        <v>1838</v>
      </c>
      <c r="D24" s="148"/>
      <c r="E24" s="148">
        <v>45108.0</v>
      </c>
      <c r="F24" s="34" t="s">
        <v>2690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1" t="s">
        <v>2677</v>
      </c>
      <c r="B25" s="11" t="s">
        <v>2701</v>
      </c>
      <c r="C25" s="11" t="s">
        <v>2702</v>
      </c>
      <c r="D25" s="10"/>
      <c r="E25" s="10">
        <v>44637.0</v>
      </c>
      <c r="F25" s="34" t="s">
        <v>2690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1" t="s">
        <v>2691</v>
      </c>
      <c r="B26" s="11" t="s">
        <v>2703</v>
      </c>
      <c r="C26" s="11" t="s">
        <v>1939</v>
      </c>
      <c r="D26" s="10"/>
      <c r="E26" s="10"/>
      <c r="F26" s="34" t="s">
        <v>2690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1" t="s">
        <v>2691</v>
      </c>
      <c r="B27" s="11" t="s">
        <v>2704</v>
      </c>
      <c r="C27" s="11" t="s">
        <v>1221</v>
      </c>
      <c r="D27" s="10"/>
      <c r="E27" s="10"/>
      <c r="F27" s="34" t="s">
        <v>2690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1" t="s">
        <v>2691</v>
      </c>
      <c r="B28" s="11" t="s">
        <v>2704</v>
      </c>
      <c r="C28" s="11" t="s">
        <v>1219</v>
      </c>
      <c r="D28" s="10"/>
      <c r="E28" s="10"/>
      <c r="F28" s="34" t="s">
        <v>2690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1" t="s">
        <v>2691</v>
      </c>
      <c r="B29" s="11" t="s">
        <v>2705</v>
      </c>
      <c r="C29" s="19" t="s">
        <v>2706</v>
      </c>
      <c r="D29" s="10">
        <v>44929.0</v>
      </c>
      <c r="E29" s="10"/>
      <c r="F29" s="3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1" t="s">
        <v>2707</v>
      </c>
      <c r="B30" s="11" t="s">
        <v>2708</v>
      </c>
      <c r="C30" s="11" t="s">
        <v>2709</v>
      </c>
      <c r="D30" s="10"/>
      <c r="E30" s="10"/>
      <c r="F30" s="34" t="s">
        <v>2690</v>
      </c>
      <c r="G30" s="151" t="s">
        <v>2710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1" t="s">
        <v>2707</v>
      </c>
      <c r="B31" s="11" t="s">
        <v>2708</v>
      </c>
      <c r="C31" s="11" t="s">
        <v>2711</v>
      </c>
      <c r="D31" s="10"/>
      <c r="E31" s="10"/>
      <c r="F31" s="34" t="s">
        <v>2690</v>
      </c>
      <c r="G31" s="151" t="s">
        <v>2710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1" t="s">
        <v>2712</v>
      </c>
      <c r="B32" s="11" t="s">
        <v>2713</v>
      </c>
      <c r="C32" s="11" t="s">
        <v>2714</v>
      </c>
      <c r="D32" s="10"/>
      <c r="E32" s="10">
        <v>44987.0</v>
      </c>
      <c r="F32" s="34" t="s">
        <v>2715</v>
      </c>
      <c r="G32" s="15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1" t="s">
        <v>2680</v>
      </c>
      <c r="B33" s="11" t="s">
        <v>2713</v>
      </c>
      <c r="C33" s="11" t="s">
        <v>2716</v>
      </c>
      <c r="D33" s="10"/>
      <c r="E33" s="10"/>
      <c r="F33" s="34" t="s">
        <v>2715</v>
      </c>
      <c r="G33" s="15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1" t="s">
        <v>2680</v>
      </c>
      <c r="B34" s="11" t="s">
        <v>2713</v>
      </c>
      <c r="C34" s="11" t="s">
        <v>2717</v>
      </c>
      <c r="D34" s="10"/>
      <c r="E34" s="10"/>
      <c r="F34" s="34" t="s">
        <v>2715</v>
      </c>
      <c r="G34" s="15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9"/>
      <c r="B35" s="19"/>
      <c r="C35" s="19"/>
      <c r="D35" s="152"/>
      <c r="E35" s="18"/>
      <c r="F35" s="1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1" t="s">
        <v>1883</v>
      </c>
      <c r="B36" s="11" t="s">
        <v>2718</v>
      </c>
      <c r="C36" s="11" t="s">
        <v>2719</v>
      </c>
      <c r="D36" s="10">
        <v>44918.0</v>
      </c>
      <c r="E36" s="10">
        <v>44718.0</v>
      </c>
      <c r="F36" s="11">
        <v>2128534.0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1" t="s">
        <v>2680</v>
      </c>
      <c r="B37" s="11" t="s">
        <v>2720</v>
      </c>
      <c r="C37" s="11" t="s">
        <v>2721</v>
      </c>
      <c r="D37" s="10">
        <v>44918.0</v>
      </c>
      <c r="E37" s="10"/>
      <c r="F37" s="11">
        <v>2128534.0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1" t="s">
        <v>2677</v>
      </c>
      <c r="B38" s="11" t="s">
        <v>2722</v>
      </c>
      <c r="C38" s="11" t="s">
        <v>2723</v>
      </c>
      <c r="D38" s="10">
        <v>44918.0</v>
      </c>
      <c r="E38" s="10"/>
      <c r="F38" s="11">
        <v>2128534.0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1" t="s">
        <v>2677</v>
      </c>
      <c r="B39" s="11" t="s">
        <v>2722</v>
      </c>
      <c r="C39" s="11" t="s">
        <v>2723</v>
      </c>
      <c r="D39" s="10">
        <v>44918.0</v>
      </c>
      <c r="E39" s="10">
        <v>44844.0</v>
      </c>
      <c r="F39" s="11">
        <v>2128534.0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1" t="s">
        <v>2691</v>
      </c>
      <c r="B40" s="11" t="s">
        <v>2724</v>
      </c>
      <c r="C40" s="34" t="s">
        <v>2725</v>
      </c>
      <c r="D40" s="10">
        <v>44918.0</v>
      </c>
      <c r="E40" s="150">
        <v>44900.0</v>
      </c>
      <c r="F40" s="11">
        <v>2128542.0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1" t="s">
        <v>2658</v>
      </c>
      <c r="B41" s="11" t="s">
        <v>2726</v>
      </c>
      <c r="C41" s="11" t="s">
        <v>2727</v>
      </c>
      <c r="D41" s="10">
        <v>44928.0</v>
      </c>
      <c r="E41" s="10">
        <v>44831.0</v>
      </c>
      <c r="F41" s="11">
        <v>2128534.0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1" t="s">
        <v>2658</v>
      </c>
      <c r="B42" s="11" t="s">
        <v>2659</v>
      </c>
      <c r="C42" s="11" t="s">
        <v>2728</v>
      </c>
      <c r="D42" s="10">
        <v>44928.0</v>
      </c>
      <c r="E42" s="10">
        <v>44868.0</v>
      </c>
      <c r="F42" s="11">
        <v>2128534.0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1" t="s">
        <v>2658</v>
      </c>
      <c r="B43" s="11" t="s">
        <v>2659</v>
      </c>
      <c r="C43" s="11" t="s">
        <v>2729</v>
      </c>
      <c r="D43" s="10">
        <v>44928.0</v>
      </c>
      <c r="E43" s="10">
        <v>44868.0</v>
      </c>
      <c r="F43" s="11">
        <v>2128534.0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1" t="s">
        <v>2680</v>
      </c>
      <c r="B44" s="11" t="s">
        <v>2730</v>
      </c>
      <c r="C44" s="11" t="s">
        <v>2731</v>
      </c>
      <c r="D44" s="10">
        <v>44923.0</v>
      </c>
      <c r="E44" s="10"/>
      <c r="F44" s="11">
        <v>2128534.0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1" t="s">
        <v>2680</v>
      </c>
      <c r="B45" s="11" t="s">
        <v>2730</v>
      </c>
      <c r="C45" s="11" t="s">
        <v>2723</v>
      </c>
      <c r="D45" s="10">
        <v>44923.0</v>
      </c>
      <c r="E45" s="10"/>
      <c r="F45" s="11">
        <v>2128534.0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1" t="s">
        <v>2680</v>
      </c>
      <c r="B46" s="11" t="s">
        <v>2681</v>
      </c>
      <c r="C46" s="150" t="s">
        <v>2732</v>
      </c>
      <c r="D46" s="10">
        <v>44923.0</v>
      </c>
      <c r="E46" s="10"/>
      <c r="F46" s="11">
        <v>2128534.0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1" t="s">
        <v>2680</v>
      </c>
      <c r="B47" s="11" t="s">
        <v>2681</v>
      </c>
      <c r="C47" s="150" t="s">
        <v>2711</v>
      </c>
      <c r="D47" s="10">
        <v>44923.0</v>
      </c>
      <c r="E47" s="10"/>
      <c r="F47" s="11">
        <v>2128534.0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1" t="s">
        <v>2680</v>
      </c>
      <c r="B48" s="11" t="s">
        <v>2681</v>
      </c>
      <c r="C48" s="150" t="s">
        <v>2733</v>
      </c>
      <c r="D48" s="10">
        <v>44923.0</v>
      </c>
      <c r="E48" s="10"/>
      <c r="F48" s="11">
        <v>2128534.0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1" t="s">
        <v>2680</v>
      </c>
      <c r="B49" s="11" t="s">
        <v>2681</v>
      </c>
      <c r="C49" s="150" t="s">
        <v>2734</v>
      </c>
      <c r="D49" s="10">
        <v>44923.0</v>
      </c>
      <c r="E49" s="10"/>
      <c r="F49" s="11">
        <v>2128534.0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1" t="s">
        <v>2682</v>
      </c>
      <c r="B50" s="11" t="s">
        <v>2683</v>
      </c>
      <c r="C50" s="11" t="s">
        <v>2735</v>
      </c>
      <c r="D50" s="10">
        <v>44928.0</v>
      </c>
      <c r="E50" s="10"/>
      <c r="F50" s="11">
        <v>2128534.0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1" t="s">
        <v>2682</v>
      </c>
      <c r="B51" s="11" t="s">
        <v>2683</v>
      </c>
      <c r="C51" s="11" t="s">
        <v>2736</v>
      </c>
      <c r="D51" s="10">
        <v>44928.0</v>
      </c>
      <c r="E51" s="10"/>
      <c r="F51" s="11">
        <v>2128534.0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1" t="s">
        <v>2682</v>
      </c>
      <c r="B52" s="11" t="s">
        <v>2683</v>
      </c>
      <c r="C52" s="11" t="s">
        <v>2737</v>
      </c>
      <c r="D52" s="10">
        <v>44928.0</v>
      </c>
      <c r="E52" s="10"/>
      <c r="F52" s="11">
        <v>2128534.0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1" t="s">
        <v>2682</v>
      </c>
      <c r="B53" s="11" t="s">
        <v>2683</v>
      </c>
      <c r="C53" s="11" t="s">
        <v>2738</v>
      </c>
      <c r="D53" s="10">
        <v>44928.0</v>
      </c>
      <c r="E53" s="10"/>
      <c r="F53" s="11">
        <v>2128534.0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1" t="s">
        <v>2682</v>
      </c>
      <c r="B54" s="11" t="s">
        <v>2683</v>
      </c>
      <c r="C54" s="11" t="s">
        <v>2739</v>
      </c>
      <c r="D54" s="10">
        <v>44928.0</v>
      </c>
      <c r="E54" s="10"/>
      <c r="F54" s="11">
        <v>2128534.0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1" t="s">
        <v>2682</v>
      </c>
      <c r="B55" s="11" t="s">
        <v>2683</v>
      </c>
      <c r="C55" s="11" t="s">
        <v>2740</v>
      </c>
      <c r="D55" s="10">
        <v>44928.0</v>
      </c>
      <c r="E55" s="10"/>
      <c r="F55" s="11">
        <v>2128534.0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1" t="s">
        <v>2682</v>
      </c>
      <c r="B56" s="11" t="s">
        <v>2683</v>
      </c>
      <c r="C56" s="11" t="s">
        <v>2741</v>
      </c>
      <c r="D56" s="10">
        <v>44928.0</v>
      </c>
      <c r="E56" s="10"/>
      <c r="F56" s="11">
        <v>2128534.0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1" t="s">
        <v>2680</v>
      </c>
      <c r="B57" s="11" t="s">
        <v>2692</v>
      </c>
      <c r="C57" s="11" t="s">
        <v>2742</v>
      </c>
      <c r="D57" s="10">
        <v>44918.0</v>
      </c>
      <c r="E57" s="10"/>
      <c r="F57" s="11">
        <v>2128534.0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1" t="s">
        <v>2743</v>
      </c>
      <c r="B58" s="11" t="s">
        <v>2695</v>
      </c>
      <c r="C58" s="11" t="s">
        <v>2744</v>
      </c>
      <c r="D58" s="10">
        <v>44928.0</v>
      </c>
      <c r="E58" s="10">
        <v>44981.0</v>
      </c>
      <c r="F58" s="11">
        <v>2128534.0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1" t="s">
        <v>690</v>
      </c>
      <c r="B59" s="11" t="s">
        <v>2745</v>
      </c>
      <c r="C59" s="11" t="s">
        <v>2746</v>
      </c>
      <c r="D59" s="10"/>
      <c r="E59" s="10">
        <v>45174.0</v>
      </c>
      <c r="F59" s="34"/>
      <c r="G59" s="9" t="s">
        <v>2747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1" t="s">
        <v>690</v>
      </c>
      <c r="B60" s="11" t="s">
        <v>2748</v>
      </c>
      <c r="C60" s="11" t="s">
        <v>2749</v>
      </c>
      <c r="D60" s="10"/>
      <c r="E60" s="10">
        <v>45192.0</v>
      </c>
      <c r="F60" s="34"/>
      <c r="G60" s="9" t="s">
        <v>2747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1" t="s">
        <v>690</v>
      </c>
      <c r="B61" s="11" t="s">
        <v>2748</v>
      </c>
      <c r="C61" s="11" t="s">
        <v>2750</v>
      </c>
      <c r="D61" s="10"/>
      <c r="E61" s="10">
        <v>45192.0</v>
      </c>
      <c r="F61" s="34"/>
      <c r="G61" s="9" t="s">
        <v>2747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1" t="s">
        <v>2691</v>
      </c>
      <c r="B62" s="11" t="s">
        <v>2751</v>
      </c>
      <c r="C62" s="27" t="s">
        <v>2752</v>
      </c>
      <c r="D62" s="10">
        <v>44911.0</v>
      </c>
      <c r="E62" s="10">
        <v>44844.0</v>
      </c>
      <c r="F62" s="11">
        <v>2117108.0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1" t="s">
        <v>2691</v>
      </c>
      <c r="B63" s="11" t="s">
        <v>2753</v>
      </c>
      <c r="C63" s="150" t="s">
        <v>2754</v>
      </c>
      <c r="D63" s="10">
        <v>44911.0</v>
      </c>
      <c r="E63" s="10">
        <v>44900.0</v>
      </c>
      <c r="F63" s="34">
        <v>2117108.0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1" t="s">
        <v>1471</v>
      </c>
      <c r="B64" s="11" t="s">
        <v>2755</v>
      </c>
      <c r="C64" s="150" t="s">
        <v>2756</v>
      </c>
      <c r="D64" s="10">
        <v>44911.0</v>
      </c>
      <c r="E64" s="10">
        <v>44900.0</v>
      </c>
      <c r="F64" s="34">
        <v>2117108.0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1" t="s">
        <v>1471</v>
      </c>
      <c r="B65" s="11" t="s">
        <v>2755</v>
      </c>
      <c r="C65" s="150" t="s">
        <v>2757</v>
      </c>
      <c r="D65" s="10">
        <v>44911.0</v>
      </c>
      <c r="E65" s="10">
        <v>44931.0</v>
      </c>
      <c r="F65" s="34">
        <v>2117108.0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1" t="s">
        <v>2680</v>
      </c>
      <c r="B66" s="11" t="s">
        <v>2681</v>
      </c>
      <c r="C66" s="150" t="s">
        <v>2709</v>
      </c>
      <c r="D66" s="10">
        <v>44911.0</v>
      </c>
      <c r="E66" s="10"/>
      <c r="F66" s="34">
        <v>2117108.0</v>
      </c>
      <c r="G66" s="9" t="s">
        <v>2758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1" t="s">
        <v>2680</v>
      </c>
      <c r="B67" s="11" t="s">
        <v>2681</v>
      </c>
      <c r="C67" s="150" t="s">
        <v>2709</v>
      </c>
      <c r="D67" s="10">
        <v>44911.0</v>
      </c>
      <c r="E67" s="10"/>
      <c r="F67" s="34">
        <v>2117108.0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1" t="s">
        <v>2677</v>
      </c>
      <c r="B68" s="11" t="s">
        <v>2759</v>
      </c>
      <c r="C68" s="11" t="s">
        <v>2760</v>
      </c>
      <c r="D68" s="10">
        <v>44911.0</v>
      </c>
      <c r="E68" s="10"/>
      <c r="F68" s="34">
        <v>2117108.0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1" t="s">
        <v>2677</v>
      </c>
      <c r="B69" s="11" t="s">
        <v>2759</v>
      </c>
      <c r="C69" s="11" t="s">
        <v>2761</v>
      </c>
      <c r="D69" s="10">
        <v>44911.0</v>
      </c>
      <c r="E69" s="10"/>
      <c r="F69" s="34">
        <v>2117108.0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1" t="s">
        <v>2680</v>
      </c>
      <c r="B70" s="11" t="s">
        <v>2759</v>
      </c>
      <c r="C70" s="11" t="s">
        <v>2762</v>
      </c>
      <c r="D70" s="10">
        <v>44909.0</v>
      </c>
      <c r="E70" s="10"/>
      <c r="F70" s="34">
        <v>2117108.0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1" t="s">
        <v>2680</v>
      </c>
      <c r="B71" s="11" t="s">
        <v>2759</v>
      </c>
      <c r="C71" s="11" t="s">
        <v>2754</v>
      </c>
      <c r="D71" s="10">
        <v>44930.0</v>
      </c>
      <c r="E71" s="10"/>
      <c r="F71" s="34">
        <v>2117108.0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1" t="s">
        <v>2680</v>
      </c>
      <c r="B72" s="11" t="s">
        <v>2763</v>
      </c>
      <c r="C72" s="11" t="s">
        <v>2764</v>
      </c>
      <c r="D72" s="10">
        <v>44910.0</v>
      </c>
      <c r="E72" s="10"/>
      <c r="F72" s="34" t="s">
        <v>2669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1" t="s">
        <v>2658</v>
      </c>
      <c r="B73" s="11" t="s">
        <v>2666</v>
      </c>
      <c r="C73" s="11" t="s">
        <v>2765</v>
      </c>
      <c r="D73" s="10">
        <v>45015.0</v>
      </c>
      <c r="E73" s="10"/>
      <c r="F73" s="11">
        <v>2092485.0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1" t="s">
        <v>2691</v>
      </c>
      <c r="B74" s="11" t="s">
        <v>2766</v>
      </c>
      <c r="C74" s="11" t="s">
        <v>1750</v>
      </c>
      <c r="D74" s="10">
        <v>44903.0</v>
      </c>
      <c r="E74" s="10">
        <v>44957.0</v>
      </c>
      <c r="F74" s="11">
        <v>2093024.0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1" t="s">
        <v>1883</v>
      </c>
      <c r="B75" s="11" t="s">
        <v>2767</v>
      </c>
      <c r="C75" s="11" t="s">
        <v>2768</v>
      </c>
      <c r="D75" s="10">
        <v>44858.0</v>
      </c>
      <c r="E75" s="10">
        <v>44946.0</v>
      </c>
      <c r="F75" s="32">
        <v>2085601.0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1" t="s">
        <v>1883</v>
      </c>
      <c r="B76" s="11" t="s">
        <v>2769</v>
      </c>
      <c r="C76" s="150" t="s">
        <v>2770</v>
      </c>
      <c r="D76" s="10"/>
      <c r="E76" s="10"/>
      <c r="F76" s="34" t="s">
        <v>2771</v>
      </c>
      <c r="G76" s="9" t="s">
        <v>2772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1" t="s">
        <v>2691</v>
      </c>
      <c r="B77" s="11" t="s">
        <v>2773</v>
      </c>
      <c r="C77" s="150" t="s">
        <v>2774</v>
      </c>
      <c r="D77" s="10"/>
      <c r="E77" s="10">
        <v>44998.0</v>
      </c>
      <c r="F77" s="34">
        <v>2084158.0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1" t="s">
        <v>2680</v>
      </c>
      <c r="B78" s="11" t="s">
        <v>2775</v>
      </c>
      <c r="C78" s="11" t="s">
        <v>2776</v>
      </c>
      <c r="D78" s="10">
        <v>44832.0</v>
      </c>
      <c r="E78" s="10"/>
      <c r="F78" s="11">
        <v>2067358.0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1" t="s">
        <v>2680</v>
      </c>
      <c r="B79" s="11" t="s">
        <v>2777</v>
      </c>
      <c r="C79" s="11" t="s">
        <v>2689</v>
      </c>
      <c r="D79" s="10">
        <v>44832.0</v>
      </c>
      <c r="E79" s="10">
        <v>44862.0</v>
      </c>
      <c r="F79" s="11">
        <v>2067050.0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1" t="s">
        <v>2680</v>
      </c>
      <c r="B80" s="11" t="s">
        <v>2778</v>
      </c>
      <c r="C80" s="11" t="s">
        <v>2779</v>
      </c>
      <c r="D80" s="10">
        <v>44832.0</v>
      </c>
      <c r="E80" s="10"/>
      <c r="F80" s="11">
        <v>2067050.0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1" t="s">
        <v>2780</v>
      </c>
      <c r="B81" s="11" t="s">
        <v>2781</v>
      </c>
      <c r="C81" s="11" t="s">
        <v>2782</v>
      </c>
      <c r="D81" s="10"/>
      <c r="E81" s="10">
        <v>44828.0</v>
      </c>
      <c r="F81" s="11" t="s">
        <v>2715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1" t="s">
        <v>2780</v>
      </c>
      <c r="B82" s="11" t="s">
        <v>2781</v>
      </c>
      <c r="C82" s="11" t="s">
        <v>2782</v>
      </c>
      <c r="D82" s="10"/>
      <c r="E82" s="10">
        <v>44866.0</v>
      </c>
      <c r="F82" s="11" t="s">
        <v>2715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1" t="s">
        <v>2677</v>
      </c>
      <c r="B83" s="11" t="s">
        <v>2781</v>
      </c>
      <c r="C83" s="11" t="s">
        <v>2783</v>
      </c>
      <c r="D83" s="10"/>
      <c r="E83" s="10">
        <v>44837.0</v>
      </c>
      <c r="F83" s="11" t="s">
        <v>2715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1" t="s">
        <v>2680</v>
      </c>
      <c r="B84" s="11" t="s">
        <v>2781</v>
      </c>
      <c r="C84" s="11" t="s">
        <v>2783</v>
      </c>
      <c r="D84" s="10"/>
      <c r="E84" s="10"/>
      <c r="F84" s="11" t="s">
        <v>2715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1" t="s">
        <v>2691</v>
      </c>
      <c r="B85" s="11" t="s">
        <v>2784</v>
      </c>
      <c r="C85" s="11" t="s">
        <v>2785</v>
      </c>
      <c r="D85" s="10">
        <v>44895.0</v>
      </c>
      <c r="E85" s="10">
        <v>44904.0</v>
      </c>
      <c r="F85" s="11">
        <v>2059875.0</v>
      </c>
      <c r="G85" s="9" t="s">
        <v>2772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1" t="s">
        <v>2680</v>
      </c>
      <c r="B86" s="11" t="s">
        <v>2724</v>
      </c>
      <c r="C86" s="11" t="s">
        <v>2689</v>
      </c>
      <c r="D86" s="150">
        <v>44816.0</v>
      </c>
      <c r="E86" s="11">
        <v>3.0</v>
      </c>
      <c r="F86" s="11">
        <v>2054504.0</v>
      </c>
      <c r="G86" s="9" t="s">
        <v>2772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1" t="s">
        <v>2680</v>
      </c>
      <c r="B87" s="11" t="s">
        <v>2724</v>
      </c>
      <c r="C87" s="11" t="s">
        <v>1218</v>
      </c>
      <c r="D87" s="150">
        <v>44816.0</v>
      </c>
      <c r="E87" s="11">
        <v>500.0</v>
      </c>
      <c r="F87" s="11">
        <v>2054504.0</v>
      </c>
      <c r="G87" s="9" t="s">
        <v>2772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1" t="s">
        <v>2680</v>
      </c>
      <c r="B88" s="11" t="s">
        <v>2724</v>
      </c>
      <c r="C88" s="11" t="s">
        <v>2786</v>
      </c>
      <c r="D88" s="150">
        <v>44816.0</v>
      </c>
      <c r="E88" s="11">
        <v>2.0</v>
      </c>
      <c r="F88" s="11">
        <v>2054504.0</v>
      </c>
      <c r="G88" s="9" t="s">
        <v>2772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1" t="s">
        <v>2680</v>
      </c>
      <c r="B89" s="11" t="s">
        <v>2724</v>
      </c>
      <c r="C89" s="11" t="s">
        <v>2787</v>
      </c>
      <c r="D89" s="150">
        <v>44799.0</v>
      </c>
      <c r="E89" s="11">
        <v>1.0</v>
      </c>
      <c r="F89" s="11">
        <v>2041683.0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1" t="s">
        <v>2680</v>
      </c>
      <c r="B90" s="11" t="s">
        <v>2724</v>
      </c>
      <c r="C90" s="11" t="s">
        <v>2788</v>
      </c>
      <c r="D90" s="150">
        <v>44799.0</v>
      </c>
      <c r="E90" s="11">
        <v>5.0</v>
      </c>
      <c r="F90" s="11">
        <v>2041683.0</v>
      </c>
      <c r="G90" s="9" t="s">
        <v>2789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1" t="s">
        <v>2680</v>
      </c>
      <c r="B91" s="11" t="s">
        <v>2724</v>
      </c>
      <c r="C91" s="11" t="s">
        <v>2790</v>
      </c>
      <c r="D91" s="150">
        <v>44799.0</v>
      </c>
      <c r="E91" s="11">
        <v>200.0</v>
      </c>
      <c r="F91" s="11">
        <v>2041683.0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1" t="s">
        <v>2680</v>
      </c>
      <c r="B92" s="11" t="s">
        <v>2724</v>
      </c>
      <c r="C92" s="11" t="s">
        <v>2791</v>
      </c>
      <c r="D92" s="150">
        <v>44799.0</v>
      </c>
      <c r="E92" s="11">
        <v>2.0</v>
      </c>
      <c r="F92" s="11">
        <v>2041683.0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1" t="s">
        <v>2680</v>
      </c>
      <c r="B93" s="11" t="s">
        <v>2724</v>
      </c>
      <c r="C93" s="11" t="s">
        <v>1221</v>
      </c>
      <c r="D93" s="150">
        <v>44799.0</v>
      </c>
      <c r="E93" s="11">
        <v>100.0</v>
      </c>
      <c r="F93" s="11">
        <v>2041683.0</v>
      </c>
      <c r="G93" s="9" t="s">
        <v>2792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1" t="s">
        <v>2680</v>
      </c>
      <c r="B94" s="11" t="s">
        <v>2724</v>
      </c>
      <c r="C94" s="11" t="s">
        <v>1219</v>
      </c>
      <c r="D94" s="150">
        <v>44799.0</v>
      </c>
      <c r="E94" s="11">
        <v>100.0</v>
      </c>
      <c r="F94" s="11">
        <v>2041683.0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1" t="s">
        <v>2680</v>
      </c>
      <c r="B95" s="11" t="s">
        <v>2724</v>
      </c>
      <c r="C95" s="11" t="s">
        <v>2793</v>
      </c>
      <c r="D95" s="150">
        <v>44792.0</v>
      </c>
      <c r="E95" s="11">
        <v>4.0</v>
      </c>
      <c r="F95" s="11">
        <v>2041683.0</v>
      </c>
      <c r="G95" s="9" t="s">
        <v>2794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1" t="s">
        <v>2680</v>
      </c>
      <c r="B96" s="11" t="s">
        <v>2724</v>
      </c>
      <c r="C96" s="11" t="s">
        <v>2795</v>
      </c>
      <c r="D96" s="150">
        <v>44798.0</v>
      </c>
      <c r="E96" s="11">
        <v>2.0</v>
      </c>
      <c r="F96" s="11">
        <v>2042911.0</v>
      </c>
      <c r="G96" s="9" t="s">
        <v>2794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1" t="s">
        <v>2680</v>
      </c>
      <c r="B97" s="11" t="s">
        <v>2724</v>
      </c>
      <c r="C97" s="11" t="s">
        <v>2796</v>
      </c>
      <c r="D97" s="150">
        <v>44798.0</v>
      </c>
      <c r="E97" s="11">
        <v>7.0</v>
      </c>
      <c r="F97" s="11">
        <v>2042911.0</v>
      </c>
      <c r="G97" s="9" t="s">
        <v>2797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1" t="s">
        <v>2680</v>
      </c>
      <c r="B98" s="11" t="s">
        <v>2724</v>
      </c>
      <c r="C98" s="11" t="s">
        <v>2798</v>
      </c>
      <c r="D98" s="150">
        <v>44798.0</v>
      </c>
      <c r="E98" s="11">
        <v>1.0</v>
      </c>
      <c r="F98" s="11">
        <v>2042911.0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1" t="s">
        <v>2680</v>
      </c>
      <c r="B99" s="11" t="s">
        <v>2724</v>
      </c>
      <c r="C99" s="11" t="s">
        <v>2799</v>
      </c>
      <c r="D99" s="150">
        <v>44798.0</v>
      </c>
      <c r="E99" s="11">
        <v>1.0</v>
      </c>
      <c r="F99" s="11">
        <v>2042911.0</v>
      </c>
      <c r="G99" s="9" t="s">
        <v>2800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1" t="s">
        <v>2680</v>
      </c>
      <c r="B100" s="11" t="s">
        <v>2724</v>
      </c>
      <c r="C100" s="11" t="s">
        <v>2801</v>
      </c>
      <c r="D100" s="150">
        <v>44798.0</v>
      </c>
      <c r="E100" s="11">
        <v>1.0</v>
      </c>
      <c r="F100" s="11">
        <v>2042911.0</v>
      </c>
      <c r="G100" s="9" t="s">
        <v>2802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1" t="s">
        <v>2680</v>
      </c>
      <c r="B101" s="11" t="s">
        <v>2724</v>
      </c>
      <c r="C101" s="11" t="s">
        <v>2709</v>
      </c>
      <c r="D101" s="150">
        <v>44767.0</v>
      </c>
      <c r="E101" s="11">
        <v>150.0</v>
      </c>
      <c r="F101" s="1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1" t="s">
        <v>2680</v>
      </c>
      <c r="B102" s="11" t="s">
        <v>2724</v>
      </c>
      <c r="C102" s="11" t="s">
        <v>2803</v>
      </c>
      <c r="D102" s="150">
        <v>44785.0</v>
      </c>
      <c r="E102" s="11">
        <v>150.0</v>
      </c>
      <c r="F102" s="11">
        <v>2033620.0</v>
      </c>
      <c r="G102" s="9" t="s">
        <v>2804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1" t="s">
        <v>2680</v>
      </c>
      <c r="B103" s="11" t="s">
        <v>2724</v>
      </c>
      <c r="C103" s="11" t="s">
        <v>2711</v>
      </c>
      <c r="D103" s="150">
        <v>44785.0</v>
      </c>
      <c r="E103" s="11">
        <v>300.0</v>
      </c>
      <c r="F103" s="11">
        <v>2033620.0</v>
      </c>
      <c r="G103" s="9" t="s">
        <v>2805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1" t="s">
        <v>2680</v>
      </c>
      <c r="B104" s="11" t="s">
        <v>2724</v>
      </c>
      <c r="C104" s="11" t="s">
        <v>2734</v>
      </c>
      <c r="D104" s="150">
        <v>44785.0</v>
      </c>
      <c r="E104" s="11">
        <v>50.0</v>
      </c>
      <c r="F104" s="11">
        <v>2033620.0</v>
      </c>
      <c r="G104" s="9" t="s">
        <v>2806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1" t="s">
        <v>2680</v>
      </c>
      <c r="B105" s="11" t="s">
        <v>2724</v>
      </c>
      <c r="C105" s="11" t="s">
        <v>2732</v>
      </c>
      <c r="D105" s="150">
        <v>44785.0</v>
      </c>
      <c r="E105" s="11">
        <v>100.0</v>
      </c>
      <c r="F105" s="11">
        <v>2033620.0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1" t="s">
        <v>2680</v>
      </c>
      <c r="B106" s="11" t="s">
        <v>2724</v>
      </c>
      <c r="C106" s="11" t="s">
        <v>2731</v>
      </c>
      <c r="D106" s="150">
        <v>44785.0</v>
      </c>
      <c r="E106" s="11">
        <v>1.0</v>
      </c>
      <c r="F106" s="11">
        <v>2033620.0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1" t="s">
        <v>2680</v>
      </c>
      <c r="B107" s="11" t="s">
        <v>2724</v>
      </c>
      <c r="C107" s="11" t="s">
        <v>2807</v>
      </c>
      <c r="D107" s="150">
        <v>44785.0</v>
      </c>
      <c r="E107" s="11">
        <v>2.0</v>
      </c>
      <c r="F107" s="11">
        <v>2033620.0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1" t="s">
        <v>2680</v>
      </c>
      <c r="B108" s="11" t="s">
        <v>2724</v>
      </c>
      <c r="C108" s="11" t="s">
        <v>2808</v>
      </c>
      <c r="D108" s="150">
        <v>44785.0</v>
      </c>
      <c r="E108" s="11">
        <v>1.0</v>
      </c>
      <c r="F108" s="11">
        <v>2033620.0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1" t="s">
        <v>2680</v>
      </c>
      <c r="B109" s="11" t="s">
        <v>2724</v>
      </c>
      <c r="C109" s="11" t="s">
        <v>2809</v>
      </c>
      <c r="D109" s="150">
        <v>44785.0</v>
      </c>
      <c r="E109" s="11">
        <v>3.0</v>
      </c>
      <c r="F109" s="11">
        <v>2033620.0</v>
      </c>
      <c r="G109" s="9" t="s">
        <v>2810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1" t="s">
        <v>2680</v>
      </c>
      <c r="B110" s="11" t="s">
        <v>2724</v>
      </c>
      <c r="C110" s="11" t="s">
        <v>2811</v>
      </c>
      <c r="D110" s="150">
        <v>44767.0</v>
      </c>
      <c r="E110" s="11">
        <v>1.0</v>
      </c>
      <c r="F110" s="37">
        <v>2018422.0</v>
      </c>
      <c r="G110" s="9" t="s">
        <v>2812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1" t="s">
        <v>2680</v>
      </c>
      <c r="B111" s="11" t="s">
        <v>2724</v>
      </c>
      <c r="C111" s="11" t="s">
        <v>2813</v>
      </c>
      <c r="D111" s="150">
        <v>44767.0</v>
      </c>
      <c r="E111" s="11">
        <v>1.0</v>
      </c>
      <c r="F111" s="11">
        <v>2018422.0</v>
      </c>
      <c r="G111" s="9" t="s">
        <v>2814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1" t="s">
        <v>2680</v>
      </c>
      <c r="B112" s="11" t="s">
        <v>2724</v>
      </c>
      <c r="C112" s="11" t="s">
        <v>2815</v>
      </c>
      <c r="D112" s="150">
        <v>44767.0</v>
      </c>
      <c r="E112" s="11">
        <v>4.0</v>
      </c>
      <c r="F112" s="37">
        <v>2018422.0</v>
      </c>
      <c r="G112" s="9" t="s">
        <v>2816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1" t="s">
        <v>2680</v>
      </c>
      <c r="B113" s="11" t="s">
        <v>2724</v>
      </c>
      <c r="C113" s="11" t="s">
        <v>2817</v>
      </c>
      <c r="D113" s="150">
        <v>44767.0</v>
      </c>
      <c r="E113" s="11">
        <v>1.0</v>
      </c>
      <c r="F113" s="37">
        <v>2018422.0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1" t="s">
        <v>2680</v>
      </c>
      <c r="B114" s="11" t="s">
        <v>2724</v>
      </c>
      <c r="C114" s="11" t="s">
        <v>2818</v>
      </c>
      <c r="D114" s="150">
        <v>44767.0</v>
      </c>
      <c r="E114" s="11">
        <v>5.0</v>
      </c>
      <c r="F114" s="37">
        <v>2018422.0</v>
      </c>
      <c r="G114" s="9" t="s">
        <v>2819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1" t="s">
        <v>2680</v>
      </c>
      <c r="B115" s="11" t="s">
        <v>2724</v>
      </c>
      <c r="C115" s="11" t="s">
        <v>2820</v>
      </c>
      <c r="D115" s="150">
        <v>44767.0</v>
      </c>
      <c r="E115" s="11">
        <v>5.0</v>
      </c>
      <c r="F115" s="11">
        <v>2018422.0</v>
      </c>
      <c r="G115" s="9" t="s">
        <v>2821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1" t="s">
        <v>2680</v>
      </c>
      <c r="B116" s="11" t="s">
        <v>2724</v>
      </c>
      <c r="C116" s="11" t="s">
        <v>2822</v>
      </c>
      <c r="D116" s="150">
        <v>44767.0</v>
      </c>
      <c r="E116" s="11">
        <v>4.0</v>
      </c>
      <c r="F116" s="37">
        <v>2018422.0</v>
      </c>
      <c r="G116" s="9" t="s">
        <v>2823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1" t="s">
        <v>2680</v>
      </c>
      <c r="B117" s="11" t="s">
        <v>2724</v>
      </c>
      <c r="C117" s="11" t="s">
        <v>2824</v>
      </c>
      <c r="D117" s="150">
        <v>44767.0</v>
      </c>
      <c r="E117" s="11">
        <v>6.0</v>
      </c>
      <c r="F117" s="11">
        <v>2018422.0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1" t="s">
        <v>2680</v>
      </c>
      <c r="B118" s="11" t="s">
        <v>2724</v>
      </c>
      <c r="C118" s="11" t="s">
        <v>2762</v>
      </c>
      <c r="D118" s="150">
        <v>44767.0</v>
      </c>
      <c r="E118" s="11">
        <v>160.0</v>
      </c>
      <c r="F118" s="37">
        <v>2018422.0</v>
      </c>
      <c r="G118" s="9" t="s">
        <v>2825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1" t="s">
        <v>2680</v>
      </c>
      <c r="B119" s="11" t="s">
        <v>2724</v>
      </c>
      <c r="C119" s="11" t="s">
        <v>2754</v>
      </c>
      <c r="D119" s="150">
        <v>44767.0</v>
      </c>
      <c r="E119" s="11">
        <v>100.0</v>
      </c>
      <c r="F119" s="37">
        <v>2018422.0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1" t="s">
        <v>2680</v>
      </c>
      <c r="B120" s="11" t="s">
        <v>2724</v>
      </c>
      <c r="C120" s="11" t="s">
        <v>2826</v>
      </c>
      <c r="D120" s="150">
        <v>44767.0</v>
      </c>
      <c r="E120" s="11">
        <v>100.0</v>
      </c>
      <c r="F120" s="37">
        <v>2018422.0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1" t="s">
        <v>2680</v>
      </c>
      <c r="B121" s="11" t="s">
        <v>2724</v>
      </c>
      <c r="C121" s="11" t="s">
        <v>2827</v>
      </c>
      <c r="D121" s="150">
        <v>44767.0</v>
      </c>
      <c r="E121" s="11">
        <v>1.0</v>
      </c>
      <c r="F121" s="37">
        <v>2018422.0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1" t="s">
        <v>2680</v>
      </c>
      <c r="B122" s="11" t="s">
        <v>2724</v>
      </c>
      <c r="C122" s="11" t="s">
        <v>2828</v>
      </c>
      <c r="D122" s="150">
        <v>44767.0</v>
      </c>
      <c r="E122" s="11">
        <v>5.0</v>
      </c>
      <c r="F122" s="37">
        <v>2018422.0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1" t="s">
        <v>2680</v>
      </c>
      <c r="B123" s="11" t="s">
        <v>2724</v>
      </c>
      <c r="C123" s="11" t="s">
        <v>2742</v>
      </c>
      <c r="D123" s="150">
        <v>44767.0</v>
      </c>
      <c r="E123" s="11">
        <v>3.0</v>
      </c>
      <c r="F123" s="11">
        <v>2018422.0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1" t="s">
        <v>2691</v>
      </c>
      <c r="B124" s="11" t="s">
        <v>2829</v>
      </c>
      <c r="C124" s="11" t="s">
        <v>2830</v>
      </c>
      <c r="D124" s="10"/>
      <c r="E124" s="10"/>
      <c r="F124" s="11" t="s">
        <v>2772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1" t="s">
        <v>2680</v>
      </c>
      <c r="B125" s="11" t="s">
        <v>2831</v>
      </c>
      <c r="C125" s="11" t="s">
        <v>2762</v>
      </c>
      <c r="D125" s="10">
        <v>44809.0</v>
      </c>
      <c r="E125" s="10"/>
      <c r="F125" s="11">
        <v>2053394.0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1" t="s">
        <v>2671</v>
      </c>
      <c r="B126" s="11" t="s">
        <v>2832</v>
      </c>
      <c r="C126" s="11" t="s">
        <v>2833</v>
      </c>
      <c r="D126" s="10">
        <v>44861.0</v>
      </c>
      <c r="E126" s="10">
        <v>44834.0</v>
      </c>
      <c r="F126" s="11">
        <v>2051020.0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1" t="s">
        <v>1883</v>
      </c>
      <c r="B127" s="11" t="s">
        <v>2834</v>
      </c>
      <c r="C127" s="11">
        <v>1.240122E7</v>
      </c>
      <c r="D127" s="10">
        <v>44799.0</v>
      </c>
      <c r="E127" s="10">
        <v>44845.0</v>
      </c>
      <c r="F127" s="11">
        <v>2041684.0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1" t="s">
        <v>2835</v>
      </c>
      <c r="B128" s="11" t="s">
        <v>2836</v>
      </c>
      <c r="C128" s="11" t="s">
        <v>2837</v>
      </c>
      <c r="D128" s="11"/>
      <c r="E128" s="10">
        <v>44715.0</v>
      </c>
      <c r="F128" s="11">
        <v>2024038.0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1" t="s">
        <v>2691</v>
      </c>
      <c r="B129" s="11" t="s">
        <v>2838</v>
      </c>
      <c r="C129" s="11" t="s">
        <v>2839</v>
      </c>
      <c r="D129" s="10">
        <v>44814.0</v>
      </c>
      <c r="E129" s="10"/>
      <c r="F129" s="11">
        <v>2021368.0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1" t="s">
        <v>2691</v>
      </c>
      <c r="B130" s="11" t="s">
        <v>2840</v>
      </c>
      <c r="C130" s="11" t="s">
        <v>2841</v>
      </c>
      <c r="D130" s="10"/>
      <c r="E130" s="10"/>
      <c r="F130" s="11">
        <v>2021368.0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1" t="s">
        <v>2691</v>
      </c>
      <c r="B131" s="11" t="s">
        <v>2840</v>
      </c>
      <c r="C131" s="11" t="s">
        <v>2842</v>
      </c>
      <c r="D131" s="11"/>
      <c r="E131" s="10"/>
      <c r="F131" s="11">
        <v>2018421.0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1" t="s">
        <v>2691</v>
      </c>
      <c r="B132" s="11" t="s">
        <v>2843</v>
      </c>
      <c r="C132" s="11" t="s">
        <v>2844</v>
      </c>
      <c r="D132" s="11"/>
      <c r="E132" s="10"/>
      <c r="F132" s="11">
        <v>2018421.0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1" t="s">
        <v>2691</v>
      </c>
      <c r="B133" s="11" t="s">
        <v>2845</v>
      </c>
      <c r="C133" s="11" t="s">
        <v>2833</v>
      </c>
      <c r="D133" s="10">
        <v>44763.0</v>
      </c>
      <c r="E133" s="10"/>
      <c r="F133" s="11">
        <v>2013623.0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1" t="s">
        <v>2680</v>
      </c>
      <c r="B134" s="11" t="s">
        <v>2846</v>
      </c>
      <c r="C134" s="11" t="s">
        <v>2847</v>
      </c>
      <c r="D134" s="10"/>
      <c r="E134" s="10"/>
      <c r="F134" s="37">
        <v>2007889.0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1" t="s">
        <v>2691</v>
      </c>
      <c r="B135" s="11" t="s">
        <v>2846</v>
      </c>
      <c r="C135" s="11" t="s">
        <v>2848</v>
      </c>
      <c r="D135" s="10"/>
      <c r="E135" s="10"/>
      <c r="F135" s="37">
        <v>2007889.0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1" t="s">
        <v>2691</v>
      </c>
      <c r="B136" s="11" t="s">
        <v>2846</v>
      </c>
      <c r="C136" s="11" t="s">
        <v>2849</v>
      </c>
      <c r="D136" s="10"/>
      <c r="E136" s="10"/>
      <c r="F136" s="37">
        <v>2007889.0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1" t="s">
        <v>2691</v>
      </c>
      <c r="B137" s="11" t="s">
        <v>2846</v>
      </c>
      <c r="C137" s="11" t="s">
        <v>2850</v>
      </c>
      <c r="D137" s="10"/>
      <c r="E137" s="10"/>
      <c r="F137" s="37">
        <v>2007889.0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1" t="s">
        <v>2691</v>
      </c>
      <c r="B138" s="11" t="s">
        <v>2851</v>
      </c>
      <c r="C138" s="11" t="s">
        <v>2852</v>
      </c>
      <c r="D138" s="10"/>
      <c r="E138" s="10"/>
      <c r="F138" s="37">
        <v>2007889.0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1" t="s">
        <v>2691</v>
      </c>
      <c r="B139" s="11" t="s">
        <v>2851</v>
      </c>
      <c r="C139" s="11" t="s">
        <v>2853</v>
      </c>
      <c r="D139" s="10"/>
      <c r="E139" s="10"/>
      <c r="F139" s="37">
        <v>2007889.0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1" t="s">
        <v>2691</v>
      </c>
      <c r="B140" s="11" t="s">
        <v>2854</v>
      </c>
      <c r="C140" s="11" t="s">
        <v>2855</v>
      </c>
      <c r="D140" s="10"/>
      <c r="E140" s="10"/>
      <c r="F140" s="37">
        <v>2007889.0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1" t="s">
        <v>2691</v>
      </c>
      <c r="B141" s="11" t="s">
        <v>2854</v>
      </c>
      <c r="C141" s="11" t="s">
        <v>2856</v>
      </c>
      <c r="D141" s="10"/>
      <c r="E141" s="10"/>
      <c r="F141" s="37">
        <v>2007889.0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1" t="s">
        <v>2691</v>
      </c>
      <c r="B142" s="11" t="s">
        <v>2854</v>
      </c>
      <c r="C142" s="11" t="s">
        <v>2857</v>
      </c>
      <c r="D142" s="10"/>
      <c r="E142" s="10"/>
      <c r="F142" s="37">
        <v>2007889.0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1" t="s">
        <v>2691</v>
      </c>
      <c r="B143" s="11" t="s">
        <v>2858</v>
      </c>
      <c r="C143" s="11" t="s">
        <v>2842</v>
      </c>
      <c r="D143" s="10"/>
      <c r="E143" s="10"/>
      <c r="F143" s="37">
        <v>2007889.0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1" t="s">
        <v>2691</v>
      </c>
      <c r="B144" s="11" t="s">
        <v>2858</v>
      </c>
      <c r="C144" s="11" t="s">
        <v>2841</v>
      </c>
      <c r="D144" s="10"/>
      <c r="E144" s="10"/>
      <c r="F144" s="37">
        <v>2007889.0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1" t="s">
        <v>2691</v>
      </c>
      <c r="B145" s="11" t="s">
        <v>2859</v>
      </c>
      <c r="C145" s="11" t="s">
        <v>2860</v>
      </c>
      <c r="D145" s="10"/>
      <c r="E145" s="10"/>
      <c r="F145" s="37">
        <v>2007889.0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1" t="s">
        <v>2691</v>
      </c>
      <c r="B146" s="11" t="s">
        <v>2861</v>
      </c>
      <c r="C146" s="11" t="s">
        <v>2862</v>
      </c>
      <c r="D146" s="10"/>
      <c r="E146" s="10"/>
      <c r="F146" s="37">
        <v>2007889.0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1" t="s">
        <v>2691</v>
      </c>
      <c r="B147" s="11" t="s">
        <v>2840</v>
      </c>
      <c r="C147" s="11" t="s">
        <v>2863</v>
      </c>
      <c r="D147" s="10"/>
      <c r="E147" s="10"/>
      <c r="F147" s="37">
        <v>2007889.0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1" t="s">
        <v>2680</v>
      </c>
      <c r="B148" s="11" t="s">
        <v>2864</v>
      </c>
      <c r="C148" s="11" t="s">
        <v>2865</v>
      </c>
      <c r="D148" s="10"/>
      <c r="E148" s="10"/>
      <c r="F148" s="37">
        <v>2007889.0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1" t="s">
        <v>1640</v>
      </c>
      <c r="B149" s="11" t="s">
        <v>2866</v>
      </c>
      <c r="C149" s="11" t="s">
        <v>2867</v>
      </c>
      <c r="D149" s="10"/>
      <c r="E149" s="10"/>
      <c r="F149" s="37">
        <v>2007889.0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1" t="s">
        <v>2658</v>
      </c>
      <c r="B150" s="11" t="s">
        <v>2868</v>
      </c>
      <c r="C150" s="11" t="s">
        <v>2869</v>
      </c>
      <c r="D150" s="10"/>
      <c r="E150" s="10"/>
      <c r="F150" s="37">
        <v>2007889.0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1" t="s">
        <v>2691</v>
      </c>
      <c r="B151" s="11" t="s">
        <v>2870</v>
      </c>
      <c r="C151" s="11" t="s">
        <v>2871</v>
      </c>
      <c r="D151" s="10"/>
      <c r="E151" s="10"/>
      <c r="F151" s="11">
        <v>2007889.0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1" t="s">
        <v>2680</v>
      </c>
      <c r="B152" s="11" t="s">
        <v>2872</v>
      </c>
      <c r="C152" s="11" t="s">
        <v>2873</v>
      </c>
      <c r="D152" s="10" t="s">
        <v>2874</v>
      </c>
      <c r="E152" s="10"/>
      <c r="F152" s="37">
        <v>1992108.0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1" t="s">
        <v>2680</v>
      </c>
      <c r="B153" s="11" t="s">
        <v>2872</v>
      </c>
      <c r="C153" s="11" t="s">
        <v>2875</v>
      </c>
      <c r="D153" s="10" t="s">
        <v>2874</v>
      </c>
      <c r="E153" s="10"/>
      <c r="F153" s="37">
        <v>1992108.0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1" t="s">
        <v>2680</v>
      </c>
      <c r="B154" s="11" t="s">
        <v>2872</v>
      </c>
      <c r="C154" s="11" t="s">
        <v>2876</v>
      </c>
      <c r="D154" s="10" t="s">
        <v>2874</v>
      </c>
      <c r="E154" s="10"/>
      <c r="F154" s="37">
        <v>1992885.0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1" t="s">
        <v>2680</v>
      </c>
      <c r="B155" s="11" t="s">
        <v>2872</v>
      </c>
      <c r="C155" s="11" t="s">
        <v>2877</v>
      </c>
      <c r="D155" s="10" t="s">
        <v>2874</v>
      </c>
      <c r="E155" s="10"/>
      <c r="F155" s="37">
        <v>1992885.0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1" t="s">
        <v>2680</v>
      </c>
      <c r="B156" s="11" t="s">
        <v>2872</v>
      </c>
      <c r="C156" s="11" t="s">
        <v>2878</v>
      </c>
      <c r="D156" s="10" t="s">
        <v>2874</v>
      </c>
      <c r="E156" s="10"/>
      <c r="F156" s="37">
        <v>1992108.0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1" t="s">
        <v>2680</v>
      </c>
      <c r="B157" s="11" t="s">
        <v>2872</v>
      </c>
      <c r="C157" s="11" t="s">
        <v>2879</v>
      </c>
      <c r="D157" s="10" t="s">
        <v>2874</v>
      </c>
      <c r="E157" s="10"/>
      <c r="F157" s="37">
        <v>1992108.0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1" t="s">
        <v>2680</v>
      </c>
      <c r="B158" s="11" t="s">
        <v>2872</v>
      </c>
      <c r="C158" s="11" t="s">
        <v>2880</v>
      </c>
      <c r="D158" s="10" t="s">
        <v>2874</v>
      </c>
      <c r="E158" s="10"/>
      <c r="F158" s="11">
        <v>1992885.0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1" t="s">
        <v>2680</v>
      </c>
      <c r="B159" s="11" t="s">
        <v>2872</v>
      </c>
      <c r="C159" s="34" t="s">
        <v>2881</v>
      </c>
      <c r="D159" s="10" t="s">
        <v>2874</v>
      </c>
      <c r="E159" s="10"/>
      <c r="F159" s="37">
        <v>1992108.0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1" t="s">
        <v>2658</v>
      </c>
      <c r="B160" s="11" t="s">
        <v>2726</v>
      </c>
      <c r="C160" s="11" t="s">
        <v>2882</v>
      </c>
      <c r="D160" s="10"/>
      <c r="E160" s="10"/>
      <c r="F160" s="11">
        <v>2001761.0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1" t="s">
        <v>2691</v>
      </c>
      <c r="B161" s="11" t="s">
        <v>2861</v>
      </c>
      <c r="C161" s="11" t="s">
        <v>1430</v>
      </c>
      <c r="D161" s="10">
        <v>44743.0</v>
      </c>
      <c r="E161" s="10"/>
      <c r="F161" s="11">
        <v>1998584.0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1" t="s">
        <v>2691</v>
      </c>
      <c r="B162" s="11" t="s">
        <v>2843</v>
      </c>
      <c r="C162" s="11" t="s">
        <v>1097</v>
      </c>
      <c r="D162" s="10">
        <v>44743.0</v>
      </c>
      <c r="E162" s="10"/>
      <c r="F162" s="11">
        <v>1998584.0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1" t="s">
        <v>2691</v>
      </c>
      <c r="B163" s="11" t="s">
        <v>2843</v>
      </c>
      <c r="C163" s="11" t="s">
        <v>1311</v>
      </c>
      <c r="D163" s="10">
        <v>44743.0</v>
      </c>
      <c r="E163" s="10"/>
      <c r="F163" s="11">
        <v>1998584.0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1" t="s">
        <v>2883</v>
      </c>
      <c r="B164" s="11" t="s">
        <v>2884</v>
      </c>
      <c r="C164" s="11" t="s">
        <v>2885</v>
      </c>
      <c r="D164" s="10">
        <v>44743.0</v>
      </c>
      <c r="E164" s="10"/>
      <c r="F164" s="11">
        <v>1998584.0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1" t="s">
        <v>2691</v>
      </c>
      <c r="B165" s="11" t="s">
        <v>2886</v>
      </c>
      <c r="C165" s="11" t="s">
        <v>1097</v>
      </c>
      <c r="D165" s="10">
        <v>44743.0</v>
      </c>
      <c r="E165" s="10"/>
      <c r="F165" s="11">
        <v>1998584.0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1" t="s">
        <v>2677</v>
      </c>
      <c r="B166" s="11" t="s">
        <v>2887</v>
      </c>
      <c r="C166" s="11" t="s">
        <v>1430</v>
      </c>
      <c r="D166" s="10">
        <v>44743.0</v>
      </c>
      <c r="E166" s="10"/>
      <c r="F166" s="11">
        <v>1998584.0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1" t="s">
        <v>2691</v>
      </c>
      <c r="B167" s="11" t="s">
        <v>2888</v>
      </c>
      <c r="C167" s="11" t="s">
        <v>2889</v>
      </c>
      <c r="D167" s="10">
        <v>44742.0</v>
      </c>
      <c r="E167" s="10"/>
      <c r="F167" s="11">
        <v>1999438.0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1" t="s">
        <v>2677</v>
      </c>
      <c r="B168" s="11" t="s">
        <v>2890</v>
      </c>
      <c r="C168" s="11" t="s">
        <v>617</v>
      </c>
      <c r="D168" s="10"/>
      <c r="E168" s="10"/>
      <c r="F168" s="11">
        <v>1959500.0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1" t="s">
        <v>2691</v>
      </c>
      <c r="B169" s="11" t="s">
        <v>2891</v>
      </c>
      <c r="C169" s="11">
        <v>1.2644585E7</v>
      </c>
      <c r="D169" s="10">
        <v>44692.0</v>
      </c>
      <c r="E169" s="10"/>
      <c r="F169" s="11">
        <v>68510.0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1" t="s">
        <v>2691</v>
      </c>
      <c r="B170" s="11" t="s">
        <v>2846</v>
      </c>
      <c r="C170" s="11" t="s">
        <v>2892</v>
      </c>
      <c r="D170" s="10">
        <v>44692.0</v>
      </c>
      <c r="E170" s="10"/>
      <c r="F170" s="11">
        <v>68510.0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1" t="s">
        <v>2680</v>
      </c>
      <c r="B171" s="11" t="s">
        <v>2893</v>
      </c>
      <c r="C171" s="11" t="s">
        <v>2894</v>
      </c>
      <c r="D171" s="10">
        <v>44679.0</v>
      </c>
      <c r="E171" s="10"/>
      <c r="F171" s="11">
        <v>1951818.0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1" t="s">
        <v>2691</v>
      </c>
      <c r="B172" s="11" t="s">
        <v>2891</v>
      </c>
      <c r="C172" s="11">
        <v>1.280541E7</v>
      </c>
      <c r="D172" s="10">
        <v>44679.0</v>
      </c>
      <c r="E172" s="10"/>
      <c r="F172" s="11">
        <v>1951818.0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1" t="s">
        <v>2691</v>
      </c>
      <c r="B173" s="11" t="s">
        <v>2895</v>
      </c>
      <c r="C173" s="11" t="s">
        <v>2896</v>
      </c>
      <c r="D173" s="10">
        <v>44669.0</v>
      </c>
      <c r="E173" s="10"/>
      <c r="F173" s="11">
        <v>1941736.0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1" t="s">
        <v>2691</v>
      </c>
      <c r="B174" s="11" t="s">
        <v>2897</v>
      </c>
      <c r="C174" s="11" t="s">
        <v>2896</v>
      </c>
      <c r="D174" s="10">
        <v>44669.0</v>
      </c>
      <c r="E174" s="10"/>
      <c r="F174" s="11">
        <v>1941736.0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1" t="s">
        <v>2898</v>
      </c>
      <c r="B175" s="34" t="s">
        <v>2899</v>
      </c>
      <c r="C175" s="34" t="s">
        <v>2900</v>
      </c>
      <c r="D175" s="10">
        <v>44669.0</v>
      </c>
      <c r="E175" s="10"/>
      <c r="F175" s="11">
        <v>1942618.0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1" t="s">
        <v>2898</v>
      </c>
      <c r="B176" s="34" t="s">
        <v>2899</v>
      </c>
      <c r="C176" s="11" t="s">
        <v>2901</v>
      </c>
      <c r="D176" s="10">
        <v>44659.0</v>
      </c>
      <c r="E176" s="10"/>
      <c r="F176" s="11">
        <v>1935576.0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1" t="s">
        <v>2898</v>
      </c>
      <c r="B177" s="34" t="s">
        <v>2899</v>
      </c>
      <c r="C177" s="11" t="s">
        <v>2902</v>
      </c>
      <c r="D177" s="10">
        <v>44659.0</v>
      </c>
      <c r="E177" s="10"/>
      <c r="F177" s="11">
        <v>1935576.0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1" t="s">
        <v>2691</v>
      </c>
      <c r="B178" s="11" t="s">
        <v>2903</v>
      </c>
      <c r="C178" s="11" t="s">
        <v>1097</v>
      </c>
      <c r="D178" s="10">
        <v>44655.0</v>
      </c>
      <c r="E178" s="10"/>
      <c r="F178" s="11">
        <v>1931269.0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1" t="s">
        <v>2680</v>
      </c>
      <c r="B179" s="11" t="s">
        <v>2904</v>
      </c>
      <c r="C179" s="35" t="s">
        <v>2754</v>
      </c>
      <c r="D179" s="10">
        <v>44655.0</v>
      </c>
      <c r="E179" s="10"/>
      <c r="F179" s="11">
        <v>1931269.0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1" t="s">
        <v>2680</v>
      </c>
      <c r="B180" s="11" t="s">
        <v>2904</v>
      </c>
      <c r="C180" s="11" t="s">
        <v>2826</v>
      </c>
      <c r="D180" s="10">
        <v>44655.0</v>
      </c>
      <c r="E180" s="10"/>
      <c r="F180" s="11">
        <v>1931269.0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1" t="s">
        <v>2680</v>
      </c>
      <c r="B181" s="11" t="s">
        <v>2904</v>
      </c>
      <c r="C181" s="11" t="s">
        <v>2905</v>
      </c>
      <c r="D181" s="10">
        <v>44655.0</v>
      </c>
      <c r="E181" s="10"/>
      <c r="F181" s="11">
        <v>1931269.0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1" t="s">
        <v>2680</v>
      </c>
      <c r="B182" s="11" t="s">
        <v>2906</v>
      </c>
      <c r="C182" s="11" t="s">
        <v>2907</v>
      </c>
      <c r="D182" s="10">
        <v>44655.0</v>
      </c>
      <c r="E182" s="10"/>
      <c r="F182" s="37">
        <v>1931269.0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1" t="s">
        <v>2691</v>
      </c>
      <c r="B183" s="11" t="s">
        <v>2906</v>
      </c>
      <c r="C183" s="11">
        <v>1.1771548E7</v>
      </c>
      <c r="D183" s="10">
        <v>44655.0</v>
      </c>
      <c r="E183" s="10"/>
      <c r="F183" s="37">
        <v>1931269.0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1" t="s">
        <v>2691</v>
      </c>
      <c r="B184" s="11" t="s">
        <v>2906</v>
      </c>
      <c r="C184" s="11">
        <v>1.165065E7</v>
      </c>
      <c r="D184" s="10">
        <v>44655.0</v>
      </c>
      <c r="E184" s="10"/>
      <c r="F184" s="37">
        <v>1931269.0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1" t="s">
        <v>2680</v>
      </c>
      <c r="B185" s="11" t="s">
        <v>2906</v>
      </c>
      <c r="C185" s="11">
        <v>1.1771545E7</v>
      </c>
      <c r="D185" s="10">
        <v>44655.0</v>
      </c>
      <c r="E185" s="10"/>
      <c r="F185" s="37">
        <v>1931269.0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1" t="s">
        <v>2677</v>
      </c>
      <c r="B186" s="11" t="s">
        <v>2908</v>
      </c>
      <c r="C186" s="11" t="s">
        <v>20</v>
      </c>
      <c r="D186" s="10">
        <v>44652.0</v>
      </c>
      <c r="E186" s="10"/>
      <c r="F186" s="11">
        <v>1928699.0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1" t="s">
        <v>2909</v>
      </c>
      <c r="B187" s="11" t="s">
        <v>2910</v>
      </c>
      <c r="C187" s="11" t="s">
        <v>2911</v>
      </c>
      <c r="D187" s="10">
        <v>44652.0</v>
      </c>
      <c r="E187" s="10"/>
      <c r="F187" s="11">
        <v>1928698.0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1" t="s">
        <v>2912</v>
      </c>
      <c r="B188" s="11" t="s">
        <v>2913</v>
      </c>
      <c r="C188" s="11" t="s">
        <v>2914</v>
      </c>
      <c r="D188" s="10">
        <v>44650.0</v>
      </c>
      <c r="E188" s="10"/>
      <c r="F188" s="11">
        <v>1924627.0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1" t="s">
        <v>2691</v>
      </c>
      <c r="B189" s="11" t="s">
        <v>2906</v>
      </c>
      <c r="C189" s="11">
        <v>1.15401E7</v>
      </c>
      <c r="D189" s="10">
        <v>44650.0</v>
      </c>
      <c r="E189" s="10"/>
      <c r="F189" s="37">
        <v>1927110.0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1" t="s">
        <v>2691</v>
      </c>
      <c r="B190" s="11" t="s">
        <v>2891</v>
      </c>
      <c r="C190" s="11" t="s">
        <v>2915</v>
      </c>
      <c r="D190" s="10">
        <v>44650.0</v>
      </c>
      <c r="E190" s="10"/>
      <c r="F190" s="37">
        <v>1927110.0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1" t="s">
        <v>2916</v>
      </c>
      <c r="B191" s="11" t="s">
        <v>2917</v>
      </c>
      <c r="C191" s="11" t="s">
        <v>2918</v>
      </c>
      <c r="D191" s="10">
        <v>44650.0</v>
      </c>
      <c r="E191" s="10"/>
      <c r="F191" s="37">
        <v>1927110.0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1" t="s">
        <v>2677</v>
      </c>
      <c r="B192" s="11" t="s">
        <v>2919</v>
      </c>
      <c r="C192" s="11" t="s">
        <v>2920</v>
      </c>
      <c r="D192" s="10">
        <v>44650.0</v>
      </c>
      <c r="E192" s="10"/>
      <c r="F192" s="37">
        <v>1927110.0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1" t="s">
        <v>2680</v>
      </c>
      <c r="B193" s="11" t="s">
        <v>2921</v>
      </c>
      <c r="C193" s="11" t="s">
        <v>2922</v>
      </c>
      <c r="D193" s="10">
        <v>44650.0</v>
      </c>
      <c r="E193" s="10"/>
      <c r="F193" s="37">
        <v>1927110.0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1" t="s">
        <v>2691</v>
      </c>
      <c r="B194" s="34" t="s">
        <v>2923</v>
      </c>
      <c r="C194" s="34" t="s">
        <v>1528</v>
      </c>
      <c r="D194" s="10">
        <v>44650.0</v>
      </c>
      <c r="E194" s="10"/>
      <c r="F194" s="37">
        <v>1927110.0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1" t="s">
        <v>2658</v>
      </c>
      <c r="B195" s="11" t="s">
        <v>2924</v>
      </c>
      <c r="C195" s="11" t="s">
        <v>2925</v>
      </c>
      <c r="D195" s="10">
        <v>44650.0</v>
      </c>
      <c r="E195" s="10"/>
      <c r="F195" s="37">
        <v>1927111.0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1" t="s">
        <v>2658</v>
      </c>
      <c r="B196" s="11" t="s">
        <v>2924</v>
      </c>
      <c r="C196" s="11" t="s">
        <v>2926</v>
      </c>
      <c r="D196" s="10">
        <v>44650.0</v>
      </c>
      <c r="E196" s="10"/>
      <c r="F196" s="37">
        <v>1927111.0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1" t="s">
        <v>2927</v>
      </c>
      <c r="B197" s="11" t="s">
        <v>2928</v>
      </c>
      <c r="C197" s="11" t="s">
        <v>2929</v>
      </c>
      <c r="D197" s="10">
        <v>44650.0</v>
      </c>
      <c r="E197" s="10"/>
      <c r="F197" s="11">
        <v>1927110.0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1" t="s">
        <v>2691</v>
      </c>
      <c r="B198" s="11" t="s">
        <v>2904</v>
      </c>
      <c r="C198" s="35" t="s">
        <v>2754</v>
      </c>
      <c r="D198" s="10">
        <v>44650.0</v>
      </c>
      <c r="E198" s="10"/>
      <c r="F198" s="37">
        <v>1931269.0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1" t="s">
        <v>2691</v>
      </c>
      <c r="B199" s="11" t="s">
        <v>2904</v>
      </c>
      <c r="C199" s="11" t="s">
        <v>2826</v>
      </c>
      <c r="D199" s="10">
        <v>44650.0</v>
      </c>
      <c r="E199" s="10"/>
      <c r="F199" s="37">
        <v>1931269.0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1" t="s">
        <v>2691</v>
      </c>
      <c r="B200" s="11" t="s">
        <v>2930</v>
      </c>
      <c r="C200" s="11" t="s">
        <v>778</v>
      </c>
      <c r="D200" s="10">
        <v>44627.0</v>
      </c>
      <c r="E200" s="10"/>
      <c r="F200" s="11">
        <v>1907949.0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1" t="s">
        <v>1640</v>
      </c>
      <c r="B201" s="11" t="s">
        <v>2931</v>
      </c>
      <c r="C201" s="35" t="s">
        <v>2932</v>
      </c>
      <c r="D201" s="10">
        <v>44627.0</v>
      </c>
      <c r="E201" s="10"/>
      <c r="F201" s="11">
        <v>1908287.0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1" t="s">
        <v>2898</v>
      </c>
      <c r="B202" s="11" t="s">
        <v>2933</v>
      </c>
      <c r="C202" s="11">
        <v>84991.0</v>
      </c>
      <c r="D202" s="10">
        <v>44616.0</v>
      </c>
      <c r="E202" s="10"/>
      <c r="F202" s="11">
        <v>1899948.0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1" t="s">
        <v>2934</v>
      </c>
      <c r="B203" s="11" t="s">
        <v>2935</v>
      </c>
      <c r="C203" s="11" t="s">
        <v>2936</v>
      </c>
      <c r="D203" s="10">
        <v>44592.0</v>
      </c>
      <c r="E203" s="10"/>
      <c r="F203" s="37">
        <v>1884385.0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1" t="s">
        <v>2691</v>
      </c>
      <c r="B204" s="11" t="s">
        <v>2937</v>
      </c>
      <c r="C204" s="11" t="s">
        <v>615</v>
      </c>
      <c r="D204" s="10">
        <v>44595.0</v>
      </c>
      <c r="E204" s="10"/>
      <c r="F204" s="11">
        <v>1885074.0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1" t="s">
        <v>1640</v>
      </c>
      <c r="B205" s="11" t="s">
        <v>2931</v>
      </c>
      <c r="C205" s="35" t="s">
        <v>2938</v>
      </c>
      <c r="D205" s="10">
        <v>44592.0</v>
      </c>
      <c r="E205" s="10"/>
      <c r="F205" s="37">
        <v>1885717.0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1" t="s">
        <v>1640</v>
      </c>
      <c r="B206" s="11" t="s">
        <v>2931</v>
      </c>
      <c r="C206" s="35" t="s">
        <v>2939</v>
      </c>
      <c r="D206" s="10">
        <v>44592.0</v>
      </c>
      <c r="E206" s="10"/>
      <c r="F206" s="37">
        <v>1885279.0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1" t="s">
        <v>2658</v>
      </c>
      <c r="B207" s="35" t="s">
        <v>2940</v>
      </c>
      <c r="C207" s="35" t="s">
        <v>2941</v>
      </c>
      <c r="D207" s="10">
        <v>44582.0</v>
      </c>
      <c r="E207" s="10"/>
      <c r="F207" s="11">
        <v>1877600.0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1" t="s">
        <v>1640</v>
      </c>
      <c r="B208" s="27" t="s">
        <v>2942</v>
      </c>
      <c r="C208" s="27" t="s">
        <v>2768</v>
      </c>
      <c r="D208" s="153">
        <v>44596.0</v>
      </c>
      <c r="E208" s="10"/>
      <c r="F208" s="11">
        <v>1891379.0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1" t="s">
        <v>1640</v>
      </c>
      <c r="B209" s="27" t="s">
        <v>2943</v>
      </c>
      <c r="C209" s="27" t="s">
        <v>2944</v>
      </c>
      <c r="D209" s="153">
        <v>44596.0</v>
      </c>
      <c r="E209" s="10"/>
      <c r="F209" s="37">
        <v>1891128.0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1" t="s">
        <v>1640</v>
      </c>
      <c r="B210" s="27" t="s">
        <v>2942</v>
      </c>
      <c r="C210" s="27" t="s">
        <v>2945</v>
      </c>
      <c r="D210" s="153">
        <v>44596.0</v>
      </c>
      <c r="E210" s="10"/>
      <c r="F210" s="11">
        <v>1893523.0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1" t="s">
        <v>1640</v>
      </c>
      <c r="B211" s="27" t="s">
        <v>2942</v>
      </c>
      <c r="C211" s="27" t="s">
        <v>2946</v>
      </c>
      <c r="D211" s="153">
        <v>44615.0</v>
      </c>
      <c r="E211" s="10"/>
      <c r="F211" s="11">
        <v>1902777.0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1" t="s">
        <v>1640</v>
      </c>
      <c r="B212" s="11" t="s">
        <v>2931</v>
      </c>
      <c r="C212" s="35" t="s">
        <v>2947</v>
      </c>
      <c r="D212" s="10">
        <v>44582.0</v>
      </c>
      <c r="E212" s="10"/>
      <c r="F212" s="11">
        <v>1877600.0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1" t="s">
        <v>1640</v>
      </c>
      <c r="B213" s="11" t="s">
        <v>2931</v>
      </c>
      <c r="C213" s="35" t="s">
        <v>2948</v>
      </c>
      <c r="D213" s="10">
        <v>44582.0</v>
      </c>
      <c r="E213" s="10"/>
      <c r="F213" s="11">
        <v>1877600.0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1" t="s">
        <v>1640</v>
      </c>
      <c r="B214" s="11" t="s">
        <v>2931</v>
      </c>
      <c r="C214" s="35" t="s">
        <v>2949</v>
      </c>
      <c r="D214" s="10">
        <v>44582.0</v>
      </c>
      <c r="E214" s="10"/>
      <c r="F214" s="11">
        <v>1877600.0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1" t="s">
        <v>1640</v>
      </c>
      <c r="B215" s="11" t="s">
        <v>2931</v>
      </c>
      <c r="C215" s="35" t="s">
        <v>2950</v>
      </c>
      <c r="D215" s="10">
        <v>44582.0</v>
      </c>
      <c r="E215" s="10"/>
      <c r="F215" s="11">
        <v>1877600.0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1" t="s">
        <v>2680</v>
      </c>
      <c r="B216" s="11" t="s">
        <v>1006</v>
      </c>
      <c r="C216" s="11" t="s">
        <v>2905</v>
      </c>
      <c r="D216" s="10">
        <v>44582.0</v>
      </c>
      <c r="E216" s="10"/>
      <c r="F216" s="37">
        <v>1875845.0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1" t="s">
        <v>2680</v>
      </c>
      <c r="B217" s="11" t="s">
        <v>1006</v>
      </c>
      <c r="C217" s="11" t="s">
        <v>2951</v>
      </c>
      <c r="D217" s="10">
        <v>44582.0</v>
      </c>
      <c r="E217" s="10"/>
      <c r="F217" s="37">
        <v>1875845.0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1" t="s">
        <v>2680</v>
      </c>
      <c r="B218" s="11" t="s">
        <v>2952</v>
      </c>
      <c r="C218" s="35" t="s">
        <v>2953</v>
      </c>
      <c r="D218" s="10">
        <v>44582.0</v>
      </c>
      <c r="E218" s="10"/>
      <c r="F218" s="11">
        <v>1873968.0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1" t="s">
        <v>44</v>
      </c>
      <c r="B219" s="11" t="s">
        <v>2954</v>
      </c>
      <c r="C219" s="11" t="s">
        <v>2955</v>
      </c>
      <c r="D219" s="10">
        <v>44565.0</v>
      </c>
      <c r="E219" s="10"/>
      <c r="F219" s="37">
        <v>1862213.0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1" t="s">
        <v>44</v>
      </c>
      <c r="B220" s="11" t="s">
        <v>2921</v>
      </c>
      <c r="C220" s="11" t="s">
        <v>2956</v>
      </c>
      <c r="D220" s="10">
        <v>44565.0</v>
      </c>
      <c r="E220" s="10"/>
      <c r="F220" s="37">
        <v>1862213.0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1" t="s">
        <v>2957</v>
      </c>
      <c r="B221" s="11" t="s">
        <v>2958</v>
      </c>
      <c r="C221" s="11" t="s">
        <v>2959</v>
      </c>
      <c r="D221" s="10">
        <v>44649.0</v>
      </c>
      <c r="E221" s="10"/>
      <c r="F221" s="11">
        <v>1913878.0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1"/>
      <c r="B222" s="11" t="s">
        <v>2960</v>
      </c>
      <c r="C222" s="11" t="s">
        <v>2765</v>
      </c>
      <c r="D222" s="10">
        <v>44649.0</v>
      </c>
      <c r="E222" s="10"/>
      <c r="F222" s="11">
        <v>1913704.0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40"/>
      <c r="E223" s="4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40"/>
      <c r="E224" s="4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40"/>
      <c r="E225" s="4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40"/>
      <c r="E226" s="4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40"/>
      <c r="E227" s="4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40"/>
      <c r="E228" s="4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40"/>
      <c r="E229" s="4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40"/>
      <c r="E230" s="4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40"/>
      <c r="E231" s="4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40"/>
      <c r="E232" s="4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40"/>
      <c r="E233" s="4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40"/>
      <c r="E234" s="4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40"/>
      <c r="E235" s="4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40"/>
      <c r="E236" s="4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40"/>
      <c r="E237" s="4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40"/>
      <c r="E238" s="4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40"/>
      <c r="E239" s="4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40"/>
      <c r="E240" s="4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40"/>
      <c r="E241" s="4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40"/>
      <c r="E242" s="4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40"/>
      <c r="E243" s="4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40"/>
      <c r="E244" s="4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40"/>
      <c r="E245" s="4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40"/>
      <c r="E246" s="4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40"/>
      <c r="E247" s="4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40"/>
      <c r="E248" s="4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40"/>
      <c r="E249" s="4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40"/>
      <c r="E250" s="4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40"/>
      <c r="E251" s="4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40"/>
      <c r="E252" s="4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40"/>
      <c r="E253" s="4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40"/>
      <c r="E254" s="4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40"/>
      <c r="E255" s="4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40"/>
      <c r="E256" s="4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40"/>
      <c r="E257" s="4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40"/>
      <c r="E258" s="4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40"/>
      <c r="E259" s="4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40"/>
      <c r="E260" s="4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40"/>
      <c r="E261" s="4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40"/>
      <c r="E262" s="4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40"/>
      <c r="E263" s="4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40"/>
      <c r="E264" s="4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40"/>
      <c r="E265" s="4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40"/>
      <c r="E266" s="4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40"/>
      <c r="E267" s="4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40"/>
      <c r="E268" s="4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40"/>
      <c r="E269" s="4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40"/>
      <c r="E270" s="4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40"/>
      <c r="E271" s="4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40"/>
      <c r="E272" s="4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40"/>
      <c r="E273" s="4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40"/>
      <c r="E274" s="4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40"/>
      <c r="E275" s="4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40"/>
      <c r="E276" s="4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40"/>
      <c r="E277" s="4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40"/>
      <c r="E278" s="4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40"/>
      <c r="E279" s="4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40"/>
      <c r="E280" s="4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40"/>
      <c r="E281" s="4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40"/>
      <c r="E282" s="4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40"/>
      <c r="E283" s="4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40"/>
      <c r="E284" s="4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40"/>
      <c r="E285" s="4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40"/>
      <c r="E286" s="4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40"/>
      <c r="E287" s="4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40"/>
      <c r="E288" s="4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40"/>
      <c r="E289" s="4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40"/>
      <c r="E290" s="4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40"/>
      <c r="E291" s="4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40"/>
      <c r="E292" s="4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40"/>
      <c r="E293" s="4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40"/>
      <c r="E294" s="4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40"/>
      <c r="E295" s="4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40"/>
      <c r="E296" s="4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40"/>
      <c r="E297" s="4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40"/>
      <c r="E298" s="4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40"/>
      <c r="E299" s="4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40"/>
      <c r="E300" s="4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40"/>
      <c r="E301" s="4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40"/>
      <c r="E302" s="4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40"/>
      <c r="E303" s="4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40"/>
      <c r="E304" s="4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40"/>
      <c r="E305" s="4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40"/>
      <c r="E306" s="4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40"/>
      <c r="E307" s="4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40"/>
      <c r="E308" s="4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40"/>
      <c r="E309" s="4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40"/>
      <c r="E310" s="4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40"/>
      <c r="E311" s="4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40"/>
      <c r="E312" s="4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40"/>
      <c r="E313" s="4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40"/>
      <c r="E314" s="4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40"/>
      <c r="E315" s="4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40"/>
      <c r="E316" s="4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40"/>
      <c r="E317" s="4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40"/>
      <c r="E318" s="4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40"/>
      <c r="E319" s="4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40"/>
      <c r="E320" s="4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40"/>
      <c r="E321" s="4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40"/>
      <c r="E322" s="4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40"/>
      <c r="E323" s="4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40"/>
      <c r="E324" s="4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40"/>
      <c r="E325" s="4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40"/>
      <c r="E326" s="4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40"/>
      <c r="E327" s="4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40"/>
      <c r="E328" s="4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40"/>
      <c r="E329" s="4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40"/>
      <c r="E330" s="4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40"/>
      <c r="E331" s="4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40"/>
      <c r="E332" s="4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40"/>
      <c r="E333" s="4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40"/>
      <c r="E334" s="4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40"/>
      <c r="E335" s="4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40"/>
      <c r="E336" s="4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40"/>
      <c r="E337" s="4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40"/>
      <c r="E338" s="4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40"/>
      <c r="E339" s="4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40"/>
      <c r="E340" s="4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40"/>
      <c r="E341" s="4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40"/>
      <c r="E342" s="4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40"/>
      <c r="E343" s="4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40"/>
      <c r="E344" s="4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40"/>
      <c r="E345" s="4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40"/>
      <c r="E346" s="4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40"/>
      <c r="E347" s="4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40"/>
      <c r="E348" s="4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40"/>
      <c r="E349" s="4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40"/>
      <c r="E350" s="4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40"/>
      <c r="E351" s="4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40"/>
      <c r="E352" s="4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40"/>
      <c r="E353" s="4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40"/>
      <c r="E354" s="4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40"/>
      <c r="E355" s="4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40"/>
      <c r="E356" s="4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40"/>
      <c r="E357" s="4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40"/>
      <c r="E358" s="4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40"/>
      <c r="E359" s="4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40"/>
      <c r="E360" s="4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40"/>
      <c r="E361" s="4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40"/>
      <c r="E362" s="4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40"/>
      <c r="E363" s="4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40"/>
      <c r="E364" s="4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40"/>
      <c r="E365" s="4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40"/>
      <c r="E366" s="4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40"/>
      <c r="E367" s="4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40"/>
      <c r="E368" s="4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40"/>
      <c r="E369" s="4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40"/>
      <c r="E370" s="4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40"/>
      <c r="E371" s="4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40"/>
      <c r="E372" s="4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40"/>
      <c r="E373" s="4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40"/>
      <c r="E374" s="4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40"/>
      <c r="E375" s="4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40"/>
      <c r="E376" s="4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40"/>
      <c r="E377" s="4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40"/>
      <c r="E378" s="4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40"/>
      <c r="E379" s="4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40"/>
      <c r="E380" s="4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40"/>
      <c r="E381" s="4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40"/>
      <c r="E382" s="4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40"/>
      <c r="E383" s="4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40"/>
      <c r="E384" s="4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40"/>
      <c r="E385" s="4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40"/>
      <c r="E386" s="4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40"/>
      <c r="E387" s="4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40"/>
      <c r="E388" s="4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40"/>
      <c r="E389" s="4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40"/>
      <c r="E390" s="4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40"/>
      <c r="E391" s="4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40"/>
      <c r="E392" s="4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40"/>
      <c r="E393" s="4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40"/>
      <c r="E394" s="4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40"/>
      <c r="E395" s="4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40"/>
      <c r="E396" s="4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40"/>
      <c r="E397" s="4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40"/>
      <c r="E398" s="4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40"/>
      <c r="E399" s="4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40"/>
      <c r="E400" s="4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40"/>
      <c r="E401" s="4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40"/>
      <c r="E402" s="4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40"/>
      <c r="E403" s="4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40"/>
      <c r="E404" s="4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40"/>
      <c r="E405" s="4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40"/>
      <c r="E406" s="4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40"/>
      <c r="E407" s="4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40"/>
      <c r="E408" s="4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40"/>
      <c r="E409" s="4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40"/>
      <c r="E410" s="4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40"/>
      <c r="E411" s="4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40"/>
      <c r="E412" s="4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40"/>
      <c r="E413" s="4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40"/>
      <c r="E414" s="4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40"/>
      <c r="E415" s="4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40"/>
      <c r="E416" s="4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40"/>
      <c r="E417" s="4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40"/>
      <c r="E418" s="4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40"/>
      <c r="E419" s="4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40"/>
      <c r="E420" s="4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40"/>
      <c r="E421" s="4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40"/>
      <c r="E422" s="4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20.57"/>
    <col customWidth="1" min="3" max="3" width="13.57"/>
    <col customWidth="1" min="4" max="4" width="16.0"/>
    <col customWidth="1" min="5" max="5" width="10.71"/>
    <col customWidth="1" min="6" max="6" width="24.0"/>
    <col customWidth="1" min="7" max="25" width="8.71"/>
  </cols>
  <sheetData>
    <row r="1" ht="30.0" customHeight="1">
      <c r="A1" s="106" t="s">
        <v>2649</v>
      </c>
      <c r="B1" s="106" t="s">
        <v>2961</v>
      </c>
      <c r="C1" s="154" t="s">
        <v>2962</v>
      </c>
      <c r="D1" s="97" t="s">
        <v>2963</v>
      </c>
      <c r="E1" s="106" t="s">
        <v>2653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55" t="s">
        <v>2964</v>
      </c>
      <c r="B2" s="9" t="s">
        <v>2949</v>
      </c>
      <c r="C2" s="155">
        <v>700.0</v>
      </c>
      <c r="D2" s="40">
        <v>44951.0</v>
      </c>
      <c r="E2" s="155">
        <v>2131904.0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55" t="s">
        <v>2943</v>
      </c>
      <c r="B3" s="155" t="s">
        <v>2965</v>
      </c>
      <c r="C3" s="155">
        <v>3.0</v>
      </c>
      <c r="D3" s="156"/>
      <c r="E3" s="155" t="s">
        <v>2665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55" t="s">
        <v>2943</v>
      </c>
      <c r="B4" s="155" t="s">
        <v>2966</v>
      </c>
      <c r="C4" s="155">
        <v>2.0</v>
      </c>
      <c r="D4" s="156">
        <v>44915.0</v>
      </c>
      <c r="E4" s="155" t="s">
        <v>2673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55" t="s">
        <v>2943</v>
      </c>
      <c r="B5" s="155" t="s">
        <v>2966</v>
      </c>
      <c r="C5" s="155">
        <v>2.0</v>
      </c>
      <c r="D5" s="156">
        <v>44915.0</v>
      </c>
      <c r="E5" s="155" t="s">
        <v>2673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55" t="s">
        <v>2943</v>
      </c>
      <c r="B6" s="155" t="s">
        <v>2967</v>
      </c>
      <c r="C6" s="155">
        <v>6.0</v>
      </c>
      <c r="D6" s="40">
        <v>44832.0</v>
      </c>
      <c r="E6" s="155" t="s">
        <v>2673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55" t="s">
        <v>2968</v>
      </c>
      <c r="B7" s="9" t="s">
        <v>2969</v>
      </c>
      <c r="C7" s="155">
        <v>4.0</v>
      </c>
      <c r="D7" s="40">
        <v>45119.0</v>
      </c>
      <c r="E7" s="155" t="s">
        <v>2673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55" t="s">
        <v>2968</v>
      </c>
      <c r="B8" s="9" t="s">
        <v>2969</v>
      </c>
      <c r="C8" s="155">
        <v>2.0</v>
      </c>
      <c r="D8" s="40">
        <v>45119.0</v>
      </c>
      <c r="E8" s="155" t="s">
        <v>2673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55" t="s">
        <v>2970</v>
      </c>
      <c r="B9" s="9" t="s">
        <v>2971</v>
      </c>
      <c r="C9" s="155">
        <v>1.0</v>
      </c>
      <c r="D9" s="40">
        <v>44998.0</v>
      </c>
      <c r="E9" s="155" t="s">
        <v>2673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55" t="s">
        <v>2972</v>
      </c>
      <c r="B10" s="9" t="s">
        <v>2973</v>
      </c>
      <c r="C10" s="155">
        <v>30.0</v>
      </c>
      <c r="D10" s="4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55" t="s">
        <v>2972</v>
      </c>
      <c r="B11" s="9" t="s">
        <v>2974</v>
      </c>
      <c r="C11" s="155">
        <v>40.0</v>
      </c>
      <c r="D11" s="4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55" t="s">
        <v>2972</v>
      </c>
      <c r="B12" s="9">
        <v>85771.0</v>
      </c>
      <c r="C12" s="155">
        <v>40.0</v>
      </c>
      <c r="D12" s="4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55" t="s">
        <v>2972</v>
      </c>
      <c r="B13" s="9" t="s">
        <v>2975</v>
      </c>
      <c r="C13" s="155">
        <v>40.0</v>
      </c>
      <c r="D13" s="4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54"/>
      <c r="B14" s="154"/>
      <c r="C14" s="154"/>
      <c r="D14" s="157"/>
      <c r="E14" s="106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55" t="s">
        <v>2976</v>
      </c>
      <c r="B15" s="9" t="s">
        <v>2977</v>
      </c>
      <c r="C15" s="155">
        <v>3.0</v>
      </c>
      <c r="D15" s="156"/>
      <c r="E15" s="9">
        <v>2122054.0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55" t="s">
        <v>2964</v>
      </c>
      <c r="B16" s="9" t="s">
        <v>2932</v>
      </c>
      <c r="C16" s="155">
        <v>550.0</v>
      </c>
      <c r="D16" s="40">
        <v>44896.0</v>
      </c>
      <c r="E16" s="9">
        <v>2117785.0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55" t="s">
        <v>2978</v>
      </c>
      <c r="B17" s="9" t="s">
        <v>2979</v>
      </c>
      <c r="C17" s="155">
        <v>100.0</v>
      </c>
      <c r="D17" s="40">
        <v>44896.0</v>
      </c>
      <c r="E17" s="9">
        <v>2117108.0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55" t="s">
        <v>2964</v>
      </c>
      <c r="B18" s="9" t="s">
        <v>2932</v>
      </c>
      <c r="C18" s="155">
        <v>473.0</v>
      </c>
      <c r="D18" s="40">
        <v>44896.0</v>
      </c>
      <c r="E18" s="9">
        <v>2117108.0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55" t="s">
        <v>2964</v>
      </c>
      <c r="B19" s="9" t="s">
        <v>2948</v>
      </c>
      <c r="C19" s="155">
        <v>2000.0</v>
      </c>
      <c r="D19" s="40">
        <v>44909.0</v>
      </c>
      <c r="E19" s="9">
        <v>2117108.0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55" t="s">
        <v>2943</v>
      </c>
      <c r="B20" s="155" t="s">
        <v>2980</v>
      </c>
      <c r="C20" s="155">
        <v>3.0</v>
      </c>
      <c r="D20" s="156">
        <v>44922.0</v>
      </c>
      <c r="E20" s="9">
        <v>2105190.0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155" t="s">
        <v>2981</v>
      </c>
      <c r="B21" s="155" t="s">
        <v>2982</v>
      </c>
      <c r="C21" s="155">
        <v>1.0</v>
      </c>
      <c r="D21" s="156">
        <v>44813.0</v>
      </c>
      <c r="E21" s="9">
        <v>2085601.0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155" t="s">
        <v>2942</v>
      </c>
      <c r="B22" s="155" t="s">
        <v>2983</v>
      </c>
      <c r="C22" s="155">
        <v>3.0</v>
      </c>
      <c r="D22" s="156">
        <v>44903.0</v>
      </c>
      <c r="E22" s="9">
        <v>2093208.0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155" t="s">
        <v>2981</v>
      </c>
      <c r="B23" s="155" t="s">
        <v>2984</v>
      </c>
      <c r="C23" s="155">
        <v>8.0</v>
      </c>
      <c r="D23" s="156">
        <v>44803.0</v>
      </c>
      <c r="E23" s="9">
        <v>2093224.0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9" t="s">
        <v>2931</v>
      </c>
      <c r="B24" s="158" t="s">
        <v>2985</v>
      </c>
      <c r="C24" s="9">
        <v>1.0</v>
      </c>
      <c r="D24" s="40">
        <v>44854.0</v>
      </c>
      <c r="E24" s="9">
        <v>2092924.0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155" t="s">
        <v>2964</v>
      </c>
      <c r="B25" s="9" t="s">
        <v>2986</v>
      </c>
      <c r="C25" s="155">
        <v>17.0</v>
      </c>
      <c r="D25" s="40">
        <v>44910.0</v>
      </c>
      <c r="E25" s="9">
        <v>2093024.0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155" t="s">
        <v>2987</v>
      </c>
      <c r="B26" s="9">
        <v>84980.0</v>
      </c>
      <c r="C26" s="155">
        <v>1.0</v>
      </c>
      <c r="D26" s="40">
        <v>44866.0</v>
      </c>
      <c r="E26" s="9">
        <v>2091598.0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155" t="s">
        <v>2981</v>
      </c>
      <c r="B27" s="155" t="s">
        <v>2988</v>
      </c>
      <c r="C27" s="155">
        <v>3.0</v>
      </c>
      <c r="D27" s="156">
        <v>44859.0</v>
      </c>
      <c r="E27" s="9">
        <v>2084158.0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155" t="s">
        <v>2964</v>
      </c>
      <c r="B28" s="9" t="s">
        <v>2989</v>
      </c>
      <c r="C28" s="155">
        <v>23.0</v>
      </c>
      <c r="D28" s="40"/>
      <c r="E28" s="9">
        <v>2084158.0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155" t="s">
        <v>2964</v>
      </c>
      <c r="B29" s="9" t="s">
        <v>2989</v>
      </c>
      <c r="C29" s="155">
        <v>27.0</v>
      </c>
      <c r="D29" s="40"/>
      <c r="E29" s="9">
        <v>2084158.0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155" t="s">
        <v>2990</v>
      </c>
      <c r="B30" s="9" t="s">
        <v>2946</v>
      </c>
      <c r="C30" s="155">
        <v>4.0</v>
      </c>
      <c r="D30" s="40">
        <v>44859.0</v>
      </c>
      <c r="E30" s="9">
        <v>2084158.0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155" t="s">
        <v>2991</v>
      </c>
      <c r="B31" s="9" t="s">
        <v>2992</v>
      </c>
      <c r="C31" s="155">
        <v>1.0</v>
      </c>
      <c r="D31" s="156">
        <v>44877.0</v>
      </c>
      <c r="E31" s="9">
        <v>2071275.0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155" t="s">
        <v>2993</v>
      </c>
      <c r="B32" s="9" t="s">
        <v>2988</v>
      </c>
      <c r="C32" s="155">
        <v>1.0</v>
      </c>
      <c r="D32" s="40"/>
      <c r="E32" s="155" t="s">
        <v>2994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155" t="s">
        <v>2942</v>
      </c>
      <c r="B33" s="155" t="s">
        <v>2992</v>
      </c>
      <c r="C33" s="155">
        <v>2.0</v>
      </c>
      <c r="D33" s="156">
        <v>44877.0</v>
      </c>
      <c r="E33" s="9">
        <v>2059867.0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155" t="s">
        <v>2995</v>
      </c>
      <c r="B34" s="9" t="s">
        <v>2969</v>
      </c>
      <c r="C34" s="155">
        <v>2.0</v>
      </c>
      <c r="D34" s="40"/>
      <c r="E34" s="9">
        <v>37064.0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155" t="s">
        <v>2981</v>
      </c>
      <c r="B35" s="155" t="s">
        <v>2982</v>
      </c>
      <c r="C35" s="155">
        <v>1.0</v>
      </c>
      <c r="D35" s="156">
        <v>44874.0</v>
      </c>
      <c r="E35" s="9">
        <v>2053394.0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155" t="s">
        <v>2996</v>
      </c>
      <c r="B36" s="9" t="s">
        <v>2997</v>
      </c>
      <c r="C36" s="155">
        <v>150.0</v>
      </c>
      <c r="D36" s="40">
        <v>44798.0</v>
      </c>
      <c r="E36" s="9">
        <v>2043393.0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155" t="s">
        <v>2998</v>
      </c>
      <c r="B37" s="9" t="s">
        <v>2999</v>
      </c>
      <c r="C37" s="155">
        <v>50.0</v>
      </c>
      <c r="D37" s="40">
        <v>44782.0</v>
      </c>
      <c r="E37" s="95">
        <v>2033419.0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155" t="s">
        <v>2998</v>
      </c>
      <c r="B38" s="9" t="s">
        <v>3000</v>
      </c>
      <c r="C38" s="155">
        <v>50.0</v>
      </c>
      <c r="D38" s="40">
        <v>44782.0</v>
      </c>
      <c r="E38" s="95">
        <v>2033419.0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155" t="s">
        <v>3001</v>
      </c>
      <c r="B39" s="9" t="s">
        <v>3000</v>
      </c>
      <c r="C39" s="155">
        <v>100.0</v>
      </c>
      <c r="D39" s="40">
        <v>44781.0</v>
      </c>
      <c r="E39" s="95">
        <v>2033419.0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155" t="s">
        <v>2981</v>
      </c>
      <c r="B40" s="155" t="s">
        <v>3002</v>
      </c>
      <c r="C40" s="155">
        <v>51.0</v>
      </c>
      <c r="D40" s="156">
        <v>44782.0</v>
      </c>
      <c r="E40" s="95">
        <v>2018421.0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155" t="s">
        <v>2981</v>
      </c>
      <c r="B41" s="155" t="s">
        <v>3002</v>
      </c>
      <c r="C41" s="155">
        <v>449.0</v>
      </c>
      <c r="D41" s="156">
        <v>44740.0</v>
      </c>
      <c r="E41" s="155" t="s">
        <v>2772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155" t="s">
        <v>2942</v>
      </c>
      <c r="B42" s="155" t="s">
        <v>2979</v>
      </c>
      <c r="C42" s="155">
        <v>73.0</v>
      </c>
      <c r="D42" s="156">
        <v>44669.0</v>
      </c>
      <c r="E42" s="155" t="s">
        <v>2772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155" t="s">
        <v>2942</v>
      </c>
      <c r="B43" s="155" t="s">
        <v>3003</v>
      </c>
      <c r="C43" s="155">
        <v>24.0</v>
      </c>
      <c r="D43" s="156">
        <v>44669.0</v>
      </c>
      <c r="E43" s="155" t="s">
        <v>2772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155" t="s">
        <v>2942</v>
      </c>
      <c r="B44" s="155" t="s">
        <v>2945</v>
      </c>
      <c r="C44" s="155">
        <v>28.0</v>
      </c>
      <c r="D44" s="156">
        <v>44785.0</v>
      </c>
      <c r="E44" s="95">
        <v>2029670.0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155" t="s">
        <v>2943</v>
      </c>
      <c r="B45" s="155" t="s">
        <v>2986</v>
      </c>
      <c r="C45" s="155">
        <v>27.0</v>
      </c>
      <c r="D45" s="156">
        <v>44756.0</v>
      </c>
      <c r="E45" s="95">
        <v>2020341.0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155" t="s">
        <v>2943</v>
      </c>
      <c r="B46" s="155" t="s">
        <v>2986</v>
      </c>
      <c r="C46" s="155">
        <v>23.0</v>
      </c>
      <c r="D46" s="156">
        <v>44756.0</v>
      </c>
      <c r="E46" s="95">
        <v>2020341.0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155" t="s">
        <v>2942</v>
      </c>
      <c r="B47" s="155" t="s">
        <v>3004</v>
      </c>
      <c r="C47" s="155">
        <v>8.0</v>
      </c>
      <c r="D47" s="156">
        <v>44767.0</v>
      </c>
      <c r="E47" s="95">
        <v>2020019.0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155" t="s">
        <v>3005</v>
      </c>
      <c r="B48" s="9" t="s">
        <v>3006</v>
      </c>
      <c r="C48" s="155">
        <v>2.0</v>
      </c>
      <c r="D48" s="156">
        <v>44756.0</v>
      </c>
      <c r="E48" s="95">
        <v>2020664.0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155" t="s">
        <v>2981</v>
      </c>
      <c r="B49" s="155" t="s">
        <v>2984</v>
      </c>
      <c r="C49" s="155">
        <v>1.0</v>
      </c>
      <c r="D49" s="156">
        <v>44756.0</v>
      </c>
      <c r="E49" s="9">
        <v>2013045.0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155" t="s">
        <v>2981</v>
      </c>
      <c r="B50" s="155" t="s">
        <v>3007</v>
      </c>
      <c r="C50" s="155">
        <v>200.0</v>
      </c>
      <c r="D50" s="156">
        <v>44740.0</v>
      </c>
      <c r="E50" s="95">
        <v>2011421.0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155" t="s">
        <v>2981</v>
      </c>
      <c r="B51" s="155" t="s">
        <v>3002</v>
      </c>
      <c r="C51" s="155">
        <v>449.0</v>
      </c>
      <c r="D51" s="156">
        <v>44740.0</v>
      </c>
      <c r="E51" s="95">
        <v>2011628.0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155" t="s">
        <v>2981</v>
      </c>
      <c r="B52" s="155" t="s">
        <v>3008</v>
      </c>
      <c r="C52" s="155">
        <v>200.0</v>
      </c>
      <c r="D52" s="156">
        <v>44735.0</v>
      </c>
      <c r="E52" s="95">
        <v>2001761.0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155" t="s">
        <v>2942</v>
      </c>
      <c r="B53" s="155" t="s">
        <v>3009</v>
      </c>
      <c r="C53" s="155">
        <v>50.0</v>
      </c>
      <c r="D53" s="156">
        <v>44595.0</v>
      </c>
      <c r="E53" s="9">
        <v>1992655.0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9" t="s">
        <v>2931</v>
      </c>
      <c r="B54" s="158" t="s">
        <v>3010</v>
      </c>
      <c r="C54" s="9">
        <v>30.0</v>
      </c>
      <c r="D54" s="40">
        <v>44716.0</v>
      </c>
      <c r="E54" s="9">
        <v>1984406.0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155" t="s">
        <v>2943</v>
      </c>
      <c r="B55" s="155" t="s">
        <v>3011</v>
      </c>
      <c r="C55" s="9">
        <v>3.0</v>
      </c>
      <c r="D55" s="156">
        <v>44707.0</v>
      </c>
      <c r="E55" s="95">
        <v>1972109.0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155" t="s">
        <v>2981</v>
      </c>
      <c r="B56" s="155" t="s">
        <v>2997</v>
      </c>
      <c r="C56" s="155">
        <v>500.0</v>
      </c>
      <c r="D56" s="156"/>
      <c r="E56" s="95">
        <v>1966837.0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155" t="s">
        <v>2942</v>
      </c>
      <c r="B57" s="155" t="s">
        <v>3012</v>
      </c>
      <c r="C57" s="155">
        <v>150.0</v>
      </c>
      <c r="D57" s="156">
        <v>44661.0</v>
      </c>
      <c r="E57" s="9" t="s">
        <v>3013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9" t="s">
        <v>3014</v>
      </c>
      <c r="B58" s="9">
        <v>246416.0</v>
      </c>
      <c r="C58" s="9">
        <v>38.0</v>
      </c>
      <c r="D58" s="40"/>
      <c r="E58" s="95">
        <v>1967142.0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155" t="s">
        <v>2981</v>
      </c>
      <c r="B59" s="155" t="s">
        <v>3015</v>
      </c>
      <c r="C59" s="155">
        <v>3.0</v>
      </c>
      <c r="D59" s="156">
        <v>44694.0</v>
      </c>
      <c r="E59" s="95">
        <v>1965285.0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9" t="s">
        <v>3016</v>
      </c>
      <c r="B60" s="9" t="s">
        <v>2946</v>
      </c>
      <c r="C60" s="155">
        <v>1.0</v>
      </c>
      <c r="D60" s="40">
        <v>44673.0</v>
      </c>
      <c r="E60" s="9">
        <v>1912324.0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9" t="s">
        <v>3017</v>
      </c>
      <c r="B61" s="9" t="s">
        <v>2946</v>
      </c>
      <c r="C61" s="155">
        <v>1.0</v>
      </c>
      <c r="D61" s="40">
        <v>44750.0</v>
      </c>
      <c r="E61" s="9">
        <v>1912324.0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155" t="s">
        <v>2942</v>
      </c>
      <c r="B62" s="155" t="s">
        <v>3006</v>
      </c>
      <c r="C62" s="155">
        <v>10.0</v>
      </c>
      <c r="D62" s="156">
        <v>44665.0</v>
      </c>
      <c r="E62" s="9">
        <v>1927357.0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155" t="s">
        <v>2942</v>
      </c>
      <c r="B63" s="155" t="s">
        <v>2984</v>
      </c>
      <c r="C63" s="155">
        <v>15.0</v>
      </c>
      <c r="D63" s="156">
        <v>44665.0</v>
      </c>
      <c r="E63" s="9">
        <v>1927357.0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155" t="s">
        <v>2942</v>
      </c>
      <c r="B64" s="155" t="s">
        <v>3018</v>
      </c>
      <c r="C64" s="155">
        <v>300.0</v>
      </c>
      <c r="D64" s="156">
        <v>44661.0</v>
      </c>
      <c r="E64" s="95" t="s">
        <v>3013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155" t="s">
        <v>2942</v>
      </c>
      <c r="B65" s="155" t="s">
        <v>3008</v>
      </c>
      <c r="C65" s="155">
        <v>1000.0</v>
      </c>
      <c r="D65" s="156">
        <v>44642.0</v>
      </c>
      <c r="E65" s="9">
        <v>1932168.0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155" t="s">
        <v>2942</v>
      </c>
      <c r="B66" s="155" t="s">
        <v>3007</v>
      </c>
      <c r="C66" s="155">
        <v>500.0</v>
      </c>
      <c r="D66" s="156">
        <v>44642.0</v>
      </c>
      <c r="E66" s="9">
        <v>1932168.0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155" t="s">
        <v>2942</v>
      </c>
      <c r="B67" s="155" t="s">
        <v>2999</v>
      </c>
      <c r="C67" s="155">
        <v>100.0</v>
      </c>
      <c r="D67" s="156">
        <v>44642.0</v>
      </c>
      <c r="E67" s="9">
        <v>1932168.0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155" t="s">
        <v>2942</v>
      </c>
      <c r="B68" s="155" t="s">
        <v>3003</v>
      </c>
      <c r="C68" s="155">
        <v>76.0</v>
      </c>
      <c r="D68" s="156">
        <v>44622.0</v>
      </c>
      <c r="E68" s="9">
        <v>1932168.0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155" t="s">
        <v>2942</v>
      </c>
      <c r="B69" s="155" t="s">
        <v>2979</v>
      </c>
      <c r="C69" s="155">
        <v>77.0</v>
      </c>
      <c r="D69" s="156">
        <v>44641.0</v>
      </c>
      <c r="E69" s="9">
        <v>1932168.0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155" t="s">
        <v>2942</v>
      </c>
      <c r="B70" s="155" t="s">
        <v>3019</v>
      </c>
      <c r="C70" s="155">
        <v>97.0</v>
      </c>
      <c r="D70" s="156">
        <v>44772.0</v>
      </c>
      <c r="E70" s="95">
        <v>1939076.0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2931</v>
      </c>
      <c r="B71" s="9" t="s">
        <v>3020</v>
      </c>
      <c r="C71" s="9">
        <v>3.0</v>
      </c>
      <c r="D71" s="40">
        <v>44664.0</v>
      </c>
      <c r="E71" s="95">
        <v>1939706.0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155" t="s">
        <v>2942</v>
      </c>
      <c r="B72" s="155" t="s">
        <v>3015</v>
      </c>
      <c r="C72" s="155">
        <v>10.0</v>
      </c>
      <c r="D72" s="156">
        <v>44664.0</v>
      </c>
      <c r="E72" s="95">
        <v>1939707.0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155" t="s">
        <v>2942</v>
      </c>
      <c r="B73" s="155" t="s">
        <v>2997</v>
      </c>
      <c r="C73" s="155">
        <v>500.0</v>
      </c>
      <c r="D73" s="40">
        <v>44664.0</v>
      </c>
      <c r="E73" s="95">
        <v>1940559.0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155" t="s">
        <v>2942</v>
      </c>
      <c r="B74" s="155" t="s">
        <v>3019</v>
      </c>
      <c r="C74" s="155">
        <v>3.0</v>
      </c>
      <c r="D74" s="40">
        <v>44669.0</v>
      </c>
      <c r="E74" s="95">
        <v>1941761.0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9" t="s">
        <v>3021</v>
      </c>
      <c r="B75" s="9" t="s">
        <v>2969</v>
      </c>
      <c r="C75" s="9">
        <v>9.0</v>
      </c>
      <c r="D75" s="40">
        <v>44684.0</v>
      </c>
      <c r="E75" s="95">
        <v>1959500.0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155" t="s">
        <v>2942</v>
      </c>
      <c r="B76" s="155" t="s">
        <v>3022</v>
      </c>
      <c r="C76" s="155">
        <v>700.0</v>
      </c>
      <c r="D76" s="156">
        <v>44750.0</v>
      </c>
      <c r="E76" s="95">
        <v>1961319.0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155" t="s">
        <v>2943</v>
      </c>
      <c r="B77" s="155" t="s">
        <v>2965</v>
      </c>
      <c r="C77" s="155">
        <v>1.0</v>
      </c>
      <c r="D77" s="156">
        <v>44827.0</v>
      </c>
      <c r="E77" s="9">
        <v>1918528.0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155" t="s">
        <v>2942</v>
      </c>
      <c r="B78" s="155" t="s">
        <v>3023</v>
      </c>
      <c r="C78" s="155">
        <v>100.0</v>
      </c>
      <c r="D78" s="156">
        <v>44630.0</v>
      </c>
      <c r="E78" s="9">
        <v>1913360.0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155" t="s">
        <v>2942</v>
      </c>
      <c r="B79" s="155" t="s">
        <v>3023</v>
      </c>
      <c r="C79" s="155">
        <v>20.0</v>
      </c>
      <c r="D79" s="156">
        <v>44634.0</v>
      </c>
      <c r="E79" s="9">
        <v>1913360.0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155" t="s">
        <v>2942</v>
      </c>
      <c r="B80" s="155" t="s">
        <v>3024</v>
      </c>
      <c r="C80" s="155">
        <v>300.0</v>
      </c>
      <c r="D80" s="156">
        <v>44655.0</v>
      </c>
      <c r="E80" s="9">
        <v>1913360.0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155" t="s">
        <v>2942</v>
      </c>
      <c r="B81" s="155" t="s">
        <v>3025</v>
      </c>
      <c r="C81" s="155">
        <v>100.0</v>
      </c>
      <c r="D81" s="156">
        <v>44631.0</v>
      </c>
      <c r="E81" s="9">
        <v>1921226.0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9"/>
      <c r="D82" s="4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9"/>
      <c r="B83" s="9"/>
      <c r="C83" s="9"/>
      <c r="D83" s="4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9"/>
      <c r="B84" s="9"/>
      <c r="C84" s="9"/>
      <c r="D84" s="4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9"/>
      <c r="B85" s="9"/>
      <c r="C85" s="9"/>
      <c r="D85" s="4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9"/>
      <c r="B86" s="9"/>
      <c r="C86" s="9"/>
      <c r="D86" s="4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9"/>
      <c r="B87" s="9"/>
      <c r="C87" s="9"/>
      <c r="D87" s="4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9"/>
      <c r="B88" s="9"/>
      <c r="C88" s="9"/>
      <c r="D88" s="4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9"/>
      <c r="B89" s="9"/>
      <c r="C89" s="9"/>
      <c r="D89" s="4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9"/>
      <c r="B90" s="9"/>
      <c r="C90" s="9"/>
      <c r="D90" s="4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9"/>
      <c r="B91" s="9"/>
      <c r="C91" s="9"/>
      <c r="D91" s="4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9"/>
      <c r="B92" s="9"/>
      <c r="C92" s="9"/>
      <c r="D92" s="4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9"/>
      <c r="B93" s="9"/>
      <c r="C93" s="9"/>
      <c r="D93" s="4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9"/>
      <c r="B94" s="9"/>
      <c r="C94" s="9"/>
      <c r="D94" s="4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9"/>
      <c r="B95" s="9"/>
      <c r="C95" s="9"/>
      <c r="D95" s="4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9"/>
      <c r="B96" s="9"/>
      <c r="C96" s="9"/>
      <c r="D96" s="4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9"/>
      <c r="B97" s="9"/>
      <c r="C97" s="9"/>
      <c r="D97" s="4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9"/>
      <c r="B98" s="9"/>
      <c r="C98" s="9"/>
      <c r="D98" s="4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9"/>
      <c r="B99" s="9"/>
      <c r="C99" s="9"/>
      <c r="D99" s="4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9"/>
      <c r="B100" s="9"/>
      <c r="C100" s="9"/>
      <c r="D100" s="4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9"/>
      <c r="D101" s="4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9"/>
      <c r="D102" s="4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9"/>
      <c r="B103" s="9"/>
      <c r="C103" s="9"/>
      <c r="D103" s="4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9"/>
      <c r="B104" s="9"/>
      <c r="C104" s="9"/>
      <c r="D104" s="4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9"/>
      <c r="B105" s="9"/>
      <c r="C105" s="9"/>
      <c r="D105" s="4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9"/>
      <c r="B106" s="9"/>
      <c r="C106" s="9"/>
      <c r="D106" s="4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9"/>
      <c r="B107" s="9"/>
      <c r="C107" s="9"/>
      <c r="D107" s="4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9"/>
      <c r="B108" s="9"/>
      <c r="C108" s="9"/>
      <c r="D108" s="4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9"/>
      <c r="B109" s="9"/>
      <c r="C109" s="9"/>
      <c r="D109" s="4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9"/>
      <c r="B110" s="9"/>
      <c r="C110" s="9"/>
      <c r="D110" s="4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9"/>
      <c r="D111" s="4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9"/>
      <c r="D112" s="4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9"/>
      <c r="D113" s="4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9"/>
      <c r="D114" s="4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9"/>
      <c r="D115" s="4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9"/>
      <c r="D116" s="4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9"/>
      <c r="D117" s="4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9"/>
      <c r="D118" s="4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9"/>
      <c r="D119" s="4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9"/>
      <c r="D120" s="4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9"/>
      <c r="D121" s="4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9"/>
      <c r="D122" s="4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9"/>
      <c r="D123" s="4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9"/>
      <c r="D124" s="4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9"/>
      <c r="D125" s="4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9"/>
      <c r="D126" s="4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9"/>
      <c r="D127" s="4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9"/>
      <c r="D128" s="4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9"/>
      <c r="D129" s="4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9"/>
      <c r="D130" s="4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9"/>
      <c r="D131" s="4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9"/>
      <c r="D132" s="4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9"/>
      <c r="D133" s="4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9"/>
      <c r="D134" s="4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9"/>
      <c r="D135" s="4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9"/>
      <c r="D136" s="4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9"/>
      <c r="D137" s="4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9"/>
      <c r="D138" s="4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9"/>
      <c r="D139" s="4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9"/>
      <c r="D140" s="4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9"/>
      <c r="D141" s="4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9"/>
      <c r="D142" s="4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9"/>
      <c r="D143" s="4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9"/>
      <c r="D144" s="4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9"/>
      <c r="D145" s="4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9"/>
      <c r="D146" s="4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9"/>
      <c r="D147" s="4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9"/>
      <c r="D148" s="4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9"/>
      <c r="D149" s="4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9"/>
      <c r="D150" s="4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9"/>
      <c r="D151" s="4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9"/>
      <c r="D152" s="4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9"/>
      <c r="D153" s="4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9"/>
      <c r="D154" s="4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9"/>
      <c r="D155" s="4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9"/>
      <c r="D156" s="4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9"/>
      <c r="D157" s="4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9"/>
      <c r="D158" s="4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9"/>
      <c r="D159" s="4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9"/>
      <c r="D160" s="4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9"/>
      <c r="D161" s="4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9"/>
      <c r="D162" s="4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9"/>
      <c r="D163" s="4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9"/>
      <c r="D164" s="4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9"/>
      <c r="D165" s="4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9"/>
      <c r="D166" s="4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9"/>
      <c r="D167" s="4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9"/>
      <c r="D168" s="4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9"/>
      <c r="D169" s="4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9"/>
      <c r="D170" s="4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9"/>
      <c r="D171" s="4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9"/>
      <c r="D172" s="4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9"/>
      <c r="D173" s="4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9"/>
      <c r="D174" s="4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9"/>
      <c r="D175" s="4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9"/>
      <c r="D176" s="4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9"/>
      <c r="D177" s="4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9"/>
      <c r="D178" s="4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9"/>
      <c r="D179" s="4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9"/>
      <c r="D180" s="4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9"/>
      <c r="D181" s="4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9"/>
      <c r="D182" s="4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9"/>
      <c r="D183" s="4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9"/>
      <c r="D184" s="4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9"/>
      <c r="D185" s="4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9"/>
      <c r="D186" s="4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9"/>
      <c r="D187" s="4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9"/>
      <c r="D188" s="4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9"/>
      <c r="D189" s="4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9"/>
      <c r="D190" s="4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9"/>
      <c r="D191" s="4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9"/>
      <c r="D192" s="4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4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4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4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4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4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4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4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4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4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4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4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4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4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4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4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4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4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4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4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4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4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4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4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4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4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4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4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4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9"/>
      <c r="D221" s="4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9"/>
      <c r="D222" s="4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9"/>
      <c r="D223" s="4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9"/>
      <c r="D224" s="4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9"/>
      <c r="D225" s="4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9"/>
      <c r="D226" s="4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9"/>
      <c r="D227" s="4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9"/>
      <c r="D228" s="4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9"/>
      <c r="D229" s="4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9"/>
      <c r="D230" s="4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9"/>
      <c r="D231" s="4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9"/>
      <c r="D232" s="4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9"/>
      <c r="D233" s="4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9"/>
      <c r="D234" s="4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9"/>
      <c r="D235" s="4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9"/>
      <c r="D236" s="4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9"/>
      <c r="D237" s="4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9"/>
      <c r="D238" s="4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9"/>
      <c r="D239" s="4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9"/>
      <c r="D240" s="4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9"/>
      <c r="D241" s="4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9"/>
      <c r="D242" s="4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9"/>
      <c r="D243" s="4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9"/>
      <c r="D244" s="4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4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4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4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4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4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4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4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4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4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4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4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4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4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4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4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4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4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4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4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4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4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4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4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4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4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4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4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4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4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4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4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4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4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4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4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4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4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1"/>
  <printOptions/>
  <pageMargins bottom="0.787401575" footer="0.0" header="0.0" left="0.511811024" right="0.511811024" top="0.7874015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43"/>
    <col customWidth="1" min="3" max="3" width="9.14"/>
    <col customWidth="1" min="4" max="4" width="23.14"/>
    <col customWidth="1" min="5" max="6" width="9.14"/>
    <col customWidth="1" min="7" max="12" width="8.71"/>
    <col customWidth="1" min="13" max="13" width="14.14"/>
    <col customWidth="1" min="14" max="14" width="21.29"/>
    <col customWidth="1" min="15" max="26" width="8.71"/>
  </cols>
  <sheetData>
    <row r="1" ht="28.5" customHeight="1">
      <c r="K1" s="9"/>
      <c r="L1" s="9"/>
      <c r="M1" s="106" t="s">
        <v>2961</v>
      </c>
      <c r="N1" s="104" t="s">
        <v>3026</v>
      </c>
      <c r="O1" s="106" t="s">
        <v>3027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59" t="s">
        <v>3028</v>
      </c>
      <c r="B2" s="159" t="s">
        <v>3029</v>
      </c>
      <c r="C2" s="159" t="s">
        <v>2798</v>
      </c>
      <c r="D2" s="159" t="s">
        <v>3030</v>
      </c>
      <c r="E2" s="159" t="s">
        <v>3031</v>
      </c>
      <c r="F2" s="159" t="s">
        <v>3032</v>
      </c>
      <c r="G2" s="159" t="s">
        <v>3032</v>
      </c>
      <c r="H2" s="159" t="s">
        <v>3033</v>
      </c>
      <c r="I2" s="159">
        <v>1.0</v>
      </c>
      <c r="J2" s="159">
        <v>1.0</v>
      </c>
      <c r="K2" s="9"/>
      <c r="L2" s="9"/>
      <c r="M2" s="9" t="s">
        <v>2798</v>
      </c>
      <c r="N2" s="9"/>
      <c r="O2" s="9" t="s">
        <v>2690</v>
      </c>
      <c r="P2" s="9">
        <v>1.0</v>
      </c>
      <c r="Q2" s="9">
        <f t="shared" ref="Q2:Q60" si="1">VLOOKUP(M2,$C$2:$J$68,7,FALSE)</f>
        <v>1</v>
      </c>
      <c r="R2" s="9"/>
      <c r="S2" s="9"/>
      <c r="T2" s="9"/>
      <c r="U2" s="9"/>
      <c r="V2" s="9"/>
      <c r="W2" s="9"/>
      <c r="X2" s="9"/>
      <c r="Y2" s="9"/>
      <c r="Z2" s="9"/>
    </row>
    <row r="3">
      <c r="A3" s="159" t="s">
        <v>3028</v>
      </c>
      <c r="B3" s="159" t="s">
        <v>3029</v>
      </c>
      <c r="C3" s="159" t="s">
        <v>2818</v>
      </c>
      <c r="D3" s="159" t="s">
        <v>3034</v>
      </c>
      <c r="E3" s="159" t="s">
        <v>3031</v>
      </c>
      <c r="F3" s="159" t="s">
        <v>3032</v>
      </c>
      <c r="G3" s="159" t="s">
        <v>3032</v>
      </c>
      <c r="H3" s="159" t="s">
        <v>3035</v>
      </c>
      <c r="I3" s="159">
        <v>7.0</v>
      </c>
      <c r="J3" s="159">
        <v>7.0</v>
      </c>
      <c r="K3" s="9"/>
      <c r="L3" s="9"/>
      <c r="M3" s="9" t="s">
        <v>2818</v>
      </c>
      <c r="N3" s="9" t="s">
        <v>3036</v>
      </c>
      <c r="O3" s="9" t="s">
        <v>2690</v>
      </c>
      <c r="P3" s="9">
        <v>7.0</v>
      </c>
      <c r="Q3" s="9">
        <f t="shared" si="1"/>
        <v>7</v>
      </c>
      <c r="R3" s="9"/>
      <c r="S3" s="9"/>
      <c r="T3" s="9"/>
      <c r="U3" s="9"/>
      <c r="V3" s="9"/>
      <c r="W3" s="9"/>
      <c r="X3" s="9"/>
      <c r="Y3" s="9"/>
      <c r="Z3" s="9"/>
    </row>
    <row r="4">
      <c r="A4" s="159" t="s">
        <v>3028</v>
      </c>
      <c r="B4" s="159" t="s">
        <v>3029</v>
      </c>
      <c r="C4" s="159" t="s">
        <v>2787</v>
      </c>
      <c r="D4" s="159" t="s">
        <v>2953</v>
      </c>
      <c r="E4" s="159" t="s">
        <v>3031</v>
      </c>
      <c r="F4" s="159" t="s">
        <v>3032</v>
      </c>
      <c r="G4" s="159" t="s">
        <v>3032</v>
      </c>
      <c r="H4" s="159" t="s">
        <v>3037</v>
      </c>
      <c r="I4" s="159">
        <v>5.0</v>
      </c>
      <c r="J4" s="159">
        <v>5.0</v>
      </c>
      <c r="K4" s="9"/>
      <c r="L4" s="9"/>
      <c r="M4" s="9" t="s">
        <v>2787</v>
      </c>
      <c r="N4" s="9"/>
      <c r="O4" s="9" t="s">
        <v>2690</v>
      </c>
      <c r="P4" s="9">
        <v>5.0</v>
      </c>
      <c r="Q4" s="9">
        <f t="shared" si="1"/>
        <v>5</v>
      </c>
      <c r="R4" s="9"/>
      <c r="S4" s="9"/>
      <c r="T4" s="9"/>
      <c r="U4" s="9"/>
      <c r="V4" s="9"/>
      <c r="W4" s="9"/>
      <c r="X4" s="9"/>
      <c r="Y4" s="9"/>
      <c r="Z4" s="9"/>
    </row>
    <row r="5">
      <c r="A5" s="159" t="s">
        <v>3028</v>
      </c>
      <c r="B5" s="159" t="s">
        <v>3029</v>
      </c>
      <c r="C5" s="159" t="s">
        <v>3038</v>
      </c>
      <c r="D5" s="159" t="s">
        <v>3039</v>
      </c>
      <c r="E5" s="159" t="s">
        <v>3031</v>
      </c>
      <c r="F5" s="159" t="s">
        <v>3032</v>
      </c>
      <c r="G5" s="159" t="s">
        <v>3032</v>
      </c>
      <c r="H5" s="159" t="s">
        <v>3035</v>
      </c>
      <c r="I5" s="159">
        <v>5.0</v>
      </c>
      <c r="J5" s="159">
        <v>5.0</v>
      </c>
      <c r="K5" s="9"/>
      <c r="L5" s="9"/>
      <c r="M5" s="9" t="s">
        <v>3038</v>
      </c>
      <c r="N5" s="9" t="s">
        <v>3036</v>
      </c>
      <c r="O5" s="9" t="s">
        <v>2690</v>
      </c>
      <c r="P5" s="9">
        <v>5.0</v>
      </c>
      <c r="Q5" s="9">
        <f t="shared" si="1"/>
        <v>5</v>
      </c>
      <c r="R5" s="9"/>
      <c r="S5" s="9"/>
      <c r="T5" s="9"/>
      <c r="U5" s="9"/>
      <c r="V5" s="9"/>
      <c r="W5" s="9"/>
      <c r="X5" s="9"/>
      <c r="Y5" s="9"/>
      <c r="Z5" s="9"/>
    </row>
    <row r="6">
      <c r="A6" s="159" t="s">
        <v>3028</v>
      </c>
      <c r="B6" s="159" t="s">
        <v>3029</v>
      </c>
      <c r="C6" s="159" t="s">
        <v>2811</v>
      </c>
      <c r="D6" s="159" t="s">
        <v>3040</v>
      </c>
      <c r="E6" s="159" t="s">
        <v>3031</v>
      </c>
      <c r="F6" s="159" t="s">
        <v>3032</v>
      </c>
      <c r="G6" s="159" t="s">
        <v>3032</v>
      </c>
      <c r="H6" s="159" t="s">
        <v>3035</v>
      </c>
      <c r="I6" s="159">
        <v>5.0</v>
      </c>
      <c r="J6" s="159">
        <v>5.0</v>
      </c>
      <c r="K6" s="9"/>
      <c r="L6" s="9"/>
      <c r="M6" s="9" t="s">
        <v>2811</v>
      </c>
      <c r="N6" s="9" t="s">
        <v>3036</v>
      </c>
      <c r="O6" s="9" t="s">
        <v>2690</v>
      </c>
      <c r="P6" s="9">
        <v>5.0</v>
      </c>
      <c r="Q6" s="9">
        <f t="shared" si="1"/>
        <v>5</v>
      </c>
      <c r="R6" s="9"/>
      <c r="S6" s="9"/>
      <c r="T6" s="9"/>
      <c r="U6" s="9"/>
      <c r="V6" s="9"/>
      <c r="W6" s="9"/>
      <c r="X6" s="9"/>
      <c r="Y6" s="9"/>
      <c r="Z6" s="9"/>
    </row>
    <row r="7">
      <c r="A7" s="159" t="s">
        <v>3028</v>
      </c>
      <c r="B7" s="159" t="s">
        <v>3029</v>
      </c>
      <c r="C7" s="159" t="s">
        <v>2822</v>
      </c>
      <c r="D7" s="159" t="s">
        <v>3041</v>
      </c>
      <c r="E7" s="159" t="s">
        <v>3031</v>
      </c>
      <c r="F7" s="159" t="s">
        <v>3032</v>
      </c>
      <c r="G7" s="159" t="s">
        <v>3032</v>
      </c>
      <c r="H7" s="159" t="s">
        <v>3035</v>
      </c>
      <c r="I7" s="159">
        <v>3.0</v>
      </c>
      <c r="J7" s="159">
        <v>3.0</v>
      </c>
      <c r="K7" s="9"/>
      <c r="L7" s="9"/>
      <c r="M7" s="9" t="s">
        <v>2822</v>
      </c>
      <c r="N7" s="9" t="s">
        <v>3036</v>
      </c>
      <c r="O7" s="9" t="s">
        <v>2690</v>
      </c>
      <c r="P7" s="9">
        <v>3.0</v>
      </c>
      <c r="Q7" s="9">
        <f t="shared" si="1"/>
        <v>3</v>
      </c>
      <c r="R7" s="9"/>
      <c r="S7" s="9"/>
      <c r="T7" s="9"/>
      <c r="U7" s="9"/>
      <c r="V7" s="9"/>
      <c r="W7" s="9"/>
      <c r="X7" s="9"/>
      <c r="Y7" s="9"/>
      <c r="Z7" s="9"/>
    </row>
    <row r="8">
      <c r="A8" s="159" t="s">
        <v>3028</v>
      </c>
      <c r="B8" s="159" t="s">
        <v>3029</v>
      </c>
      <c r="C8" s="159" t="s">
        <v>2820</v>
      </c>
      <c r="D8" s="159" t="s">
        <v>3042</v>
      </c>
      <c r="E8" s="159" t="s">
        <v>3031</v>
      </c>
      <c r="F8" s="159" t="s">
        <v>3032</v>
      </c>
      <c r="G8" s="159" t="s">
        <v>3032</v>
      </c>
      <c r="H8" s="159" t="s">
        <v>3035</v>
      </c>
      <c r="I8" s="159">
        <v>7.0</v>
      </c>
      <c r="J8" s="159">
        <v>7.0</v>
      </c>
      <c r="K8" s="9"/>
      <c r="L8" s="9"/>
      <c r="M8" s="9" t="s">
        <v>2820</v>
      </c>
      <c r="N8" s="9" t="s">
        <v>3036</v>
      </c>
      <c r="O8" s="9" t="s">
        <v>2690</v>
      </c>
      <c r="P8" s="9">
        <v>7.0</v>
      </c>
      <c r="Q8" s="9">
        <f t="shared" si="1"/>
        <v>7</v>
      </c>
      <c r="R8" s="9"/>
      <c r="S8" s="9"/>
      <c r="T8" s="9"/>
      <c r="U8" s="9"/>
      <c r="V8" s="9"/>
      <c r="W8" s="9"/>
      <c r="X8" s="9"/>
      <c r="Y8" s="9"/>
      <c r="Z8" s="9"/>
    </row>
    <row r="9">
      <c r="A9" s="159" t="s">
        <v>3028</v>
      </c>
      <c r="B9" s="159" t="s">
        <v>3029</v>
      </c>
      <c r="C9" s="159" t="s">
        <v>2796</v>
      </c>
      <c r="D9" s="159" t="s">
        <v>3043</v>
      </c>
      <c r="E9" s="159" t="s">
        <v>3031</v>
      </c>
      <c r="F9" s="159" t="s">
        <v>3032</v>
      </c>
      <c r="G9" s="159" t="s">
        <v>3032</v>
      </c>
      <c r="H9" s="159" t="s">
        <v>3044</v>
      </c>
      <c r="I9" s="159">
        <v>4.0</v>
      </c>
      <c r="J9" s="159">
        <v>4.0</v>
      </c>
      <c r="K9" s="9"/>
      <c r="L9" s="9"/>
      <c r="M9" s="9" t="s">
        <v>2796</v>
      </c>
      <c r="N9" s="9"/>
      <c r="O9" s="9" t="s">
        <v>2690</v>
      </c>
      <c r="P9" s="9">
        <v>4.0</v>
      </c>
      <c r="Q9" s="9">
        <f t="shared" si="1"/>
        <v>4</v>
      </c>
      <c r="R9" s="9"/>
      <c r="S9" s="9"/>
      <c r="T9" s="9"/>
      <c r="U9" s="9"/>
      <c r="V9" s="9"/>
      <c r="W9" s="9"/>
      <c r="X9" s="9"/>
      <c r="Y9" s="9"/>
      <c r="Z9" s="9"/>
    </row>
    <row r="10">
      <c r="A10" s="159" t="s">
        <v>3028</v>
      </c>
      <c r="B10" s="159" t="s">
        <v>3029</v>
      </c>
      <c r="C10" s="159" t="s">
        <v>2795</v>
      </c>
      <c r="D10" s="159" t="s">
        <v>3045</v>
      </c>
      <c r="E10" s="159" t="s">
        <v>3031</v>
      </c>
      <c r="F10" s="159" t="s">
        <v>3032</v>
      </c>
      <c r="G10" s="159" t="s">
        <v>3032</v>
      </c>
      <c r="H10" s="159" t="s">
        <v>3046</v>
      </c>
      <c r="I10" s="159">
        <v>5.0</v>
      </c>
      <c r="J10" s="159">
        <v>5.0</v>
      </c>
      <c r="K10" s="9"/>
      <c r="L10" s="9"/>
      <c r="M10" s="9" t="s">
        <v>2795</v>
      </c>
      <c r="N10" s="9"/>
      <c r="O10" s="9" t="s">
        <v>2690</v>
      </c>
      <c r="P10" s="9">
        <v>5.0</v>
      </c>
      <c r="Q10" s="9">
        <f t="shared" si="1"/>
        <v>5</v>
      </c>
      <c r="R10" s="9"/>
      <c r="S10" s="9"/>
      <c r="T10" s="9"/>
      <c r="U10" s="9"/>
      <c r="V10" s="9"/>
      <c r="W10" s="9"/>
      <c r="X10" s="9"/>
      <c r="Y10" s="9"/>
      <c r="Z10" s="9"/>
    </row>
    <row r="11">
      <c r="A11" s="159" t="s">
        <v>3028</v>
      </c>
      <c r="B11" s="159" t="s">
        <v>3029</v>
      </c>
      <c r="C11" s="159" t="s">
        <v>2790</v>
      </c>
      <c r="D11" s="159" t="s">
        <v>3047</v>
      </c>
      <c r="E11" s="159" t="s">
        <v>3031</v>
      </c>
      <c r="F11" s="159" t="s">
        <v>3032</v>
      </c>
      <c r="G11" s="159" t="s">
        <v>3032</v>
      </c>
      <c r="H11" s="159" t="s">
        <v>3035</v>
      </c>
      <c r="I11" s="159">
        <v>510.0</v>
      </c>
      <c r="J11" s="159">
        <v>510.0</v>
      </c>
      <c r="K11" s="9"/>
      <c r="L11" s="9"/>
      <c r="M11" s="9" t="s">
        <v>2790</v>
      </c>
      <c r="N11" s="9" t="s">
        <v>3036</v>
      </c>
      <c r="O11" s="9" t="s">
        <v>2690</v>
      </c>
      <c r="P11" s="9">
        <v>502.0</v>
      </c>
      <c r="Q11" s="9">
        <f t="shared" si="1"/>
        <v>510</v>
      </c>
      <c r="R11" s="9"/>
      <c r="S11" s="9"/>
      <c r="T11" s="9"/>
      <c r="U11" s="9"/>
      <c r="V11" s="9"/>
      <c r="W11" s="9"/>
      <c r="X11" s="9"/>
      <c r="Y11" s="9"/>
      <c r="Z11" s="9"/>
    </row>
    <row r="12">
      <c r="A12" s="159" t="s">
        <v>3028</v>
      </c>
      <c r="B12" s="159" t="s">
        <v>3029</v>
      </c>
      <c r="C12" s="159" t="s">
        <v>2762</v>
      </c>
      <c r="D12" s="159" t="s">
        <v>3048</v>
      </c>
      <c r="E12" s="159" t="s">
        <v>3031</v>
      </c>
      <c r="F12" s="159" t="s">
        <v>3032</v>
      </c>
      <c r="G12" s="159" t="s">
        <v>3032</v>
      </c>
      <c r="H12" s="159" t="s">
        <v>3035</v>
      </c>
      <c r="I12" s="159">
        <v>500.0</v>
      </c>
      <c r="J12" s="159">
        <v>500.0</v>
      </c>
      <c r="K12" s="9"/>
      <c r="L12" s="9"/>
      <c r="M12" s="9" t="s">
        <v>2762</v>
      </c>
      <c r="N12" s="9"/>
      <c r="O12" s="9" t="s">
        <v>2690</v>
      </c>
      <c r="P12" s="9">
        <v>500.0</v>
      </c>
      <c r="Q12" s="9">
        <f t="shared" si="1"/>
        <v>500</v>
      </c>
      <c r="R12" s="9"/>
      <c r="S12" s="9"/>
      <c r="T12" s="9"/>
      <c r="U12" s="9"/>
      <c r="V12" s="9"/>
      <c r="W12" s="9"/>
      <c r="X12" s="9"/>
      <c r="Y12" s="9"/>
      <c r="Z12" s="9"/>
    </row>
    <row r="13">
      <c r="A13" s="159" t="s">
        <v>3028</v>
      </c>
      <c r="B13" s="159" t="s">
        <v>3029</v>
      </c>
      <c r="C13" s="159" t="s">
        <v>2709</v>
      </c>
      <c r="D13" s="159" t="s">
        <v>3049</v>
      </c>
      <c r="E13" s="159" t="s">
        <v>3031</v>
      </c>
      <c r="F13" s="159" t="s">
        <v>3032</v>
      </c>
      <c r="G13" s="159" t="s">
        <v>3032</v>
      </c>
      <c r="H13" s="159" t="s">
        <v>3035</v>
      </c>
      <c r="I13" s="159">
        <v>700.0</v>
      </c>
      <c r="J13" s="159">
        <v>700.0</v>
      </c>
      <c r="K13" s="9"/>
      <c r="L13" s="9"/>
      <c r="M13" s="9" t="s">
        <v>2709</v>
      </c>
      <c r="N13" s="9"/>
      <c r="O13" s="9" t="s">
        <v>2690</v>
      </c>
      <c r="P13" s="9">
        <v>700.0</v>
      </c>
      <c r="Q13" s="9">
        <f t="shared" si="1"/>
        <v>700</v>
      </c>
      <c r="R13" s="9"/>
      <c r="S13" s="9"/>
      <c r="T13" s="9"/>
      <c r="U13" s="9"/>
      <c r="V13" s="9"/>
      <c r="W13" s="9"/>
      <c r="X13" s="9"/>
      <c r="Y13" s="9"/>
      <c r="Z13" s="9"/>
    </row>
    <row r="14">
      <c r="A14" s="159" t="s">
        <v>3028</v>
      </c>
      <c r="B14" s="159" t="s">
        <v>3029</v>
      </c>
      <c r="C14" s="159" t="s">
        <v>3050</v>
      </c>
      <c r="D14" s="159" t="s">
        <v>3051</v>
      </c>
      <c r="E14" s="159" t="s">
        <v>3031</v>
      </c>
      <c r="F14" s="159" t="s">
        <v>3032</v>
      </c>
      <c r="G14" s="159" t="s">
        <v>3032</v>
      </c>
      <c r="H14" s="159" t="s">
        <v>3035</v>
      </c>
      <c r="I14" s="159">
        <v>1.0</v>
      </c>
      <c r="J14" s="159">
        <v>1.0</v>
      </c>
      <c r="K14" s="9"/>
      <c r="L14" s="9"/>
      <c r="M14" s="9" t="s">
        <v>3050</v>
      </c>
      <c r="N14" s="9" t="s">
        <v>3052</v>
      </c>
      <c r="O14" s="9" t="s">
        <v>2690</v>
      </c>
      <c r="P14" s="9">
        <v>1.0</v>
      </c>
      <c r="Q14" s="9">
        <f t="shared" si="1"/>
        <v>1</v>
      </c>
      <c r="R14" s="9"/>
      <c r="S14" s="9"/>
      <c r="T14" s="9"/>
      <c r="U14" s="9"/>
      <c r="V14" s="9"/>
      <c r="W14" s="9"/>
      <c r="X14" s="9"/>
      <c r="Y14" s="9"/>
      <c r="Z14" s="9"/>
    </row>
    <row r="15">
      <c r="A15" s="159" t="s">
        <v>3028</v>
      </c>
      <c r="B15" s="159" t="s">
        <v>3029</v>
      </c>
      <c r="C15" s="159" t="s">
        <v>2689</v>
      </c>
      <c r="D15" s="159" t="s">
        <v>3053</v>
      </c>
      <c r="E15" s="159" t="s">
        <v>3031</v>
      </c>
      <c r="F15" s="159" t="s">
        <v>3032</v>
      </c>
      <c r="G15" s="159" t="s">
        <v>3032</v>
      </c>
      <c r="H15" s="159" t="s">
        <v>3046</v>
      </c>
      <c r="I15" s="159">
        <v>2.0</v>
      </c>
      <c r="J15" s="159">
        <v>2.0</v>
      </c>
      <c r="K15" s="9"/>
      <c r="L15" s="9"/>
      <c r="M15" s="160" t="s">
        <v>2689</v>
      </c>
      <c r="N15" s="9"/>
      <c r="O15" s="9" t="s">
        <v>2690</v>
      </c>
      <c r="P15" s="9">
        <v>2.0</v>
      </c>
      <c r="Q15" s="9">
        <f t="shared" si="1"/>
        <v>2</v>
      </c>
      <c r="R15" s="9"/>
      <c r="S15" s="9"/>
      <c r="T15" s="9"/>
      <c r="U15" s="9"/>
      <c r="V15" s="9"/>
      <c r="W15" s="9"/>
      <c r="X15" s="9"/>
      <c r="Y15" s="9"/>
      <c r="Z15" s="9"/>
    </row>
    <row r="16">
      <c r="A16" s="159" t="s">
        <v>3028</v>
      </c>
      <c r="B16" s="159" t="s">
        <v>3029</v>
      </c>
      <c r="C16" s="159" t="s">
        <v>1218</v>
      </c>
      <c r="D16" s="159" t="s">
        <v>3054</v>
      </c>
      <c r="E16" s="159" t="s">
        <v>3031</v>
      </c>
      <c r="F16" s="159" t="s">
        <v>3032</v>
      </c>
      <c r="G16" s="159" t="s">
        <v>3032</v>
      </c>
      <c r="H16" s="159" t="s">
        <v>3055</v>
      </c>
      <c r="I16" s="159">
        <v>300.0</v>
      </c>
      <c r="J16" s="159">
        <v>300.0</v>
      </c>
      <c r="K16" s="9"/>
      <c r="L16" s="9"/>
      <c r="M16" s="9" t="s">
        <v>1218</v>
      </c>
      <c r="N16" s="9"/>
      <c r="O16" s="9" t="s">
        <v>2690</v>
      </c>
      <c r="P16" s="9">
        <v>300.0</v>
      </c>
      <c r="Q16" s="9">
        <f t="shared" si="1"/>
        <v>300</v>
      </c>
      <c r="R16" s="9"/>
      <c r="S16" s="9"/>
      <c r="T16" s="9"/>
      <c r="U16" s="9"/>
      <c r="V16" s="9"/>
      <c r="W16" s="9"/>
      <c r="X16" s="9"/>
      <c r="Y16" s="9"/>
      <c r="Z16" s="9"/>
    </row>
    <row r="17">
      <c r="A17" s="159" t="s">
        <v>3028</v>
      </c>
      <c r="B17" s="159" t="s">
        <v>3029</v>
      </c>
      <c r="C17" s="159" t="s">
        <v>1218</v>
      </c>
      <c r="D17" s="159"/>
      <c r="E17" s="159" t="s">
        <v>3031</v>
      </c>
      <c r="F17" s="159" t="s">
        <v>3032</v>
      </c>
      <c r="G17" s="159" t="s">
        <v>3032</v>
      </c>
      <c r="H17" s="159"/>
      <c r="I17" s="159">
        <v>30.0</v>
      </c>
      <c r="J17" s="159">
        <v>0.0</v>
      </c>
      <c r="K17" s="9"/>
      <c r="L17" s="9"/>
      <c r="M17" s="9" t="s">
        <v>3056</v>
      </c>
      <c r="N17" s="9"/>
      <c r="O17" s="9" t="s">
        <v>2690</v>
      </c>
      <c r="P17" s="9">
        <v>1.0</v>
      </c>
      <c r="Q17" s="9">
        <f t="shared" si="1"/>
        <v>1</v>
      </c>
      <c r="R17" s="9"/>
      <c r="S17" s="9"/>
      <c r="T17" s="9"/>
      <c r="U17" s="9"/>
      <c r="V17" s="9"/>
      <c r="W17" s="9"/>
      <c r="X17" s="9"/>
      <c r="Y17" s="9"/>
      <c r="Z17" s="9"/>
    </row>
    <row r="18">
      <c r="A18" s="159" t="s">
        <v>3028</v>
      </c>
      <c r="B18" s="159" t="s">
        <v>3029</v>
      </c>
      <c r="C18" s="159" t="s">
        <v>3056</v>
      </c>
      <c r="D18" s="159" t="s">
        <v>3057</v>
      </c>
      <c r="E18" s="159" t="s">
        <v>3031</v>
      </c>
      <c r="F18" s="159" t="s">
        <v>3032</v>
      </c>
      <c r="G18" s="159" t="s">
        <v>3058</v>
      </c>
      <c r="H18" s="159" t="s">
        <v>3059</v>
      </c>
      <c r="I18" s="159">
        <v>1.0</v>
      </c>
      <c r="J18" s="159">
        <v>1.0</v>
      </c>
      <c r="K18" s="9"/>
      <c r="L18" s="9"/>
      <c r="M18" s="9" t="s">
        <v>3060</v>
      </c>
      <c r="N18" s="9"/>
      <c r="O18" s="9" t="s">
        <v>2690</v>
      </c>
      <c r="P18" s="9">
        <v>5.0</v>
      </c>
      <c r="Q18" s="9">
        <f t="shared" si="1"/>
        <v>5</v>
      </c>
      <c r="R18" s="9"/>
      <c r="S18" s="9"/>
      <c r="T18" s="9"/>
      <c r="U18" s="9"/>
      <c r="V18" s="9"/>
      <c r="W18" s="9"/>
      <c r="X18" s="9"/>
      <c r="Y18" s="9"/>
      <c r="Z18" s="9"/>
    </row>
    <row r="19">
      <c r="A19" s="159" t="s">
        <v>3028</v>
      </c>
      <c r="B19" s="159" t="s">
        <v>3029</v>
      </c>
      <c r="C19" s="159" t="s">
        <v>3060</v>
      </c>
      <c r="D19" s="159" t="s">
        <v>3061</v>
      </c>
      <c r="E19" s="159" t="s">
        <v>3031</v>
      </c>
      <c r="F19" s="159" t="s">
        <v>3032</v>
      </c>
      <c r="G19" s="159" t="s">
        <v>3058</v>
      </c>
      <c r="H19" s="159" t="s">
        <v>3035</v>
      </c>
      <c r="I19" s="159">
        <v>5.0</v>
      </c>
      <c r="J19" s="159">
        <v>5.0</v>
      </c>
      <c r="K19" s="9"/>
      <c r="L19" s="9"/>
      <c r="M19" s="9" t="s">
        <v>2815</v>
      </c>
      <c r="N19" s="9"/>
      <c r="O19" s="9" t="s">
        <v>2690</v>
      </c>
      <c r="P19" s="9">
        <v>5.0</v>
      </c>
      <c r="Q19" s="9">
        <f t="shared" si="1"/>
        <v>5</v>
      </c>
      <c r="R19" s="9"/>
      <c r="S19" s="9"/>
      <c r="T19" s="9"/>
      <c r="U19" s="9"/>
      <c r="V19" s="9"/>
      <c r="W19" s="9"/>
      <c r="X19" s="9"/>
      <c r="Y19" s="9"/>
      <c r="Z19" s="9"/>
    </row>
    <row r="20">
      <c r="A20" s="159" t="s">
        <v>3028</v>
      </c>
      <c r="B20" s="159" t="s">
        <v>3029</v>
      </c>
      <c r="C20" s="159" t="s">
        <v>2815</v>
      </c>
      <c r="D20" s="159" t="s">
        <v>3062</v>
      </c>
      <c r="E20" s="159" t="s">
        <v>3031</v>
      </c>
      <c r="F20" s="159" t="s">
        <v>3032</v>
      </c>
      <c r="G20" s="159" t="s">
        <v>3058</v>
      </c>
      <c r="H20" s="159" t="s">
        <v>3035</v>
      </c>
      <c r="I20" s="159">
        <v>5.0</v>
      </c>
      <c r="J20" s="159">
        <v>5.0</v>
      </c>
      <c r="K20" s="9"/>
      <c r="L20" s="9"/>
      <c r="M20" s="9" t="s">
        <v>2813</v>
      </c>
      <c r="N20" s="9"/>
      <c r="O20" s="9" t="s">
        <v>2690</v>
      </c>
      <c r="P20" s="9">
        <v>6.0</v>
      </c>
      <c r="Q20" s="9">
        <f t="shared" si="1"/>
        <v>6</v>
      </c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59" t="s">
        <v>3028</v>
      </c>
      <c r="B21" s="159" t="s">
        <v>3029</v>
      </c>
      <c r="C21" s="159" t="s">
        <v>2813</v>
      </c>
      <c r="D21" s="159" t="s">
        <v>3063</v>
      </c>
      <c r="E21" s="159" t="s">
        <v>3031</v>
      </c>
      <c r="F21" s="159" t="s">
        <v>3032</v>
      </c>
      <c r="G21" s="159" t="s">
        <v>3058</v>
      </c>
      <c r="H21" s="159" t="s">
        <v>3035</v>
      </c>
      <c r="I21" s="159">
        <v>6.0</v>
      </c>
      <c r="J21" s="159">
        <v>6.0</v>
      </c>
      <c r="K21" s="9"/>
      <c r="L21" s="9"/>
      <c r="M21" s="9" t="s">
        <v>3064</v>
      </c>
      <c r="N21" s="9"/>
      <c r="O21" s="9" t="s">
        <v>2690</v>
      </c>
      <c r="P21" s="9">
        <v>4.0</v>
      </c>
      <c r="Q21" s="9">
        <f t="shared" si="1"/>
        <v>4</v>
      </c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59" t="s">
        <v>3028</v>
      </c>
      <c r="B22" s="159" t="s">
        <v>3029</v>
      </c>
      <c r="C22" s="159" t="s">
        <v>3064</v>
      </c>
      <c r="D22" s="159" t="s">
        <v>2752</v>
      </c>
      <c r="E22" s="159" t="s">
        <v>3031</v>
      </c>
      <c r="F22" s="159" t="s">
        <v>3032</v>
      </c>
      <c r="G22" s="159" t="s">
        <v>3058</v>
      </c>
      <c r="H22" s="159" t="s">
        <v>3035</v>
      </c>
      <c r="I22" s="159">
        <v>4.0</v>
      </c>
      <c r="J22" s="159">
        <v>4.0</v>
      </c>
      <c r="K22" s="9"/>
      <c r="L22" s="9"/>
      <c r="M22" s="9" t="s">
        <v>3065</v>
      </c>
      <c r="N22" s="9"/>
      <c r="O22" s="9" t="s">
        <v>2690</v>
      </c>
      <c r="P22" s="9">
        <v>1.0</v>
      </c>
      <c r="Q22" s="9">
        <f t="shared" si="1"/>
        <v>1</v>
      </c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59" t="s">
        <v>3028</v>
      </c>
      <c r="B23" s="159" t="s">
        <v>3029</v>
      </c>
      <c r="C23" s="159" t="s">
        <v>3065</v>
      </c>
      <c r="D23" s="159" t="s">
        <v>3066</v>
      </c>
      <c r="E23" s="159" t="s">
        <v>3031</v>
      </c>
      <c r="F23" s="159" t="s">
        <v>3032</v>
      </c>
      <c r="G23" s="159" t="s">
        <v>3067</v>
      </c>
      <c r="H23" s="159" t="s">
        <v>3035</v>
      </c>
      <c r="I23" s="159">
        <v>1.0</v>
      </c>
      <c r="J23" s="159">
        <v>1.0</v>
      </c>
      <c r="K23" s="9"/>
      <c r="L23" s="9"/>
      <c r="M23" s="9" t="s">
        <v>2803</v>
      </c>
      <c r="N23" s="9"/>
      <c r="O23" s="9" t="s">
        <v>2690</v>
      </c>
      <c r="P23" s="9">
        <v>199.0</v>
      </c>
      <c r="Q23" s="9">
        <f t="shared" si="1"/>
        <v>200</v>
      </c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59" t="s">
        <v>3028</v>
      </c>
      <c r="B24" s="159" t="s">
        <v>3029</v>
      </c>
      <c r="C24" s="159" t="s">
        <v>2803</v>
      </c>
      <c r="D24" s="159" t="s">
        <v>3068</v>
      </c>
      <c r="E24" s="159" t="s">
        <v>3031</v>
      </c>
      <c r="F24" s="159" t="s">
        <v>3032</v>
      </c>
      <c r="G24" s="159" t="s">
        <v>3067</v>
      </c>
      <c r="H24" s="159" t="s">
        <v>3035</v>
      </c>
      <c r="I24" s="159">
        <v>200.0</v>
      </c>
      <c r="J24" s="159">
        <v>200.0</v>
      </c>
      <c r="K24" s="9"/>
      <c r="L24" s="9"/>
      <c r="M24" s="9" t="s">
        <v>2754</v>
      </c>
      <c r="N24" s="9"/>
      <c r="O24" s="9" t="s">
        <v>2690</v>
      </c>
      <c r="P24" s="9">
        <v>182.0</v>
      </c>
      <c r="Q24" s="9">
        <f t="shared" si="1"/>
        <v>200</v>
      </c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59" t="s">
        <v>3028</v>
      </c>
      <c r="B25" s="159" t="s">
        <v>3029</v>
      </c>
      <c r="C25" s="159" t="s">
        <v>2754</v>
      </c>
      <c r="D25" s="159" t="s">
        <v>3069</v>
      </c>
      <c r="E25" s="159" t="s">
        <v>3031</v>
      </c>
      <c r="F25" s="159" t="s">
        <v>3032</v>
      </c>
      <c r="G25" s="159" t="s">
        <v>3067</v>
      </c>
      <c r="H25" s="159" t="s">
        <v>3035</v>
      </c>
      <c r="I25" s="159">
        <v>200.0</v>
      </c>
      <c r="J25" s="159">
        <v>200.0</v>
      </c>
      <c r="K25" s="9"/>
      <c r="L25" s="9"/>
      <c r="M25" s="9" t="s">
        <v>2826</v>
      </c>
      <c r="N25" s="9"/>
      <c r="O25" s="9" t="s">
        <v>2690</v>
      </c>
      <c r="P25" s="9">
        <v>24.0</v>
      </c>
      <c r="Q25" s="9">
        <f t="shared" si="1"/>
        <v>100</v>
      </c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59" t="s">
        <v>3028</v>
      </c>
      <c r="B26" s="159" t="s">
        <v>3029</v>
      </c>
      <c r="C26" s="159" t="s">
        <v>2826</v>
      </c>
      <c r="D26" s="159" t="s">
        <v>3070</v>
      </c>
      <c r="E26" s="159" t="s">
        <v>3031</v>
      </c>
      <c r="F26" s="159" t="s">
        <v>3032</v>
      </c>
      <c r="G26" s="159" t="s">
        <v>3067</v>
      </c>
      <c r="H26" s="159" t="s">
        <v>3035</v>
      </c>
      <c r="I26" s="159">
        <v>100.0</v>
      </c>
      <c r="J26" s="159">
        <v>100.0</v>
      </c>
      <c r="K26" s="9"/>
      <c r="L26" s="9"/>
      <c r="M26" s="9" t="s">
        <v>3071</v>
      </c>
      <c r="N26" s="9"/>
      <c r="O26" s="9" t="s">
        <v>2690</v>
      </c>
      <c r="P26" s="9">
        <v>10.0</v>
      </c>
      <c r="Q26" s="9">
        <f t="shared" si="1"/>
        <v>10</v>
      </c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59" t="s">
        <v>3028</v>
      </c>
      <c r="B27" s="159" t="s">
        <v>3029</v>
      </c>
      <c r="C27" s="159" t="s">
        <v>3071</v>
      </c>
      <c r="D27" s="159" t="s">
        <v>3072</v>
      </c>
      <c r="E27" s="159" t="s">
        <v>3031</v>
      </c>
      <c r="F27" s="159" t="s">
        <v>3032</v>
      </c>
      <c r="G27" s="159" t="s">
        <v>3067</v>
      </c>
      <c r="H27" s="159" t="s">
        <v>3073</v>
      </c>
      <c r="I27" s="159">
        <v>10.0</v>
      </c>
      <c r="J27" s="159">
        <v>10.0</v>
      </c>
      <c r="K27" s="9"/>
      <c r="L27" s="9"/>
      <c r="M27" s="9" t="s">
        <v>615</v>
      </c>
      <c r="N27" s="9"/>
      <c r="O27" s="9" t="s">
        <v>2690</v>
      </c>
      <c r="P27" s="9">
        <v>1.0</v>
      </c>
      <c r="Q27" s="9">
        <f t="shared" si="1"/>
        <v>1</v>
      </c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59" t="s">
        <v>3028</v>
      </c>
      <c r="B28" s="159" t="s">
        <v>3029</v>
      </c>
      <c r="C28" s="159" t="s">
        <v>615</v>
      </c>
      <c r="D28" s="159"/>
      <c r="E28" s="159" t="s">
        <v>3031</v>
      </c>
      <c r="F28" s="159" t="s">
        <v>3032</v>
      </c>
      <c r="G28" s="159" t="s">
        <v>3067</v>
      </c>
      <c r="H28" s="159" t="s">
        <v>3055</v>
      </c>
      <c r="I28" s="159">
        <v>1.0</v>
      </c>
      <c r="J28" s="159">
        <v>1.0</v>
      </c>
      <c r="K28" s="9"/>
      <c r="L28" s="9"/>
      <c r="M28" s="9" t="s">
        <v>2734</v>
      </c>
      <c r="N28" s="9"/>
      <c r="O28" s="9" t="s">
        <v>2690</v>
      </c>
      <c r="P28" s="9">
        <v>286.0</v>
      </c>
      <c r="Q28" s="9">
        <f t="shared" si="1"/>
        <v>300</v>
      </c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59" t="s">
        <v>3028</v>
      </c>
      <c r="B29" s="159" t="s">
        <v>3029</v>
      </c>
      <c r="C29" s="159" t="s">
        <v>2734</v>
      </c>
      <c r="D29" s="159" t="s">
        <v>3074</v>
      </c>
      <c r="E29" s="159" t="s">
        <v>3031</v>
      </c>
      <c r="F29" s="159" t="s">
        <v>3032</v>
      </c>
      <c r="G29" s="159" t="s">
        <v>3032</v>
      </c>
      <c r="H29" s="159" t="s">
        <v>3075</v>
      </c>
      <c r="I29" s="159">
        <v>300.0</v>
      </c>
      <c r="J29" s="159">
        <v>300.0</v>
      </c>
      <c r="K29" s="9"/>
      <c r="L29" s="9"/>
      <c r="M29" s="9" t="s">
        <v>2732</v>
      </c>
      <c r="N29" s="9"/>
      <c r="O29" s="9" t="s">
        <v>2690</v>
      </c>
      <c r="P29" s="9">
        <v>186.0</v>
      </c>
      <c r="Q29" s="9">
        <f t="shared" si="1"/>
        <v>200</v>
      </c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59" t="s">
        <v>3028</v>
      </c>
      <c r="B30" s="159" t="s">
        <v>3029</v>
      </c>
      <c r="C30" s="159" t="s">
        <v>2732</v>
      </c>
      <c r="D30" s="159" t="s">
        <v>3076</v>
      </c>
      <c r="E30" s="159" t="s">
        <v>3031</v>
      </c>
      <c r="F30" s="159" t="s">
        <v>3032</v>
      </c>
      <c r="G30" s="159" t="s">
        <v>3032</v>
      </c>
      <c r="H30" s="159" t="s">
        <v>3075</v>
      </c>
      <c r="I30" s="159">
        <v>200.0</v>
      </c>
      <c r="J30" s="159">
        <v>200.0</v>
      </c>
      <c r="K30" s="9"/>
      <c r="L30" s="9"/>
      <c r="M30" s="9" t="s">
        <v>1219</v>
      </c>
      <c r="N30" s="9"/>
      <c r="O30" s="9" t="s">
        <v>2690</v>
      </c>
      <c r="P30" s="9">
        <v>149.0</v>
      </c>
      <c r="Q30" s="9">
        <f t="shared" si="1"/>
        <v>150</v>
      </c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59" t="s">
        <v>3028</v>
      </c>
      <c r="B31" s="159" t="s">
        <v>3029</v>
      </c>
      <c r="C31" s="159" t="s">
        <v>1219</v>
      </c>
      <c r="D31" s="159" t="s">
        <v>3077</v>
      </c>
      <c r="E31" s="159" t="s">
        <v>3031</v>
      </c>
      <c r="F31" s="159" t="s">
        <v>3032</v>
      </c>
      <c r="G31" s="159" t="s">
        <v>3058</v>
      </c>
      <c r="H31" s="159" t="s">
        <v>3075</v>
      </c>
      <c r="I31" s="159">
        <v>150.0</v>
      </c>
      <c r="J31" s="159">
        <v>150.0</v>
      </c>
      <c r="K31" s="9"/>
      <c r="L31" s="9"/>
      <c r="M31" s="9" t="s">
        <v>3078</v>
      </c>
      <c r="N31" s="9"/>
      <c r="O31" s="9" t="s">
        <v>2690</v>
      </c>
      <c r="P31" s="9">
        <v>15.0</v>
      </c>
      <c r="Q31" s="9">
        <f t="shared" si="1"/>
        <v>15</v>
      </c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59" t="s">
        <v>3028</v>
      </c>
      <c r="B32" s="159" t="s">
        <v>3029</v>
      </c>
      <c r="C32" s="159" t="s">
        <v>3078</v>
      </c>
      <c r="D32" s="159" t="s">
        <v>3079</v>
      </c>
      <c r="E32" s="159" t="s">
        <v>3031</v>
      </c>
      <c r="F32" s="159" t="s">
        <v>3032</v>
      </c>
      <c r="G32" s="159" t="s">
        <v>3058</v>
      </c>
      <c r="H32" s="159" t="s">
        <v>3075</v>
      </c>
      <c r="I32" s="159">
        <v>15.0</v>
      </c>
      <c r="J32" s="159">
        <v>15.0</v>
      </c>
      <c r="K32" s="9"/>
      <c r="L32" s="9"/>
      <c r="M32" s="9" t="s">
        <v>2711</v>
      </c>
      <c r="N32" s="9"/>
      <c r="O32" s="9" t="s">
        <v>2690</v>
      </c>
      <c r="P32" s="9">
        <v>471.0</v>
      </c>
      <c r="Q32" s="9">
        <f t="shared" si="1"/>
        <v>500</v>
      </c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59" t="s">
        <v>3028</v>
      </c>
      <c r="B33" s="159" t="s">
        <v>3029</v>
      </c>
      <c r="C33" s="159" t="s">
        <v>2711</v>
      </c>
      <c r="D33" s="159" t="s">
        <v>3080</v>
      </c>
      <c r="E33" s="159" t="s">
        <v>3031</v>
      </c>
      <c r="F33" s="159" t="s">
        <v>3032</v>
      </c>
      <c r="G33" s="159" t="s">
        <v>3058</v>
      </c>
      <c r="H33" s="159" t="s">
        <v>3075</v>
      </c>
      <c r="I33" s="159">
        <v>500.0</v>
      </c>
      <c r="J33" s="159">
        <v>500.0</v>
      </c>
      <c r="K33" s="9"/>
      <c r="L33" s="9"/>
      <c r="M33" s="9" t="s">
        <v>1221</v>
      </c>
      <c r="N33" s="9"/>
      <c r="O33" s="9" t="s">
        <v>2690</v>
      </c>
      <c r="P33" s="9">
        <v>145.0</v>
      </c>
      <c r="Q33" s="9">
        <f t="shared" si="1"/>
        <v>150</v>
      </c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59" t="s">
        <v>3028</v>
      </c>
      <c r="B34" s="159" t="s">
        <v>3029</v>
      </c>
      <c r="C34" s="159" t="s">
        <v>1221</v>
      </c>
      <c r="D34" s="159" t="s">
        <v>3081</v>
      </c>
      <c r="E34" s="159" t="s">
        <v>3031</v>
      </c>
      <c r="F34" s="159" t="s">
        <v>3032</v>
      </c>
      <c r="G34" s="159" t="s">
        <v>3058</v>
      </c>
      <c r="H34" s="159" t="s">
        <v>3075</v>
      </c>
      <c r="I34" s="159">
        <v>150.0</v>
      </c>
      <c r="J34" s="159">
        <v>150.0</v>
      </c>
      <c r="K34" s="9"/>
      <c r="L34" s="9"/>
      <c r="M34" s="160" t="s">
        <v>2793</v>
      </c>
      <c r="N34" s="9"/>
      <c r="O34" s="9" t="s">
        <v>2690</v>
      </c>
      <c r="P34" s="9">
        <v>5.0</v>
      </c>
      <c r="Q34" s="9">
        <f t="shared" si="1"/>
        <v>5</v>
      </c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59" t="s">
        <v>3028</v>
      </c>
      <c r="B35" s="159" t="s">
        <v>3029</v>
      </c>
      <c r="C35" s="159" t="s">
        <v>2793</v>
      </c>
      <c r="D35" s="159" t="s">
        <v>3082</v>
      </c>
      <c r="E35" s="159" t="s">
        <v>3031</v>
      </c>
      <c r="F35" s="159" t="s">
        <v>3032</v>
      </c>
      <c r="G35" s="159" t="s">
        <v>3058</v>
      </c>
      <c r="H35" s="159" t="s">
        <v>3059</v>
      </c>
      <c r="I35" s="159">
        <v>5.0</v>
      </c>
      <c r="J35" s="159">
        <v>5.0</v>
      </c>
      <c r="K35" s="9"/>
      <c r="L35" s="9"/>
      <c r="M35" s="9" t="s">
        <v>2694</v>
      </c>
      <c r="N35" s="9"/>
      <c r="O35" s="9" t="s">
        <v>2690</v>
      </c>
      <c r="P35" s="9">
        <v>1.0</v>
      </c>
      <c r="Q35" s="9">
        <f t="shared" si="1"/>
        <v>1</v>
      </c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59" t="s">
        <v>3028</v>
      </c>
      <c r="B36" s="159" t="s">
        <v>3029</v>
      </c>
      <c r="C36" s="159" t="s">
        <v>2694</v>
      </c>
      <c r="D36" s="159" t="s">
        <v>3083</v>
      </c>
      <c r="E36" s="159" t="s">
        <v>3031</v>
      </c>
      <c r="F36" s="159" t="s">
        <v>3032</v>
      </c>
      <c r="G36" s="159" t="s">
        <v>3058</v>
      </c>
      <c r="H36" s="159" t="s">
        <v>3075</v>
      </c>
      <c r="I36" s="159">
        <v>1.0</v>
      </c>
      <c r="J36" s="159">
        <v>1.0</v>
      </c>
      <c r="K36" s="9"/>
      <c r="L36" s="9"/>
      <c r="M36" s="9" t="s">
        <v>2693</v>
      </c>
      <c r="N36" s="9"/>
      <c r="O36" s="9" t="s">
        <v>2690</v>
      </c>
      <c r="P36" s="9">
        <v>1.0</v>
      </c>
      <c r="Q36" s="9">
        <f t="shared" si="1"/>
        <v>1</v>
      </c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59" t="s">
        <v>3028</v>
      </c>
      <c r="B37" s="159" t="s">
        <v>3029</v>
      </c>
      <c r="C37" s="159" t="s">
        <v>2693</v>
      </c>
      <c r="D37" s="159" t="s">
        <v>3084</v>
      </c>
      <c r="E37" s="159" t="s">
        <v>3031</v>
      </c>
      <c r="F37" s="159" t="s">
        <v>3032</v>
      </c>
      <c r="G37" s="159" t="s">
        <v>3058</v>
      </c>
      <c r="H37" s="159" t="s">
        <v>3075</v>
      </c>
      <c r="I37" s="159">
        <v>1.0</v>
      </c>
      <c r="J37" s="159">
        <v>1.0</v>
      </c>
      <c r="K37" s="9"/>
      <c r="L37" s="9"/>
      <c r="M37" s="9" t="s">
        <v>3085</v>
      </c>
      <c r="N37" s="9"/>
      <c r="O37" s="9" t="s">
        <v>2690</v>
      </c>
      <c r="P37" s="9">
        <v>2.0</v>
      </c>
      <c r="Q37" s="9">
        <f t="shared" si="1"/>
        <v>2</v>
      </c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59" t="s">
        <v>3028</v>
      </c>
      <c r="B38" s="159" t="s">
        <v>3029</v>
      </c>
      <c r="C38" s="159" t="s">
        <v>3085</v>
      </c>
      <c r="D38" s="159" t="s">
        <v>3086</v>
      </c>
      <c r="E38" s="159" t="s">
        <v>3031</v>
      </c>
      <c r="F38" s="159" t="s">
        <v>3032</v>
      </c>
      <c r="G38" s="159" t="s">
        <v>3058</v>
      </c>
      <c r="H38" s="159" t="s">
        <v>3075</v>
      </c>
      <c r="I38" s="159">
        <v>2.0</v>
      </c>
      <c r="J38" s="159">
        <v>2.0</v>
      </c>
      <c r="K38" s="9"/>
      <c r="L38" s="9"/>
      <c r="M38" s="9" t="s">
        <v>3087</v>
      </c>
      <c r="N38" s="9"/>
      <c r="O38" s="9" t="s">
        <v>2690</v>
      </c>
      <c r="P38" s="9">
        <v>2.0</v>
      </c>
      <c r="Q38" s="9">
        <f t="shared" si="1"/>
        <v>2</v>
      </c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59" t="s">
        <v>3028</v>
      </c>
      <c r="B39" s="159" t="s">
        <v>3029</v>
      </c>
      <c r="C39" s="159" t="s">
        <v>3087</v>
      </c>
      <c r="D39" s="159" t="s">
        <v>3088</v>
      </c>
      <c r="E39" s="159" t="s">
        <v>3031</v>
      </c>
      <c r="F39" s="159" t="s">
        <v>3032</v>
      </c>
      <c r="G39" s="159" t="s">
        <v>3067</v>
      </c>
      <c r="H39" s="159" t="s">
        <v>3075</v>
      </c>
      <c r="I39" s="159">
        <v>2.0</v>
      </c>
      <c r="J39" s="159">
        <v>2.0</v>
      </c>
      <c r="K39" s="9"/>
      <c r="L39" s="9"/>
      <c r="M39" s="9" t="s">
        <v>2786</v>
      </c>
      <c r="N39" s="9"/>
      <c r="O39" s="9" t="s">
        <v>2690</v>
      </c>
      <c r="P39" s="9">
        <v>1.0</v>
      </c>
      <c r="Q39" s="9">
        <f t="shared" si="1"/>
        <v>1</v>
      </c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59" t="s">
        <v>3028</v>
      </c>
      <c r="B40" s="159" t="s">
        <v>3029</v>
      </c>
      <c r="C40" s="159" t="s">
        <v>2786</v>
      </c>
      <c r="D40" s="159" t="s">
        <v>3089</v>
      </c>
      <c r="E40" s="159" t="s">
        <v>3031</v>
      </c>
      <c r="F40" s="159" t="s">
        <v>3032</v>
      </c>
      <c r="G40" s="159" t="s">
        <v>3067</v>
      </c>
      <c r="H40" s="159" t="s">
        <v>3075</v>
      </c>
      <c r="I40" s="159">
        <v>1.0</v>
      </c>
      <c r="J40" s="159">
        <v>1.0</v>
      </c>
      <c r="K40" s="9"/>
      <c r="L40" s="9"/>
      <c r="M40" s="9" t="s">
        <v>3090</v>
      </c>
      <c r="N40" s="9"/>
      <c r="O40" s="9" t="s">
        <v>2690</v>
      </c>
      <c r="P40" s="9">
        <v>3.0</v>
      </c>
      <c r="Q40" s="9">
        <f t="shared" si="1"/>
        <v>5</v>
      </c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59" t="s">
        <v>3028</v>
      </c>
      <c r="B41" s="159" t="s">
        <v>3029</v>
      </c>
      <c r="C41" s="159" t="s">
        <v>3090</v>
      </c>
      <c r="D41" s="159" t="s">
        <v>3091</v>
      </c>
      <c r="E41" s="159" t="s">
        <v>3031</v>
      </c>
      <c r="F41" s="159" t="s">
        <v>3032</v>
      </c>
      <c r="G41" s="159" t="s">
        <v>3067</v>
      </c>
      <c r="H41" s="159" t="s">
        <v>3075</v>
      </c>
      <c r="I41" s="159">
        <v>5.0</v>
      </c>
      <c r="J41" s="159">
        <v>5.0</v>
      </c>
      <c r="K41" s="9"/>
      <c r="L41" s="9"/>
      <c r="M41" s="160" t="s">
        <v>2809</v>
      </c>
      <c r="N41" s="9"/>
      <c r="O41" s="9" t="s">
        <v>2690</v>
      </c>
      <c r="P41" s="9">
        <v>1.0</v>
      </c>
      <c r="Q41" s="9">
        <f t="shared" si="1"/>
        <v>1</v>
      </c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59" t="s">
        <v>3028</v>
      </c>
      <c r="B42" s="159" t="s">
        <v>3029</v>
      </c>
      <c r="C42" s="159" t="s">
        <v>2809</v>
      </c>
      <c r="D42" s="159" t="s">
        <v>3092</v>
      </c>
      <c r="E42" s="159" t="s">
        <v>3031</v>
      </c>
      <c r="F42" s="159" t="s">
        <v>3032</v>
      </c>
      <c r="G42" s="159" t="s">
        <v>3067</v>
      </c>
      <c r="H42" s="159" t="s">
        <v>3075</v>
      </c>
      <c r="I42" s="159">
        <v>1.0</v>
      </c>
      <c r="J42" s="159">
        <v>1.0</v>
      </c>
      <c r="K42" s="9"/>
      <c r="L42" s="9"/>
      <c r="M42" s="160" t="s">
        <v>3093</v>
      </c>
      <c r="N42" s="9"/>
      <c r="O42" s="9" t="s">
        <v>2690</v>
      </c>
      <c r="P42" s="9">
        <v>3.0</v>
      </c>
      <c r="Q42" s="9">
        <f t="shared" si="1"/>
        <v>3</v>
      </c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59" t="s">
        <v>3028</v>
      </c>
      <c r="B43" s="159" t="s">
        <v>3029</v>
      </c>
      <c r="C43" s="159" t="s">
        <v>3093</v>
      </c>
      <c r="D43" s="159" t="s">
        <v>3094</v>
      </c>
      <c r="E43" s="159" t="s">
        <v>3031</v>
      </c>
      <c r="F43" s="159" t="s">
        <v>3032</v>
      </c>
      <c r="G43" s="159" t="s">
        <v>3067</v>
      </c>
      <c r="H43" s="159" t="s">
        <v>3075</v>
      </c>
      <c r="I43" s="159">
        <v>3.0</v>
      </c>
      <c r="J43" s="159">
        <v>3.0</v>
      </c>
      <c r="K43" s="9"/>
      <c r="L43" s="9"/>
      <c r="M43" s="160" t="s">
        <v>3095</v>
      </c>
      <c r="N43" s="9"/>
      <c r="O43" s="9" t="s">
        <v>2690</v>
      </c>
      <c r="P43" s="9">
        <v>1.0</v>
      </c>
      <c r="Q43" s="9">
        <f t="shared" si="1"/>
        <v>1</v>
      </c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59" t="s">
        <v>3028</v>
      </c>
      <c r="B44" s="159" t="s">
        <v>3029</v>
      </c>
      <c r="C44" s="159" t="s">
        <v>3095</v>
      </c>
      <c r="D44" s="159"/>
      <c r="E44" s="159" t="s">
        <v>3031</v>
      </c>
      <c r="F44" s="159" t="s">
        <v>3032</v>
      </c>
      <c r="G44" s="159" t="s">
        <v>3067</v>
      </c>
      <c r="H44" s="159"/>
      <c r="I44" s="159">
        <v>1.0</v>
      </c>
      <c r="J44" s="159">
        <v>0.0</v>
      </c>
      <c r="K44" s="9"/>
      <c r="L44" s="9"/>
      <c r="M44" s="9" t="s">
        <v>3096</v>
      </c>
      <c r="N44" s="9"/>
      <c r="O44" s="9" t="s">
        <v>2690</v>
      </c>
      <c r="P44" s="9">
        <v>1.0</v>
      </c>
      <c r="Q44" s="9">
        <f t="shared" si="1"/>
        <v>1</v>
      </c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59" t="s">
        <v>3028</v>
      </c>
      <c r="B45" s="159" t="s">
        <v>3029</v>
      </c>
      <c r="C45" s="159" t="s">
        <v>3096</v>
      </c>
      <c r="D45" s="159" t="s">
        <v>3097</v>
      </c>
      <c r="E45" s="159" t="s">
        <v>3031</v>
      </c>
      <c r="F45" s="159" t="s">
        <v>3032</v>
      </c>
      <c r="G45" s="159" t="s">
        <v>3067</v>
      </c>
      <c r="H45" s="159" t="s">
        <v>3075</v>
      </c>
      <c r="I45" s="159">
        <v>1.0</v>
      </c>
      <c r="J45" s="159">
        <v>1.0</v>
      </c>
      <c r="K45" s="9"/>
      <c r="L45" s="9"/>
      <c r="M45" s="9" t="s">
        <v>3098</v>
      </c>
      <c r="N45" s="9"/>
      <c r="O45" s="9" t="s">
        <v>2690</v>
      </c>
      <c r="P45" s="9">
        <v>4.0</v>
      </c>
      <c r="Q45" s="9">
        <f t="shared" si="1"/>
        <v>4</v>
      </c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59" t="s">
        <v>3028</v>
      </c>
      <c r="B46" s="159" t="s">
        <v>3029</v>
      </c>
      <c r="C46" s="159" t="s">
        <v>3098</v>
      </c>
      <c r="D46" s="159" t="s">
        <v>3099</v>
      </c>
      <c r="E46" s="159" t="s">
        <v>3031</v>
      </c>
      <c r="F46" s="159" t="s">
        <v>3032</v>
      </c>
      <c r="G46" s="159" t="s">
        <v>3067</v>
      </c>
      <c r="H46" s="159" t="s">
        <v>3075</v>
      </c>
      <c r="I46" s="159">
        <v>4.0</v>
      </c>
      <c r="J46" s="159">
        <v>4.0</v>
      </c>
      <c r="K46" s="9"/>
      <c r="L46" s="9"/>
      <c r="M46" s="9" t="s">
        <v>3100</v>
      </c>
      <c r="N46" s="9"/>
      <c r="O46" s="9" t="s">
        <v>2690</v>
      </c>
      <c r="P46" s="9">
        <v>15.0</v>
      </c>
      <c r="Q46" s="9">
        <f t="shared" si="1"/>
        <v>15</v>
      </c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59" t="s">
        <v>3028</v>
      </c>
      <c r="B47" s="159" t="s">
        <v>3029</v>
      </c>
      <c r="C47" s="159" t="s">
        <v>3100</v>
      </c>
      <c r="D47" s="159" t="s">
        <v>3101</v>
      </c>
      <c r="E47" s="159" t="s">
        <v>3031</v>
      </c>
      <c r="F47" s="159" t="s">
        <v>3032</v>
      </c>
      <c r="G47" s="159" t="s">
        <v>3067</v>
      </c>
      <c r="H47" s="159" t="s">
        <v>3075</v>
      </c>
      <c r="I47" s="159">
        <v>15.0</v>
      </c>
      <c r="J47" s="159">
        <v>15.0</v>
      </c>
      <c r="K47" s="9"/>
      <c r="L47" s="9"/>
      <c r="M47" s="9" t="s">
        <v>3102</v>
      </c>
      <c r="N47" s="9"/>
      <c r="O47" s="9" t="s">
        <v>2690</v>
      </c>
      <c r="P47" s="9">
        <v>3.0</v>
      </c>
      <c r="Q47" s="9">
        <f t="shared" si="1"/>
        <v>3</v>
      </c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59" t="s">
        <v>3028</v>
      </c>
      <c r="B48" s="159" t="s">
        <v>3029</v>
      </c>
      <c r="C48" s="159" t="s">
        <v>3100</v>
      </c>
      <c r="D48" s="159"/>
      <c r="E48" s="159" t="s">
        <v>3031</v>
      </c>
      <c r="F48" s="159" t="s">
        <v>3032</v>
      </c>
      <c r="G48" s="159" t="s">
        <v>3067</v>
      </c>
      <c r="H48" s="159" t="s">
        <v>3103</v>
      </c>
      <c r="I48" s="159">
        <v>10.0</v>
      </c>
      <c r="J48" s="159">
        <v>0.0</v>
      </c>
      <c r="K48" s="9"/>
      <c r="L48" s="9"/>
      <c r="M48" s="9" t="s">
        <v>2723</v>
      </c>
      <c r="N48" s="9"/>
      <c r="O48" s="9" t="s">
        <v>2690</v>
      </c>
      <c r="P48" s="9">
        <v>50.0</v>
      </c>
      <c r="Q48" s="9">
        <f t="shared" si="1"/>
        <v>50</v>
      </c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59" t="s">
        <v>3028</v>
      </c>
      <c r="B49" s="159" t="s">
        <v>3029</v>
      </c>
      <c r="C49" s="159" t="s">
        <v>3102</v>
      </c>
      <c r="D49" s="159" t="s">
        <v>3104</v>
      </c>
      <c r="E49" s="159" t="s">
        <v>3031</v>
      </c>
      <c r="F49" s="159" t="s">
        <v>3032</v>
      </c>
      <c r="G49" s="159" t="s">
        <v>3067</v>
      </c>
      <c r="H49" s="159" t="s">
        <v>3075</v>
      </c>
      <c r="I49" s="159">
        <v>3.0</v>
      </c>
      <c r="J49" s="159">
        <v>3.0</v>
      </c>
      <c r="K49" s="9"/>
      <c r="L49" s="9"/>
      <c r="M49" s="9" t="s">
        <v>3105</v>
      </c>
      <c r="N49" s="9"/>
      <c r="O49" s="9" t="s">
        <v>2690</v>
      </c>
      <c r="P49" s="9">
        <v>2.0</v>
      </c>
      <c r="Q49" s="9">
        <f t="shared" si="1"/>
        <v>2</v>
      </c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59" t="s">
        <v>3028</v>
      </c>
      <c r="B50" s="159" t="s">
        <v>3029</v>
      </c>
      <c r="C50" s="159" t="s">
        <v>2723</v>
      </c>
      <c r="D50" s="159" t="s">
        <v>3106</v>
      </c>
      <c r="E50" s="159" t="s">
        <v>3031</v>
      </c>
      <c r="F50" s="159" t="s">
        <v>3032</v>
      </c>
      <c r="G50" s="159" t="s">
        <v>3067</v>
      </c>
      <c r="H50" s="159" t="s">
        <v>3075</v>
      </c>
      <c r="I50" s="159">
        <v>50.0</v>
      </c>
      <c r="J50" s="159">
        <v>50.0</v>
      </c>
      <c r="K50" s="9"/>
      <c r="L50" s="9"/>
      <c r="M50" s="160" t="s">
        <v>3107</v>
      </c>
      <c r="N50" s="9"/>
      <c r="O50" s="9" t="s">
        <v>2690</v>
      </c>
      <c r="P50" s="9">
        <v>1.0</v>
      </c>
      <c r="Q50" s="9">
        <f t="shared" si="1"/>
        <v>1</v>
      </c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59" t="s">
        <v>3028</v>
      </c>
      <c r="B51" s="159" t="s">
        <v>3029</v>
      </c>
      <c r="C51" s="159" t="s">
        <v>3105</v>
      </c>
      <c r="D51" s="159" t="s">
        <v>3108</v>
      </c>
      <c r="E51" s="159" t="s">
        <v>3031</v>
      </c>
      <c r="F51" s="159" t="s">
        <v>3032</v>
      </c>
      <c r="G51" s="159" t="s">
        <v>3067</v>
      </c>
      <c r="H51" s="159" t="s">
        <v>3075</v>
      </c>
      <c r="I51" s="159">
        <v>2.0</v>
      </c>
      <c r="J51" s="159">
        <v>2.0</v>
      </c>
      <c r="K51" s="9"/>
      <c r="L51" s="9"/>
      <c r="M51" s="9" t="s">
        <v>3109</v>
      </c>
      <c r="N51" s="9"/>
      <c r="O51" s="9" t="s">
        <v>2690</v>
      </c>
      <c r="P51" s="9">
        <v>10.0</v>
      </c>
      <c r="Q51" s="9">
        <f t="shared" si="1"/>
        <v>10</v>
      </c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59" t="s">
        <v>3028</v>
      </c>
      <c r="B52" s="159" t="s">
        <v>3029</v>
      </c>
      <c r="C52" s="159" t="s">
        <v>3107</v>
      </c>
      <c r="D52" s="159" t="s">
        <v>3110</v>
      </c>
      <c r="E52" s="159" t="s">
        <v>3031</v>
      </c>
      <c r="F52" s="159" t="s">
        <v>3032</v>
      </c>
      <c r="G52" s="159" t="s">
        <v>3067</v>
      </c>
      <c r="H52" s="159" t="s">
        <v>3075</v>
      </c>
      <c r="I52" s="159">
        <v>1.0</v>
      </c>
      <c r="J52" s="159">
        <v>1.0</v>
      </c>
      <c r="K52" s="9"/>
      <c r="L52" s="9"/>
      <c r="M52" s="9" t="s">
        <v>3111</v>
      </c>
      <c r="N52" s="9"/>
      <c r="O52" s="9" t="s">
        <v>2690</v>
      </c>
      <c r="P52" s="9">
        <v>10.0</v>
      </c>
      <c r="Q52" s="9">
        <f t="shared" si="1"/>
        <v>10</v>
      </c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59" t="s">
        <v>3028</v>
      </c>
      <c r="B53" s="159" t="s">
        <v>3029</v>
      </c>
      <c r="C53" s="159" t="s">
        <v>3109</v>
      </c>
      <c r="D53" s="159" t="s">
        <v>3112</v>
      </c>
      <c r="E53" s="159" t="s">
        <v>3031</v>
      </c>
      <c r="F53" s="159" t="s">
        <v>3032</v>
      </c>
      <c r="G53" s="159" t="s">
        <v>3067</v>
      </c>
      <c r="H53" s="159" t="s">
        <v>3075</v>
      </c>
      <c r="I53" s="159">
        <v>10.0</v>
      </c>
      <c r="J53" s="159">
        <v>10.0</v>
      </c>
      <c r="K53" s="9"/>
      <c r="L53" s="9"/>
      <c r="M53" s="9" t="s">
        <v>3113</v>
      </c>
      <c r="N53" s="9"/>
      <c r="O53" s="9" t="s">
        <v>2690</v>
      </c>
      <c r="P53" s="9">
        <v>10.0</v>
      </c>
      <c r="Q53" s="9">
        <f t="shared" si="1"/>
        <v>10</v>
      </c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59" t="s">
        <v>3028</v>
      </c>
      <c r="B54" s="159" t="s">
        <v>3029</v>
      </c>
      <c r="C54" s="159" t="s">
        <v>3111</v>
      </c>
      <c r="D54" s="159" t="s">
        <v>3114</v>
      </c>
      <c r="E54" s="159" t="s">
        <v>3031</v>
      </c>
      <c r="F54" s="159" t="s">
        <v>3032</v>
      </c>
      <c r="G54" s="159" t="s">
        <v>3067</v>
      </c>
      <c r="H54" s="159" t="s">
        <v>3075</v>
      </c>
      <c r="I54" s="159">
        <v>10.0</v>
      </c>
      <c r="J54" s="159">
        <v>10.0</v>
      </c>
      <c r="K54" s="9"/>
      <c r="L54" s="9"/>
      <c r="M54" s="9" t="s">
        <v>3115</v>
      </c>
      <c r="N54" s="9"/>
      <c r="O54" s="9" t="s">
        <v>2690</v>
      </c>
      <c r="P54" s="9">
        <v>2.0</v>
      </c>
      <c r="Q54" s="9">
        <f t="shared" si="1"/>
        <v>2</v>
      </c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59" t="s">
        <v>3028</v>
      </c>
      <c r="B55" s="159" t="s">
        <v>3029</v>
      </c>
      <c r="C55" s="159" t="s">
        <v>3113</v>
      </c>
      <c r="D55" s="159" t="s">
        <v>3116</v>
      </c>
      <c r="E55" s="159" t="s">
        <v>3031</v>
      </c>
      <c r="F55" s="159" t="s">
        <v>3032</v>
      </c>
      <c r="G55" s="159" t="s">
        <v>3067</v>
      </c>
      <c r="H55" s="159" t="s">
        <v>3075</v>
      </c>
      <c r="I55" s="159">
        <v>10.0</v>
      </c>
      <c r="J55" s="159">
        <v>10.0</v>
      </c>
      <c r="K55" s="9"/>
      <c r="L55" s="9"/>
      <c r="M55" s="9" t="s">
        <v>2918</v>
      </c>
      <c r="N55" s="9"/>
      <c r="O55" s="9" t="s">
        <v>2690</v>
      </c>
      <c r="P55" s="9">
        <v>15.0</v>
      </c>
      <c r="Q55" s="9">
        <f t="shared" si="1"/>
        <v>15</v>
      </c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59" t="s">
        <v>3028</v>
      </c>
      <c r="B56" s="159" t="s">
        <v>3029</v>
      </c>
      <c r="C56" s="159" t="s">
        <v>3115</v>
      </c>
      <c r="D56" s="159" t="s">
        <v>3117</v>
      </c>
      <c r="E56" s="159" t="s">
        <v>3031</v>
      </c>
      <c r="F56" s="159" t="s">
        <v>3032</v>
      </c>
      <c r="G56" s="159" t="s">
        <v>3067</v>
      </c>
      <c r="H56" s="159" t="s">
        <v>3075</v>
      </c>
      <c r="I56" s="159">
        <v>2.0</v>
      </c>
      <c r="J56" s="159">
        <v>2.0</v>
      </c>
      <c r="K56" s="9"/>
      <c r="L56" s="9"/>
      <c r="M56" s="9" t="s">
        <v>3118</v>
      </c>
      <c r="N56" s="9"/>
      <c r="O56" s="9" t="s">
        <v>2690</v>
      </c>
      <c r="P56" s="9">
        <v>1.0</v>
      </c>
      <c r="Q56" s="9">
        <f t="shared" si="1"/>
        <v>1</v>
      </c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59" t="s">
        <v>3028</v>
      </c>
      <c r="B57" s="159" t="s">
        <v>3029</v>
      </c>
      <c r="C57" s="159" t="s">
        <v>2918</v>
      </c>
      <c r="D57" s="159" t="s">
        <v>3119</v>
      </c>
      <c r="E57" s="159" t="s">
        <v>3031</v>
      </c>
      <c r="F57" s="159" t="s">
        <v>3032</v>
      </c>
      <c r="G57" s="159" t="s">
        <v>3067</v>
      </c>
      <c r="H57" s="159" t="s">
        <v>3075</v>
      </c>
      <c r="I57" s="159">
        <v>15.0</v>
      </c>
      <c r="J57" s="159">
        <v>15.0</v>
      </c>
      <c r="K57" s="9"/>
      <c r="L57" s="9"/>
      <c r="M57" s="9" t="s">
        <v>3120</v>
      </c>
      <c r="N57" s="9"/>
      <c r="O57" s="9" t="s">
        <v>2690</v>
      </c>
      <c r="P57" s="9">
        <v>1.0</v>
      </c>
      <c r="Q57" s="9">
        <f t="shared" si="1"/>
        <v>1</v>
      </c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59" t="s">
        <v>3028</v>
      </c>
      <c r="B58" s="159" t="s">
        <v>3029</v>
      </c>
      <c r="C58" s="159" t="s">
        <v>3118</v>
      </c>
      <c r="D58" s="159" t="s">
        <v>3121</v>
      </c>
      <c r="E58" s="159" t="s">
        <v>3031</v>
      </c>
      <c r="F58" s="159" t="s">
        <v>3032</v>
      </c>
      <c r="G58" s="159" t="s">
        <v>3067</v>
      </c>
      <c r="H58" s="159" t="s">
        <v>3075</v>
      </c>
      <c r="I58" s="159">
        <v>1.0</v>
      </c>
      <c r="J58" s="159">
        <v>1.0</v>
      </c>
      <c r="K58" s="9"/>
      <c r="L58" s="9"/>
      <c r="M58" s="9" t="s">
        <v>3122</v>
      </c>
      <c r="N58" s="9"/>
      <c r="O58" s="9" t="s">
        <v>2690</v>
      </c>
      <c r="P58" s="9">
        <v>7.0</v>
      </c>
      <c r="Q58" s="9">
        <f t="shared" si="1"/>
        <v>7</v>
      </c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59" t="s">
        <v>3028</v>
      </c>
      <c r="B59" s="159" t="s">
        <v>3029</v>
      </c>
      <c r="C59" s="159" t="s">
        <v>3120</v>
      </c>
      <c r="D59" s="159" t="s">
        <v>3123</v>
      </c>
      <c r="E59" s="159" t="s">
        <v>3031</v>
      </c>
      <c r="F59" s="159" t="s">
        <v>3032</v>
      </c>
      <c r="G59" s="159" t="s">
        <v>3067</v>
      </c>
      <c r="H59" s="159" t="s">
        <v>3075</v>
      </c>
      <c r="I59" s="159">
        <v>1.0</v>
      </c>
      <c r="J59" s="159">
        <v>1.0</v>
      </c>
      <c r="K59" s="9"/>
      <c r="L59" s="9"/>
      <c r="M59" s="9" t="s">
        <v>3124</v>
      </c>
      <c r="N59" s="9" t="s">
        <v>3125</v>
      </c>
      <c r="O59" s="9" t="s">
        <v>2673</v>
      </c>
      <c r="P59" s="9">
        <v>1.0</v>
      </c>
      <c r="Q59" s="9">
        <f t="shared" si="1"/>
        <v>1</v>
      </c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59" t="s">
        <v>3028</v>
      </c>
      <c r="B60" s="159" t="s">
        <v>3029</v>
      </c>
      <c r="C60" s="159" t="s">
        <v>3122</v>
      </c>
      <c r="D60" s="159" t="s">
        <v>3126</v>
      </c>
      <c r="E60" s="159" t="s">
        <v>3031</v>
      </c>
      <c r="F60" s="159" t="s">
        <v>3032</v>
      </c>
      <c r="G60" s="159" t="s">
        <v>3067</v>
      </c>
      <c r="H60" s="159" t="s">
        <v>3075</v>
      </c>
      <c r="I60" s="159">
        <v>7.0</v>
      </c>
      <c r="J60" s="159">
        <v>7.0</v>
      </c>
      <c r="K60" s="9"/>
      <c r="L60" s="9"/>
      <c r="M60" s="9" t="s">
        <v>2801</v>
      </c>
      <c r="N60" s="9"/>
      <c r="O60" s="9" t="s">
        <v>2690</v>
      </c>
      <c r="P60" s="9">
        <v>1.0</v>
      </c>
      <c r="Q60" s="9">
        <f t="shared" si="1"/>
        <v>1</v>
      </c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59" t="s">
        <v>3028</v>
      </c>
      <c r="B61" s="159" t="s">
        <v>3029</v>
      </c>
      <c r="C61" s="159" t="s">
        <v>3124</v>
      </c>
      <c r="D61" s="159" t="s">
        <v>3127</v>
      </c>
      <c r="E61" s="159" t="s">
        <v>3031</v>
      </c>
      <c r="F61" s="159" t="s">
        <v>3032</v>
      </c>
      <c r="G61" s="159" t="s">
        <v>3067</v>
      </c>
      <c r="H61" s="159" t="s">
        <v>3035</v>
      </c>
      <c r="I61" s="159">
        <v>1.0</v>
      </c>
      <c r="J61" s="159">
        <v>1.0</v>
      </c>
      <c r="K61" s="9"/>
      <c r="L61" s="9"/>
      <c r="M61" s="9"/>
      <c r="N61" s="9"/>
      <c r="O61" s="9"/>
      <c r="P61" s="9"/>
      <c r="Q61" s="9" t="str">
        <f t="shared" ref="Q61:Q67" si="2">VLOOKUP(M61,$C$2:$J$68,$I56:I$68,FALSE)</f>
        <v>#N/A</v>
      </c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59" t="s">
        <v>3028</v>
      </c>
      <c r="B62" s="159" t="s">
        <v>3029</v>
      </c>
      <c r="C62" s="159" t="s">
        <v>2801</v>
      </c>
      <c r="D62" s="159" t="s">
        <v>3128</v>
      </c>
      <c r="E62" s="159" t="s">
        <v>3031</v>
      </c>
      <c r="F62" s="159" t="s">
        <v>3032</v>
      </c>
      <c r="G62" s="159" t="s">
        <v>3067</v>
      </c>
      <c r="H62" s="159" t="s">
        <v>3059</v>
      </c>
      <c r="I62" s="159">
        <v>1.0</v>
      </c>
      <c r="J62" s="159">
        <v>1.0</v>
      </c>
      <c r="K62" s="9"/>
      <c r="L62" s="9"/>
      <c r="M62" s="9"/>
      <c r="N62" s="9"/>
      <c r="O62" s="9"/>
      <c r="P62" s="9"/>
      <c r="Q62" s="9" t="str">
        <f t="shared" si="2"/>
        <v>#N/A</v>
      </c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K63" s="9"/>
      <c r="L63" s="9"/>
      <c r="M63" s="9"/>
      <c r="N63" s="9"/>
      <c r="O63" s="9"/>
      <c r="P63" s="9"/>
      <c r="Q63" s="9" t="str">
        <f t="shared" si="2"/>
        <v>#VALUE!</v>
      </c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K64" s="9"/>
      <c r="L64" s="9"/>
      <c r="M64" s="9"/>
      <c r="N64" s="9"/>
      <c r="O64" s="9"/>
      <c r="P64" s="9"/>
      <c r="Q64" s="9" t="str">
        <f t="shared" si="2"/>
        <v>#VALUE!</v>
      </c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K65" s="9"/>
      <c r="L65" s="9"/>
      <c r="M65" s="9"/>
      <c r="N65" s="9"/>
      <c r="O65" s="9"/>
      <c r="P65" s="9"/>
      <c r="Q65" s="9" t="str">
        <f t="shared" si="2"/>
        <v>#VALUE!</v>
      </c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K66" s="9"/>
      <c r="L66" s="9"/>
      <c r="M66" s="9"/>
      <c r="N66" s="9"/>
      <c r="O66" s="9"/>
      <c r="P66" s="9"/>
      <c r="Q66" s="9" t="str">
        <f t="shared" si="2"/>
        <v>#VALUE!</v>
      </c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K67" s="9"/>
      <c r="L67" s="9"/>
      <c r="M67" s="9"/>
      <c r="N67" s="9"/>
      <c r="O67" s="9"/>
      <c r="P67" s="9"/>
      <c r="Q67" s="9" t="str">
        <f t="shared" si="2"/>
        <v>#VALUE!</v>
      </c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9"/>
      <c r="L68" s="9"/>
      <c r="M68" s="9"/>
      <c r="N68" s="9"/>
      <c r="O68" s="9"/>
      <c r="P68" s="9"/>
      <c r="Q68" s="9" t="str">
        <f>VLOOKUP(M68,$C$2:$J$68,I68:$I$68,FALSE)</f>
        <v>#VALUE!</v>
      </c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62"/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33.57"/>
    <col customWidth="1" min="3" max="3" width="9.14"/>
    <col customWidth="1" min="4" max="4" width="16.0"/>
    <col customWidth="1" min="5" max="6" width="9.14"/>
    <col customWidth="1" min="7" max="7" width="26.86"/>
    <col customWidth="1" min="8" max="26" width="8.71"/>
  </cols>
  <sheetData>
    <row r="1" ht="29.25" customHeight="1">
      <c r="A1" s="106" t="s">
        <v>2025</v>
      </c>
      <c r="B1" s="106" t="s">
        <v>2961</v>
      </c>
      <c r="C1" s="106" t="s">
        <v>3129</v>
      </c>
      <c r="D1" s="97" t="s">
        <v>2963</v>
      </c>
      <c r="E1" s="106" t="s">
        <v>3027</v>
      </c>
      <c r="F1" s="106" t="s">
        <v>11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 t="s">
        <v>3130</v>
      </c>
      <c r="B2" s="9" t="s">
        <v>2689</v>
      </c>
      <c r="C2" s="9">
        <v>1.0</v>
      </c>
      <c r="D2" s="9" t="s">
        <v>3131</v>
      </c>
      <c r="E2" s="9" t="s">
        <v>2673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">
        <v>3130</v>
      </c>
      <c r="B3" s="9" t="s">
        <v>2788</v>
      </c>
      <c r="C3" s="9">
        <v>10.0</v>
      </c>
      <c r="D3" s="9" t="s">
        <v>3132</v>
      </c>
      <c r="E3" s="9" t="s">
        <v>2673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 t="s">
        <v>3133</v>
      </c>
      <c r="B4" s="9" t="s">
        <v>2793</v>
      </c>
      <c r="C4" s="9">
        <v>2.0</v>
      </c>
      <c r="D4" s="9" t="s">
        <v>3036</v>
      </c>
      <c r="E4" s="9" t="s">
        <v>2697</v>
      </c>
      <c r="F4" s="9"/>
      <c r="G4" s="9" t="s">
        <v>3134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 t="s">
        <v>3135</v>
      </c>
      <c r="B5" s="9" t="s">
        <v>3136</v>
      </c>
      <c r="C5" s="9">
        <v>2.0</v>
      </c>
      <c r="D5" s="40">
        <v>44930.0</v>
      </c>
      <c r="E5" s="9" t="s">
        <v>2697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3135</v>
      </c>
      <c r="B6" s="9" t="s">
        <v>3136</v>
      </c>
      <c r="C6" s="9">
        <v>6.0</v>
      </c>
      <c r="D6" s="40"/>
      <c r="E6" s="9"/>
      <c r="F6" s="9"/>
      <c r="G6" s="9" t="s">
        <v>3137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3138</v>
      </c>
      <c r="B7" s="9" t="s">
        <v>3139</v>
      </c>
      <c r="C7" s="9">
        <v>3.0</v>
      </c>
      <c r="D7" s="40"/>
      <c r="E7" s="9"/>
      <c r="F7" s="9"/>
      <c r="G7" s="9" t="s">
        <v>3140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3141</v>
      </c>
      <c r="B8" s="9" t="s">
        <v>3090</v>
      </c>
      <c r="C8" s="9">
        <v>10.0</v>
      </c>
      <c r="D8" s="4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3141</v>
      </c>
      <c r="B9" s="9" t="s">
        <v>3139</v>
      </c>
      <c r="C9" s="9">
        <v>4.0</v>
      </c>
      <c r="D9" s="4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3141</v>
      </c>
      <c r="B10" s="9" t="s">
        <v>3107</v>
      </c>
      <c r="C10" s="9">
        <v>3.0</v>
      </c>
      <c r="D10" s="40"/>
      <c r="E10" s="9"/>
      <c r="F10" s="9"/>
      <c r="G10" s="9" t="s">
        <v>3137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3141</v>
      </c>
      <c r="B11" s="9" t="s">
        <v>3142</v>
      </c>
      <c r="C11" s="9">
        <v>2.0</v>
      </c>
      <c r="D11" s="4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1"/>
      <c r="B12" s="161"/>
      <c r="C12" s="161"/>
      <c r="D12" s="123"/>
      <c r="E12" s="161"/>
      <c r="F12" s="161"/>
      <c r="G12" s="16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3130</v>
      </c>
      <c r="B13" s="9" t="s">
        <v>759</v>
      </c>
      <c r="C13" s="9">
        <v>2.0</v>
      </c>
      <c r="D13" s="162">
        <v>44902.0</v>
      </c>
      <c r="E13" s="9" t="s">
        <v>2665</v>
      </c>
      <c r="F13" s="9">
        <v>2093024.0</v>
      </c>
      <c r="G13" s="9" t="s">
        <v>3143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">
        <v>3130</v>
      </c>
      <c r="B14" s="9" t="s">
        <v>3144</v>
      </c>
      <c r="C14" s="9">
        <v>2.0</v>
      </c>
      <c r="D14" s="9" t="s">
        <v>3145</v>
      </c>
      <c r="E14" s="9" t="s">
        <v>2685</v>
      </c>
      <c r="F14" s="9">
        <v>2099447.0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">
        <v>3130</v>
      </c>
      <c r="B15" s="9" t="s">
        <v>3146</v>
      </c>
      <c r="C15" s="9">
        <v>2.0</v>
      </c>
      <c r="D15" s="40">
        <v>44928.0</v>
      </c>
      <c r="E15" s="9" t="s">
        <v>2685</v>
      </c>
      <c r="F15" s="9">
        <v>2128534.0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">
        <v>3130</v>
      </c>
      <c r="B16" s="9" t="s">
        <v>3147</v>
      </c>
      <c r="C16" s="9">
        <v>30.0</v>
      </c>
      <c r="D16" s="40">
        <v>44928.0</v>
      </c>
      <c r="E16" s="9" t="s">
        <v>2685</v>
      </c>
      <c r="F16" s="9">
        <v>2128534.0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 t="s">
        <v>3130</v>
      </c>
      <c r="B17" s="9" t="s">
        <v>2731</v>
      </c>
      <c r="C17" s="9">
        <v>7.0</v>
      </c>
      <c r="D17" s="40">
        <v>44928.0</v>
      </c>
      <c r="E17" s="9" t="s">
        <v>2685</v>
      </c>
      <c r="F17" s="9">
        <v>2128534.0</v>
      </c>
      <c r="G17" s="9" t="s">
        <v>3148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3130</v>
      </c>
      <c r="B18" s="9" t="s">
        <v>3149</v>
      </c>
      <c r="C18" s="9">
        <v>3.0</v>
      </c>
      <c r="D18" s="40">
        <v>44928.0</v>
      </c>
      <c r="E18" s="9" t="s">
        <v>2685</v>
      </c>
      <c r="F18" s="9">
        <v>2128534.0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3130</v>
      </c>
      <c r="B19" s="9" t="s">
        <v>3150</v>
      </c>
      <c r="C19" s="9">
        <v>4.0</v>
      </c>
      <c r="D19" s="40">
        <v>44928.0</v>
      </c>
      <c r="E19" s="9" t="s">
        <v>2685</v>
      </c>
      <c r="F19" s="9">
        <v>2128534.0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3130</v>
      </c>
      <c r="B20" s="9" t="s">
        <v>3151</v>
      </c>
      <c r="C20" s="9">
        <v>2.0</v>
      </c>
      <c r="D20" s="40">
        <v>44928.0</v>
      </c>
      <c r="E20" s="9" t="s">
        <v>2685</v>
      </c>
      <c r="F20" s="9">
        <v>2128534.0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">
        <v>3135</v>
      </c>
      <c r="B21" s="9" t="s">
        <v>3152</v>
      </c>
      <c r="C21" s="9">
        <v>2.0</v>
      </c>
      <c r="D21" s="40">
        <v>44923.0</v>
      </c>
      <c r="E21" s="9" t="s">
        <v>2665</v>
      </c>
      <c r="F21" s="9">
        <v>2128534.0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4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4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4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4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4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4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4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4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4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4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4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4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4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4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4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4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4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4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4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4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4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4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4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4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4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4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4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4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4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4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4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4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4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4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4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4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4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4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4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4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4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4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4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4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4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4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4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4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4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4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4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4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4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4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4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4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4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4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4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4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4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4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4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4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4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4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4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4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4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4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4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4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4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4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4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4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4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4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4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4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4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4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4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4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4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4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4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4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4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4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4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4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4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4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4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4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4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4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4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4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4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4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4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4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4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4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4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4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4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4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4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4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4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4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4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4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4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4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4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4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4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4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4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4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4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4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4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4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4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4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4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4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4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4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4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4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4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4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4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4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4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4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4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4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4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4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4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4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4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4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4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4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4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4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4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4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4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4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4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4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4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4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4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4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4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4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4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4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4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4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4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4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4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4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4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4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4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4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4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4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4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4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4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4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4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4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4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4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4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4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4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4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4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4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4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4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4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4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4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4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"/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2015-04-24T16:21:19Z</dcterms:created>
  <dc:creator>Windows</dc:creator>
</cp:coreProperties>
</file>